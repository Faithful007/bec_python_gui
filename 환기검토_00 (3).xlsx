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IDA\환기검토 시트\"/>
    </mc:Choice>
  </mc:AlternateContent>
  <xr:revisionPtr revIDLastSave="0" documentId="13_ncr:1_{32E4AA8A-813D-498B-80F4-D17CD6CC6F13}" xr6:coauthVersionLast="47" xr6:coauthVersionMax="47" xr10:uidLastSave="{00000000-0000-0000-0000-000000000000}"/>
  <bookViews>
    <workbookView xWindow="-120" yWindow="-120" windowWidth="24240" windowHeight="17520" tabRatio="919" firstSheet="1" activeTab="1" xr2:uid="{00000000-000D-0000-FFFF-FFFF00000000}"/>
  </bookViews>
  <sheets>
    <sheet name="XXXXXX" sheetId="1" state="veryHidden" r:id="rId1"/>
    <sheet name="환기량 산정" sheetId="2" r:id="rId2"/>
    <sheet name="PM보정계수" sheetId="18" state="hidden" r:id="rId3"/>
    <sheet name="CO보정계수" sheetId="19" state="hidden" r:id="rId4"/>
    <sheet name="NOx보정계수" sheetId="20" state="hidden" r:id="rId5"/>
    <sheet name="환기용량 산정(제트팬식)" sheetId="3" r:id="rId6"/>
    <sheet name="교통량추이그래프" sheetId="5" state="hidden" r:id="rId7"/>
    <sheet name="상행-환기기" sheetId="8" state="hidden" r:id="rId8"/>
    <sheet name="하행-환기기" sheetId="9" state="hidden" r:id="rId9"/>
    <sheet name="EPP" sheetId="11" state="hidden" r:id="rId10"/>
    <sheet name="EPP (2)" sheetId="12" state="hidden" r:id="rId11"/>
    <sheet name="환기량계산서" sheetId="10" state="hidden" r:id="rId12"/>
    <sheet name="한도공 제연팬 산정(열부력미고려)" sheetId="14" r:id="rId13"/>
    <sheet name="한도공 제연팬 산정 (입구부화재)" sheetId="16" r:id="rId14"/>
    <sheet name="한도공 제연팬 산정 (중앙부화재)" sheetId="17" r:id="rId15"/>
    <sheet name="차량정체길이산정" sheetId="13" r:id="rId16"/>
    <sheet name="상행-환기량" sheetId="6" state="hidden" r:id="rId17"/>
    <sheet name="하행-환기량" sheetId="7" state="hidden" r:id="rId18"/>
    <sheet name="수직갱 방식(2개소)" sheetId="15" state="hidden" r:id="rId19"/>
  </sheets>
  <externalReferences>
    <externalReference r:id="rId20"/>
    <externalReference r:id="rId21"/>
    <externalReference r:id="rId22"/>
  </externalReferences>
  <definedNames>
    <definedName name="_xlnm._FilterDatabase" localSheetId="18" hidden="1">'수직갱 방식(2개소)'!$A$1:$J$254</definedName>
    <definedName name="_xlnm._FilterDatabase" localSheetId="13" hidden="1">'한도공 제연팬 산정 (입구부화재)'!#REF!</definedName>
    <definedName name="_xlnm._FilterDatabase" localSheetId="14" hidden="1">'한도공 제연팬 산정 (중앙부화재)'!#REF!</definedName>
    <definedName name="_xlnm._FilterDatabase" localSheetId="12" hidden="1">'한도공 제연팬 산정(열부력미고려)'!#REF!</definedName>
    <definedName name="_xlnm._FilterDatabase" localSheetId="5" hidden="1">'환기용량 산정(제트팬식)'!#REF!</definedName>
    <definedName name="grade">[1]임계풍속!$K$13</definedName>
    <definedName name="_xlnm.Print_Area" localSheetId="3">CO보정계수!$Q$1:$AK$59</definedName>
    <definedName name="_xlnm.Print_Area" localSheetId="4">NOx보정계수!$Q$1:$AK$59</definedName>
    <definedName name="_xlnm.Print_Area" localSheetId="2">PM보정계수!$Q$1:$AK$60</definedName>
    <definedName name="_xlnm.Print_Area" localSheetId="18">'수직갱 방식(2개소)'!$A$1:$T$258</definedName>
    <definedName name="_xlnm.Print_Area" localSheetId="13">'한도공 제연팬 산정 (입구부화재)'!$A$1:$AT$68</definedName>
    <definedName name="_xlnm.Print_Area" localSheetId="14">'한도공 제연팬 산정 (중앙부화재)'!$A$1:$AT$68</definedName>
    <definedName name="_xlnm.Print_Area" localSheetId="1">'환기량 산정'!$A$1:$L$1583</definedName>
    <definedName name="_xlnm.Print_Area" localSheetId="5">'환기용량 산정(제트팬식)'!$A$1:$BK$69</definedName>
    <definedName name="solver_adj" localSheetId="18" hidden="1">'수직갱 방식(2개소)'!$B$175,'수직갱 방식(2개소)'!$B$182</definedName>
    <definedName name="solver_adj" localSheetId="13" hidden="1">'한도공 제연팬 산정 (입구부화재)'!#REF!,'한도공 제연팬 산정 (입구부화재)'!#REF!</definedName>
    <definedName name="solver_adj" localSheetId="14" hidden="1">'한도공 제연팬 산정 (중앙부화재)'!#REF!,'한도공 제연팬 산정 (중앙부화재)'!#REF!</definedName>
    <definedName name="solver_adj" localSheetId="12" hidden="1">'한도공 제연팬 산정(열부력미고려)'!#REF!,'한도공 제연팬 산정(열부력미고려)'!#REF!</definedName>
    <definedName name="solver_adj" localSheetId="5" hidden="1">'환기용량 산정(제트팬식)'!#REF!,'환기용량 산정(제트팬식)'!#REF!</definedName>
    <definedName name="solver_cvg" localSheetId="18" hidden="1">0.001</definedName>
    <definedName name="solver_cvg" localSheetId="13" hidden="1">0.001</definedName>
    <definedName name="solver_cvg" localSheetId="14" hidden="1">0.001</definedName>
    <definedName name="solver_cvg" localSheetId="12" hidden="1">0.001</definedName>
    <definedName name="solver_cvg" localSheetId="5" hidden="1">0.001</definedName>
    <definedName name="solver_drv" localSheetId="18" hidden="1">1</definedName>
    <definedName name="solver_drv" localSheetId="13" hidden="1">1</definedName>
    <definedName name="solver_drv" localSheetId="14" hidden="1">1</definedName>
    <definedName name="solver_drv" localSheetId="12" hidden="1">1</definedName>
    <definedName name="solver_drv" localSheetId="5" hidden="1">1</definedName>
    <definedName name="solver_est" localSheetId="18" hidden="1">1</definedName>
    <definedName name="solver_est" localSheetId="13" hidden="1">1</definedName>
    <definedName name="solver_est" localSheetId="14" hidden="1">1</definedName>
    <definedName name="solver_est" localSheetId="12" hidden="1">1</definedName>
    <definedName name="solver_est" localSheetId="5" hidden="1">1</definedName>
    <definedName name="solver_itr" localSheetId="18" hidden="1">100</definedName>
    <definedName name="solver_itr" localSheetId="13" hidden="1">100</definedName>
    <definedName name="solver_itr" localSheetId="14" hidden="1">100</definedName>
    <definedName name="solver_itr" localSheetId="12" hidden="1">100</definedName>
    <definedName name="solver_itr" localSheetId="5" hidden="1">100</definedName>
    <definedName name="solver_lhs1" localSheetId="18" hidden="1">'수직갱 방식(2개소)'!$B$175</definedName>
    <definedName name="solver_lhs1" localSheetId="13" hidden="1">'한도공 제연팬 산정 (입구부화재)'!#REF!</definedName>
    <definedName name="solver_lhs1" localSheetId="14" hidden="1">'한도공 제연팬 산정 (중앙부화재)'!#REF!</definedName>
    <definedName name="solver_lhs1" localSheetId="12" hidden="1">'한도공 제연팬 산정(열부력미고려)'!#REF!</definedName>
    <definedName name="solver_lhs1" localSheetId="5" hidden="1">'환기용량 산정(제트팬식)'!#REF!</definedName>
    <definedName name="solver_lhs2" localSheetId="18" hidden="1">'수직갱 방식(2개소)'!$B$182</definedName>
    <definedName name="solver_lhs2" localSheetId="13" hidden="1">'한도공 제연팬 산정 (입구부화재)'!#REF!</definedName>
    <definedName name="solver_lhs2" localSheetId="14" hidden="1">'한도공 제연팬 산정 (중앙부화재)'!#REF!</definedName>
    <definedName name="solver_lhs2" localSheetId="12" hidden="1">'한도공 제연팬 산정(열부력미고려)'!#REF!</definedName>
    <definedName name="solver_lhs2" localSheetId="5" hidden="1">'환기용량 산정(제트팬식)'!#REF!</definedName>
    <definedName name="solver_lhs3" localSheetId="18" hidden="1">'수직갱 방식(2개소)'!$I$195</definedName>
    <definedName name="solver_lhs3" localSheetId="13" hidden="1">'한도공 제연팬 산정 (입구부화재)'!#REF!</definedName>
    <definedName name="solver_lhs3" localSheetId="14" hidden="1">'한도공 제연팬 산정 (중앙부화재)'!#REF!</definedName>
    <definedName name="solver_lhs3" localSheetId="12" hidden="1">'한도공 제연팬 산정(열부력미고려)'!#REF!</definedName>
    <definedName name="solver_lhs3" localSheetId="5" hidden="1">'환기용량 산정(제트팬식)'!#REF!</definedName>
    <definedName name="solver_lin" localSheetId="18" hidden="1">2</definedName>
    <definedName name="solver_lin" localSheetId="13" hidden="1">2</definedName>
    <definedName name="solver_lin" localSheetId="14" hidden="1">2</definedName>
    <definedName name="solver_lin" localSheetId="12" hidden="1">2</definedName>
    <definedName name="solver_lin" localSheetId="5" hidden="1">2</definedName>
    <definedName name="solver_neg" localSheetId="18" hidden="1">2</definedName>
    <definedName name="solver_neg" localSheetId="13" hidden="1">2</definedName>
    <definedName name="solver_neg" localSheetId="14" hidden="1">2</definedName>
    <definedName name="solver_neg" localSheetId="12" hidden="1">2</definedName>
    <definedName name="solver_neg" localSheetId="5" hidden="1">2</definedName>
    <definedName name="solver_num" localSheetId="18" hidden="1">3</definedName>
    <definedName name="solver_num" localSheetId="13" hidden="1">3</definedName>
    <definedName name="solver_num" localSheetId="14" hidden="1">3</definedName>
    <definedName name="solver_num" localSheetId="12" hidden="1">3</definedName>
    <definedName name="solver_num" localSheetId="5" hidden="1">3</definedName>
    <definedName name="solver_nwt" localSheetId="18" hidden="1">1</definedName>
    <definedName name="solver_nwt" localSheetId="13" hidden="1">1</definedName>
    <definedName name="solver_nwt" localSheetId="14" hidden="1">1</definedName>
    <definedName name="solver_nwt" localSheetId="12" hidden="1">1</definedName>
    <definedName name="solver_nwt" localSheetId="5" hidden="1">1</definedName>
    <definedName name="solver_opt" localSheetId="18" hidden="1">'수직갱 방식(2개소)'!$I$195</definedName>
    <definedName name="solver_opt" localSheetId="13" hidden="1">'한도공 제연팬 산정 (입구부화재)'!#REF!</definedName>
    <definedName name="solver_opt" localSheetId="14" hidden="1">'한도공 제연팬 산정 (중앙부화재)'!#REF!</definedName>
    <definedName name="solver_opt" localSheetId="12" hidden="1">'한도공 제연팬 산정(열부력미고려)'!#REF!</definedName>
    <definedName name="solver_opt" localSheetId="5" hidden="1">'환기용량 산정(제트팬식)'!#REF!</definedName>
    <definedName name="solver_pre" localSheetId="18" hidden="1">0.000001</definedName>
    <definedName name="solver_pre" localSheetId="13" hidden="1">0.000001</definedName>
    <definedName name="solver_pre" localSheetId="14" hidden="1">0.000001</definedName>
    <definedName name="solver_pre" localSheetId="12" hidden="1">0.000001</definedName>
    <definedName name="solver_pre" localSheetId="5" hidden="1">0.000001</definedName>
    <definedName name="solver_rel1" localSheetId="18" hidden="1">1</definedName>
    <definedName name="solver_rel1" localSheetId="13" hidden="1">1</definedName>
    <definedName name="solver_rel1" localSheetId="14" hidden="1">1</definedName>
    <definedName name="solver_rel1" localSheetId="12" hidden="1">1</definedName>
    <definedName name="solver_rel1" localSheetId="5" hidden="1">1</definedName>
    <definedName name="solver_rel2" localSheetId="18" hidden="1">1</definedName>
    <definedName name="solver_rel2" localSheetId="13" hidden="1">1</definedName>
    <definedName name="solver_rel2" localSheetId="14" hidden="1">1</definedName>
    <definedName name="solver_rel2" localSheetId="12" hidden="1">1</definedName>
    <definedName name="solver_rel2" localSheetId="5" hidden="1">1</definedName>
    <definedName name="solver_rel3" localSheetId="18" hidden="1">1</definedName>
    <definedName name="solver_rel3" localSheetId="13" hidden="1">1</definedName>
    <definedName name="solver_rel3" localSheetId="14" hidden="1">1</definedName>
    <definedName name="solver_rel3" localSheetId="12" hidden="1">1</definedName>
    <definedName name="solver_rel3" localSheetId="5" hidden="1">1</definedName>
    <definedName name="solver_rhs1" localSheetId="18" hidden="1">300</definedName>
    <definedName name="solver_rhs1" localSheetId="13" hidden="1">300</definedName>
    <definedName name="solver_rhs1" localSheetId="14" hidden="1">300</definedName>
    <definedName name="solver_rhs1" localSheetId="12" hidden="1">300</definedName>
    <definedName name="solver_rhs1" localSheetId="5" hidden="1">300</definedName>
    <definedName name="solver_rhs2" localSheetId="18" hidden="1">460</definedName>
    <definedName name="solver_rhs2" localSheetId="13" hidden="1">460</definedName>
    <definedName name="solver_rhs2" localSheetId="14" hidden="1">460</definedName>
    <definedName name="solver_rhs2" localSheetId="12" hidden="1">460</definedName>
    <definedName name="solver_rhs2" localSheetId="5" hidden="1">460</definedName>
    <definedName name="solver_rhs3" localSheetId="18" hidden="1">14</definedName>
    <definedName name="solver_rhs3" localSheetId="13" hidden="1">14</definedName>
    <definedName name="solver_rhs3" localSheetId="14" hidden="1">14</definedName>
    <definedName name="solver_rhs3" localSheetId="12" hidden="1">14</definedName>
    <definedName name="solver_rhs3" localSheetId="5" hidden="1">14</definedName>
    <definedName name="solver_scl" localSheetId="18" hidden="1">2</definedName>
    <definedName name="solver_scl" localSheetId="13" hidden="1">2</definedName>
    <definedName name="solver_scl" localSheetId="14" hidden="1">2</definedName>
    <definedName name="solver_scl" localSheetId="12" hidden="1">2</definedName>
    <definedName name="solver_scl" localSheetId="5" hidden="1">2</definedName>
    <definedName name="solver_sho" localSheetId="18" hidden="1">2</definedName>
    <definedName name="solver_sho" localSheetId="13" hidden="1">2</definedName>
    <definedName name="solver_sho" localSheetId="14" hidden="1">2</definedName>
    <definedName name="solver_sho" localSheetId="12" hidden="1">2</definedName>
    <definedName name="solver_sho" localSheetId="5" hidden="1">2</definedName>
    <definedName name="solver_tim" localSheetId="18" hidden="1">100</definedName>
    <definedName name="solver_tim" localSheetId="13" hidden="1">100</definedName>
    <definedName name="solver_tim" localSheetId="14" hidden="1">100</definedName>
    <definedName name="solver_tim" localSheetId="12" hidden="1">100</definedName>
    <definedName name="solver_tim" localSheetId="5" hidden="1">100</definedName>
    <definedName name="solver_tol" localSheetId="18" hidden="1">0.05</definedName>
    <definedName name="solver_tol" localSheetId="13" hidden="1">0.05</definedName>
    <definedName name="solver_tol" localSheetId="14" hidden="1">0.05</definedName>
    <definedName name="solver_tol" localSheetId="12" hidden="1">0.05</definedName>
    <definedName name="solver_tol" localSheetId="5" hidden="1">0.05</definedName>
    <definedName name="solver_typ" localSheetId="18" hidden="1">3</definedName>
    <definedName name="solver_typ" localSheetId="13" hidden="1">3</definedName>
    <definedName name="solver_typ" localSheetId="14" hidden="1">3</definedName>
    <definedName name="solver_typ" localSheetId="12" hidden="1">3</definedName>
    <definedName name="solver_typ" localSheetId="5" hidden="1">3</definedName>
    <definedName name="solver_val" localSheetId="18" hidden="1">14</definedName>
    <definedName name="solver_val" localSheetId="13" hidden="1">14</definedName>
    <definedName name="solver_val" localSheetId="14" hidden="1">14</definedName>
    <definedName name="solver_val" localSheetId="12" hidden="1">14</definedName>
    <definedName name="solver_val" localSheetId="5" hidden="1">14</definedName>
    <definedName name="설계번호">[2]환기량!$B$7</definedName>
    <definedName name="젯트팬구경" localSheetId="18">[3]input!#REF!</definedName>
    <definedName name="젯트팬구경" localSheetId="13">[3]input!#REF!</definedName>
    <definedName name="젯트팬구경" localSheetId="14">[3]input!#REF!</definedName>
    <definedName name="젯트팬구경">[3]input!#REF!</definedName>
    <definedName name="중방향계수" localSheetId="18">[3]교통량!#REF!</definedName>
    <definedName name="중방향계수" localSheetId="13">[3]교통량!#REF!</definedName>
    <definedName name="중방향계수" localSheetId="14">[3]교통량!#REF!</definedName>
    <definedName name="중방향계수">[3]교통량!#REF!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2" l="1"/>
  <c r="F94" i="2"/>
  <c r="I30" i="2" l="1"/>
  <c r="J30" i="2" s="1"/>
  <c r="I65" i="2" l="1"/>
  <c r="D55" i="2" l="1"/>
  <c r="C55" i="2"/>
  <c r="D38" i="2"/>
  <c r="C38" i="2"/>
  <c r="H17" i="2" l="1"/>
  <c r="F742" i="2" l="1"/>
  <c r="AC16" i="20" l="1"/>
  <c r="AC15" i="20"/>
  <c r="AC14" i="20"/>
  <c r="AC13" i="20"/>
  <c r="AC12" i="20"/>
  <c r="AC11" i="20"/>
  <c r="AC10" i="20"/>
  <c r="AC9" i="20"/>
  <c r="AC8" i="20"/>
  <c r="AC7" i="20"/>
  <c r="R16" i="20"/>
  <c r="R15" i="20"/>
  <c r="R14" i="20"/>
  <c r="R13" i="20"/>
  <c r="R12" i="20"/>
  <c r="R11" i="20"/>
  <c r="R10" i="20"/>
  <c r="R9" i="20"/>
  <c r="R8" i="20"/>
  <c r="R7" i="20"/>
  <c r="B1168" i="2"/>
  <c r="B1191" i="2" s="1"/>
  <c r="B1214" i="2" s="1"/>
  <c r="B1167" i="2"/>
  <c r="B1190" i="2" s="1"/>
  <c r="B1213" i="2" s="1"/>
  <c r="B1166" i="2"/>
  <c r="B1189" i="2" s="1"/>
  <c r="B1212" i="2" s="1"/>
  <c r="B1165" i="2"/>
  <c r="B1188" i="2" s="1"/>
  <c r="B1211" i="2" s="1"/>
  <c r="B1164" i="2"/>
  <c r="B1187" i="2" s="1"/>
  <c r="B1210" i="2" s="1"/>
  <c r="B1163" i="2"/>
  <c r="B1186" i="2" s="1"/>
  <c r="B1209" i="2" s="1"/>
  <c r="B1162" i="2"/>
  <c r="B1185" i="2" s="1"/>
  <c r="B1208" i="2" s="1"/>
  <c r="B1161" i="2"/>
  <c r="B1184" i="2" s="1"/>
  <c r="B1207" i="2" s="1"/>
  <c r="B1160" i="2"/>
  <c r="B1183" i="2" s="1"/>
  <c r="B1206" i="2" s="1"/>
  <c r="B1159" i="2"/>
  <c r="B1182" i="2" s="1"/>
  <c r="B1205" i="2" s="1"/>
  <c r="B1155" i="2"/>
  <c r="B1178" i="2" s="1"/>
  <c r="B1201" i="2" s="1"/>
  <c r="B1224" i="2" s="1"/>
  <c r="B1154" i="2"/>
  <c r="B1177" i="2" s="1"/>
  <c r="B1200" i="2" s="1"/>
  <c r="B1223" i="2" s="1"/>
  <c r="B1153" i="2"/>
  <c r="B1176" i="2" s="1"/>
  <c r="B1199" i="2" s="1"/>
  <c r="B1222" i="2" s="1"/>
  <c r="B1152" i="2"/>
  <c r="B1175" i="2" s="1"/>
  <c r="B1198" i="2" s="1"/>
  <c r="B1221" i="2" s="1"/>
  <c r="B1151" i="2"/>
  <c r="B1174" i="2" s="1"/>
  <c r="B1197" i="2" s="1"/>
  <c r="B1220" i="2" s="1"/>
  <c r="B1150" i="2"/>
  <c r="B1173" i="2" s="1"/>
  <c r="B1196" i="2" s="1"/>
  <c r="B1219" i="2" s="1"/>
  <c r="B1149" i="2"/>
  <c r="B1172" i="2" s="1"/>
  <c r="B1195" i="2" s="1"/>
  <c r="B1218" i="2" s="1"/>
  <c r="B1148" i="2"/>
  <c r="B1171" i="2" s="1"/>
  <c r="B1194" i="2" s="1"/>
  <c r="B1217" i="2" s="1"/>
  <c r="B1147" i="2"/>
  <c r="B1170" i="2" s="1"/>
  <c r="B1193" i="2" s="1"/>
  <c r="B1216" i="2" s="1"/>
  <c r="B1146" i="2"/>
  <c r="B1169" i="2" s="1"/>
  <c r="B1192" i="2" s="1"/>
  <c r="B1215" i="2" s="1"/>
  <c r="F1124" i="2"/>
  <c r="F1123" i="2"/>
  <c r="F1122" i="2"/>
  <c r="F1121" i="2"/>
  <c r="F1120" i="2"/>
  <c r="F1119" i="2"/>
  <c r="F1118" i="2"/>
  <c r="F1117" i="2"/>
  <c r="L853" i="2" l="1"/>
  <c r="K853" i="2"/>
  <c r="J853" i="2"/>
  <c r="I853" i="2"/>
  <c r="H853" i="2"/>
  <c r="L852" i="2"/>
  <c r="K852" i="2"/>
  <c r="J852" i="2"/>
  <c r="I852" i="2"/>
  <c r="H852" i="2"/>
  <c r="B770" i="2"/>
  <c r="B793" i="2" s="1"/>
  <c r="B816" i="2" s="1"/>
  <c r="B839" i="2" s="1"/>
  <c r="AC16" i="19"/>
  <c r="AC15" i="19"/>
  <c r="AC14" i="19"/>
  <c r="AC13" i="19"/>
  <c r="AC12" i="19"/>
  <c r="AC11" i="19"/>
  <c r="AC10" i="19"/>
  <c r="AC9" i="19"/>
  <c r="AC8" i="19"/>
  <c r="AC7" i="19"/>
  <c r="R16" i="19"/>
  <c r="R15" i="19"/>
  <c r="R14" i="19"/>
  <c r="R13" i="19"/>
  <c r="R12" i="19"/>
  <c r="R11" i="19"/>
  <c r="R10" i="19"/>
  <c r="R9" i="19"/>
  <c r="R8" i="19"/>
  <c r="R7" i="19"/>
  <c r="B775" i="2"/>
  <c r="B798" i="2" s="1"/>
  <c r="B821" i="2" s="1"/>
  <c r="B844" i="2" s="1"/>
  <c r="B788" i="2"/>
  <c r="B811" i="2" s="1"/>
  <c r="B834" i="2" s="1"/>
  <c r="B771" i="2"/>
  <c r="B794" i="2" s="1"/>
  <c r="B817" i="2" s="1"/>
  <c r="B840" i="2" s="1"/>
  <c r="B783" i="2"/>
  <c r="B806" i="2" s="1"/>
  <c r="B829" i="2" s="1"/>
  <c r="F749" i="2"/>
  <c r="F748" i="2"/>
  <c r="F747" i="2"/>
  <c r="F746" i="2"/>
  <c r="F745" i="2"/>
  <c r="F744" i="2"/>
  <c r="F743" i="2"/>
  <c r="B784" i="2" l="1"/>
  <c r="B807" i="2" s="1"/>
  <c r="B830" i="2" s="1"/>
  <c r="A510" i="2"/>
  <c r="A877" i="2" s="1"/>
  <c r="B510" i="2"/>
  <c r="D158" i="2"/>
  <c r="E158" i="2"/>
  <c r="F158" i="2"/>
  <c r="G158" i="2"/>
  <c r="H158" i="2"/>
  <c r="I158" i="2"/>
  <c r="J158" i="2"/>
  <c r="D159" i="2"/>
  <c r="E159" i="2"/>
  <c r="F159" i="2"/>
  <c r="G159" i="2"/>
  <c r="H159" i="2"/>
  <c r="I159" i="2"/>
  <c r="J159" i="2"/>
  <c r="D160" i="2"/>
  <c r="E160" i="2"/>
  <c r="F160" i="2"/>
  <c r="G160" i="2"/>
  <c r="H160" i="2"/>
  <c r="I160" i="2"/>
  <c r="J160" i="2"/>
  <c r="D161" i="2"/>
  <c r="E161" i="2"/>
  <c r="F161" i="2"/>
  <c r="G161" i="2"/>
  <c r="H161" i="2"/>
  <c r="I161" i="2"/>
  <c r="J161" i="2"/>
  <c r="B595" i="2" l="1"/>
  <c r="B962" i="2" s="1"/>
  <c r="B877" i="2"/>
  <c r="R4" i="18"/>
  <c r="AC16" i="18"/>
  <c r="AC30" i="18" s="1"/>
  <c r="AC15" i="18"/>
  <c r="AC29" i="18" s="1"/>
  <c r="AC14" i="18"/>
  <c r="AC28" i="18" s="1"/>
  <c r="AC42" i="18" s="1"/>
  <c r="AC13" i="18"/>
  <c r="AC27" i="18" s="1"/>
  <c r="AC41" i="18" s="1"/>
  <c r="AC55" i="18" s="1"/>
  <c r="AC12" i="18"/>
  <c r="AC26" i="18" s="1"/>
  <c r="AC11" i="18"/>
  <c r="AC25" i="18" s="1"/>
  <c r="AC39" i="18" s="1"/>
  <c r="AC10" i="18"/>
  <c r="AC24" i="18" s="1"/>
  <c r="AC9" i="18"/>
  <c r="AC8" i="18"/>
  <c r="AC7" i="18"/>
  <c r="AK7" i="18" s="1"/>
  <c r="J121" i="2" s="1"/>
  <c r="R16" i="18"/>
  <c r="R30" i="18" s="1"/>
  <c r="R15" i="18"/>
  <c r="R29" i="18" s="1"/>
  <c r="R43" i="18" s="1"/>
  <c r="R14" i="18"/>
  <c r="R28" i="18" s="1"/>
  <c r="R13" i="18"/>
  <c r="R27" i="18" s="1"/>
  <c r="R12" i="18"/>
  <c r="R26" i="18" s="1"/>
  <c r="R11" i="18"/>
  <c r="R25" i="18" s="1"/>
  <c r="R10" i="18"/>
  <c r="R24" i="18" s="1"/>
  <c r="R9" i="18"/>
  <c r="R23" i="18" s="1"/>
  <c r="R8" i="18"/>
  <c r="U8" i="18" s="1"/>
  <c r="E112" i="2" s="1"/>
  <c r="R7" i="18"/>
  <c r="N59" i="20"/>
  <c r="L59" i="20"/>
  <c r="J59" i="20"/>
  <c r="H59" i="20"/>
  <c r="F59" i="20"/>
  <c r="D59" i="20"/>
  <c r="B59" i="20"/>
  <c r="N58" i="20"/>
  <c r="L58" i="20"/>
  <c r="J58" i="20"/>
  <c r="H58" i="20"/>
  <c r="F58" i="20"/>
  <c r="D58" i="20"/>
  <c r="B58" i="20"/>
  <c r="N57" i="20"/>
  <c r="L57" i="20"/>
  <c r="J57" i="20"/>
  <c r="H57" i="20"/>
  <c r="F57" i="20"/>
  <c r="D57" i="20"/>
  <c r="B57" i="20"/>
  <c r="N56" i="20"/>
  <c r="L56" i="20"/>
  <c r="J56" i="20"/>
  <c r="H56" i="20"/>
  <c r="F56" i="20"/>
  <c r="D56" i="20"/>
  <c r="B56" i="20"/>
  <c r="N55" i="20"/>
  <c r="L55" i="20"/>
  <c r="J55" i="20"/>
  <c r="H55" i="20"/>
  <c r="F55" i="20"/>
  <c r="D55" i="20"/>
  <c r="B55" i="20"/>
  <c r="N54" i="20"/>
  <c r="L54" i="20"/>
  <c r="J54" i="20"/>
  <c r="H54" i="20"/>
  <c r="F54" i="20"/>
  <c r="D54" i="20"/>
  <c r="B54" i="20"/>
  <c r="N53" i="20"/>
  <c r="L53" i="20"/>
  <c r="J53" i="20"/>
  <c r="H53" i="20"/>
  <c r="F53" i="20"/>
  <c r="D53" i="20"/>
  <c r="B53" i="20"/>
  <c r="N52" i="20"/>
  <c r="L52" i="20"/>
  <c r="J52" i="20"/>
  <c r="H52" i="20"/>
  <c r="F52" i="20"/>
  <c r="D52" i="20"/>
  <c r="B52" i="20"/>
  <c r="N51" i="20"/>
  <c r="L51" i="20"/>
  <c r="J51" i="20"/>
  <c r="H51" i="20"/>
  <c r="F51" i="20"/>
  <c r="D51" i="20"/>
  <c r="B51" i="20"/>
  <c r="N50" i="20"/>
  <c r="L50" i="20"/>
  <c r="J50" i="20"/>
  <c r="H50" i="20"/>
  <c r="F50" i="20"/>
  <c r="D50" i="20"/>
  <c r="B50" i="20"/>
  <c r="N49" i="20"/>
  <c r="L49" i="20"/>
  <c r="J49" i="20"/>
  <c r="H49" i="20"/>
  <c r="F49" i="20"/>
  <c r="D49" i="20"/>
  <c r="B49" i="20"/>
  <c r="N48" i="20"/>
  <c r="L48" i="20"/>
  <c r="J48" i="20"/>
  <c r="H48" i="20"/>
  <c r="F48" i="20"/>
  <c r="D48" i="20"/>
  <c r="N45" i="20"/>
  <c r="L45" i="20"/>
  <c r="J45" i="20"/>
  <c r="H45" i="20"/>
  <c r="F45" i="20"/>
  <c r="D45" i="20"/>
  <c r="B45" i="20"/>
  <c r="N44" i="20"/>
  <c r="L44" i="20"/>
  <c r="J44" i="20"/>
  <c r="H44" i="20"/>
  <c r="F44" i="20"/>
  <c r="D44" i="20"/>
  <c r="B44" i="20"/>
  <c r="N43" i="20"/>
  <c r="L43" i="20"/>
  <c r="J43" i="20"/>
  <c r="H43" i="20"/>
  <c r="F43" i="20"/>
  <c r="D43" i="20"/>
  <c r="B43" i="20"/>
  <c r="N42" i="20"/>
  <c r="L42" i="20"/>
  <c r="J42" i="20"/>
  <c r="H42" i="20"/>
  <c r="F42" i="20"/>
  <c r="D42" i="20"/>
  <c r="B42" i="20"/>
  <c r="N41" i="20"/>
  <c r="L41" i="20"/>
  <c r="J41" i="20"/>
  <c r="H41" i="20"/>
  <c r="F41" i="20"/>
  <c r="D41" i="20"/>
  <c r="B41" i="20"/>
  <c r="N40" i="20"/>
  <c r="L40" i="20"/>
  <c r="J40" i="20"/>
  <c r="H40" i="20"/>
  <c r="F40" i="20"/>
  <c r="D40" i="20"/>
  <c r="B40" i="20"/>
  <c r="N39" i="20"/>
  <c r="L39" i="20"/>
  <c r="J39" i="20"/>
  <c r="H39" i="20"/>
  <c r="F39" i="20"/>
  <c r="D39" i="20"/>
  <c r="B39" i="20"/>
  <c r="N38" i="20"/>
  <c r="L38" i="20"/>
  <c r="J38" i="20"/>
  <c r="H38" i="20"/>
  <c r="F38" i="20"/>
  <c r="D38" i="20"/>
  <c r="B38" i="20"/>
  <c r="N37" i="20"/>
  <c r="L37" i="20"/>
  <c r="J37" i="20"/>
  <c r="H37" i="20"/>
  <c r="F37" i="20"/>
  <c r="D37" i="20"/>
  <c r="B37" i="20"/>
  <c r="N36" i="20"/>
  <c r="L36" i="20"/>
  <c r="J36" i="20"/>
  <c r="H36" i="20"/>
  <c r="F36" i="20"/>
  <c r="D36" i="20"/>
  <c r="B36" i="20"/>
  <c r="N35" i="20"/>
  <c r="L35" i="20"/>
  <c r="J35" i="20"/>
  <c r="H35" i="20"/>
  <c r="F35" i="20"/>
  <c r="D35" i="20"/>
  <c r="B35" i="20"/>
  <c r="N34" i="20"/>
  <c r="L34" i="20"/>
  <c r="J34" i="20"/>
  <c r="H34" i="20"/>
  <c r="F34" i="20"/>
  <c r="D34" i="20"/>
  <c r="N31" i="20"/>
  <c r="L31" i="20"/>
  <c r="J31" i="20"/>
  <c r="H31" i="20"/>
  <c r="F31" i="20"/>
  <c r="D31" i="20"/>
  <c r="B31" i="20"/>
  <c r="AC30" i="20"/>
  <c r="R30" i="20"/>
  <c r="AN21" i="20" s="1"/>
  <c r="AO21" i="20" s="1"/>
  <c r="AO24" i="20" s="1"/>
  <c r="AO26" i="20" s="1"/>
  <c r="AO27" i="20" s="1"/>
  <c r="N30" i="20"/>
  <c r="L30" i="20"/>
  <c r="J30" i="20"/>
  <c r="H30" i="20"/>
  <c r="F30" i="20"/>
  <c r="D30" i="20"/>
  <c r="B30" i="20"/>
  <c r="AC29" i="20"/>
  <c r="R29" i="20"/>
  <c r="N29" i="20"/>
  <c r="L29" i="20"/>
  <c r="J29" i="20"/>
  <c r="H29" i="20"/>
  <c r="F29" i="20"/>
  <c r="D29" i="20"/>
  <c r="B29" i="20"/>
  <c r="AC28" i="20"/>
  <c r="AC42" i="20" s="1"/>
  <c r="AJ42" i="20" s="1"/>
  <c r="I1199" i="2" s="1"/>
  <c r="R28" i="20"/>
  <c r="N28" i="20"/>
  <c r="L28" i="20"/>
  <c r="J28" i="20"/>
  <c r="H28" i="20"/>
  <c r="F28" i="20"/>
  <c r="D28" i="20"/>
  <c r="B28" i="20"/>
  <c r="AC27" i="20"/>
  <c r="R27" i="20"/>
  <c r="N27" i="20"/>
  <c r="L27" i="20"/>
  <c r="J27" i="20"/>
  <c r="H27" i="20"/>
  <c r="F27" i="20"/>
  <c r="D27" i="20"/>
  <c r="B27" i="20"/>
  <c r="AC26" i="20"/>
  <c r="AC40" i="20" s="1"/>
  <c r="R26" i="20"/>
  <c r="N26" i="20"/>
  <c r="L26" i="20"/>
  <c r="J26" i="20"/>
  <c r="H26" i="20"/>
  <c r="F26" i="20"/>
  <c r="D26" i="20"/>
  <c r="B26" i="20"/>
  <c r="AC25" i="20"/>
  <c r="R25" i="20"/>
  <c r="N25" i="20"/>
  <c r="L25" i="20"/>
  <c r="J25" i="20"/>
  <c r="H25" i="20"/>
  <c r="F25" i="20"/>
  <c r="D25" i="20"/>
  <c r="B25" i="20"/>
  <c r="AC24" i="20"/>
  <c r="AC38" i="20" s="1"/>
  <c r="R24" i="20"/>
  <c r="T24" i="20" s="1"/>
  <c r="D1162" i="2" s="1"/>
  <c r="N24" i="20"/>
  <c r="L24" i="20"/>
  <c r="J24" i="20"/>
  <c r="H24" i="20"/>
  <c r="F24" i="20"/>
  <c r="D24" i="20"/>
  <c r="B24" i="20"/>
  <c r="AC23" i="20"/>
  <c r="R23" i="20"/>
  <c r="U23" i="20" s="1"/>
  <c r="E1161" i="2" s="1"/>
  <c r="N23" i="20"/>
  <c r="L23" i="20"/>
  <c r="J23" i="20"/>
  <c r="H23" i="20"/>
  <c r="F23" i="20"/>
  <c r="D23" i="20"/>
  <c r="B23" i="20"/>
  <c r="AC22" i="20"/>
  <c r="R22" i="20"/>
  <c r="N22" i="20"/>
  <c r="L22" i="20"/>
  <c r="J22" i="20"/>
  <c r="H22" i="20"/>
  <c r="F22" i="20"/>
  <c r="D22" i="20"/>
  <c r="B22" i="20"/>
  <c r="AC21" i="20"/>
  <c r="R21" i="20"/>
  <c r="T21" i="20" s="1"/>
  <c r="D1159" i="2" s="1"/>
  <c r="N21" i="20"/>
  <c r="L21" i="20"/>
  <c r="J21" i="20"/>
  <c r="H21" i="20"/>
  <c r="F21" i="20"/>
  <c r="D21" i="20"/>
  <c r="B21" i="20"/>
  <c r="N20" i="20"/>
  <c r="L20" i="20"/>
  <c r="J20" i="20"/>
  <c r="H20" i="20"/>
  <c r="F20" i="20"/>
  <c r="D20" i="20"/>
  <c r="N17" i="20"/>
  <c r="L17" i="20"/>
  <c r="J17" i="20"/>
  <c r="H17" i="20"/>
  <c r="F17" i="20"/>
  <c r="D17" i="20"/>
  <c r="B17" i="20"/>
  <c r="N16" i="20"/>
  <c r="L16" i="20"/>
  <c r="J16" i="20"/>
  <c r="H16" i="20"/>
  <c r="F16" i="20"/>
  <c r="D16" i="20"/>
  <c r="B16" i="20"/>
  <c r="N15" i="20"/>
  <c r="L15" i="20"/>
  <c r="J15" i="20"/>
  <c r="H15" i="20"/>
  <c r="F15" i="20"/>
  <c r="D15" i="20"/>
  <c r="B15" i="20"/>
  <c r="N14" i="20"/>
  <c r="L14" i="20"/>
  <c r="J14" i="20"/>
  <c r="H14" i="20"/>
  <c r="F14" i="20"/>
  <c r="D14" i="20"/>
  <c r="B14" i="20"/>
  <c r="AF13" i="20"/>
  <c r="E1152" i="2" s="1"/>
  <c r="N13" i="20"/>
  <c r="L13" i="20"/>
  <c r="J13" i="20"/>
  <c r="H13" i="20"/>
  <c r="F13" i="20"/>
  <c r="D13" i="20"/>
  <c r="B13" i="20"/>
  <c r="N12" i="20"/>
  <c r="L12" i="20"/>
  <c r="J12" i="20"/>
  <c r="H12" i="20"/>
  <c r="F12" i="20"/>
  <c r="D12" i="20"/>
  <c r="B12" i="20"/>
  <c r="N11" i="20"/>
  <c r="L11" i="20"/>
  <c r="J11" i="20"/>
  <c r="H11" i="20"/>
  <c r="F11" i="20"/>
  <c r="D11" i="20"/>
  <c r="B11" i="20"/>
  <c r="AN10" i="20"/>
  <c r="AN12" i="20" s="1"/>
  <c r="N10" i="20"/>
  <c r="L10" i="20"/>
  <c r="J10" i="20"/>
  <c r="H10" i="20"/>
  <c r="F10" i="20"/>
  <c r="D10" i="20"/>
  <c r="B10" i="20"/>
  <c r="N9" i="20"/>
  <c r="L9" i="20"/>
  <c r="J9" i="20"/>
  <c r="H9" i="20"/>
  <c r="F9" i="20"/>
  <c r="D9" i="20"/>
  <c r="B9" i="20"/>
  <c r="N8" i="20"/>
  <c r="L8" i="20"/>
  <c r="J8" i="20"/>
  <c r="H8" i="20"/>
  <c r="F8" i="20"/>
  <c r="D8" i="20"/>
  <c r="B8" i="20"/>
  <c r="AO7" i="20"/>
  <c r="AO10" i="20" s="1"/>
  <c r="AO12" i="20" s="1"/>
  <c r="N7" i="20"/>
  <c r="L7" i="20"/>
  <c r="J7" i="20"/>
  <c r="H7" i="20"/>
  <c r="F7" i="20"/>
  <c r="D7" i="20"/>
  <c r="B7" i="20"/>
  <c r="N6" i="20"/>
  <c r="L6" i="20"/>
  <c r="AE14" i="20" s="1"/>
  <c r="D1153" i="2" s="1"/>
  <c r="J6" i="20"/>
  <c r="AJ16" i="20" s="1"/>
  <c r="I1155" i="2" s="1"/>
  <c r="H6" i="20"/>
  <c r="F6" i="20"/>
  <c r="D6" i="20"/>
  <c r="N59" i="19"/>
  <c r="L59" i="19"/>
  <c r="J59" i="19"/>
  <c r="H59" i="19"/>
  <c r="F59" i="19"/>
  <c r="D59" i="19"/>
  <c r="B59" i="19"/>
  <c r="N58" i="19"/>
  <c r="L58" i="19"/>
  <c r="J58" i="19"/>
  <c r="H58" i="19"/>
  <c r="F58" i="19"/>
  <c r="D58" i="19"/>
  <c r="B58" i="19"/>
  <c r="N57" i="19"/>
  <c r="L57" i="19"/>
  <c r="J57" i="19"/>
  <c r="H57" i="19"/>
  <c r="F57" i="19"/>
  <c r="D57" i="19"/>
  <c r="B57" i="19"/>
  <c r="N56" i="19"/>
  <c r="L56" i="19"/>
  <c r="J56" i="19"/>
  <c r="H56" i="19"/>
  <c r="F56" i="19"/>
  <c r="D56" i="19"/>
  <c r="B56" i="19"/>
  <c r="N55" i="19"/>
  <c r="L55" i="19"/>
  <c r="J55" i="19"/>
  <c r="H55" i="19"/>
  <c r="F55" i="19"/>
  <c r="D55" i="19"/>
  <c r="B55" i="19"/>
  <c r="N54" i="19"/>
  <c r="L54" i="19"/>
  <c r="J54" i="19"/>
  <c r="H54" i="19"/>
  <c r="F54" i="19"/>
  <c r="D54" i="19"/>
  <c r="B54" i="19"/>
  <c r="N53" i="19"/>
  <c r="L53" i="19"/>
  <c r="J53" i="19"/>
  <c r="H53" i="19"/>
  <c r="F53" i="19"/>
  <c r="D53" i="19"/>
  <c r="B53" i="19"/>
  <c r="N52" i="19"/>
  <c r="L52" i="19"/>
  <c r="J52" i="19"/>
  <c r="H52" i="19"/>
  <c r="F52" i="19"/>
  <c r="D52" i="19"/>
  <c r="B52" i="19"/>
  <c r="N51" i="19"/>
  <c r="L51" i="19"/>
  <c r="J51" i="19"/>
  <c r="H51" i="19"/>
  <c r="F51" i="19"/>
  <c r="D51" i="19"/>
  <c r="B51" i="19"/>
  <c r="N50" i="19"/>
  <c r="L50" i="19"/>
  <c r="J50" i="19"/>
  <c r="H50" i="19"/>
  <c r="F50" i="19"/>
  <c r="D50" i="19"/>
  <c r="B50" i="19"/>
  <c r="N49" i="19"/>
  <c r="L49" i="19"/>
  <c r="J49" i="19"/>
  <c r="H49" i="19"/>
  <c r="F49" i="19"/>
  <c r="D49" i="19"/>
  <c r="B49" i="19"/>
  <c r="N48" i="19"/>
  <c r="L48" i="19"/>
  <c r="J48" i="19"/>
  <c r="H48" i="19"/>
  <c r="F48" i="19"/>
  <c r="D48" i="19"/>
  <c r="N45" i="19"/>
  <c r="L45" i="19"/>
  <c r="J45" i="19"/>
  <c r="H45" i="19"/>
  <c r="F45" i="19"/>
  <c r="D45" i="19"/>
  <c r="B45" i="19"/>
  <c r="N44" i="19"/>
  <c r="L44" i="19"/>
  <c r="J44" i="19"/>
  <c r="H44" i="19"/>
  <c r="F44" i="19"/>
  <c r="D44" i="19"/>
  <c r="B44" i="19"/>
  <c r="N43" i="19"/>
  <c r="L43" i="19"/>
  <c r="J43" i="19"/>
  <c r="H43" i="19"/>
  <c r="F43" i="19"/>
  <c r="D43" i="19"/>
  <c r="B43" i="19"/>
  <c r="N42" i="19"/>
  <c r="L42" i="19"/>
  <c r="J42" i="19"/>
  <c r="H42" i="19"/>
  <c r="F42" i="19"/>
  <c r="D42" i="19"/>
  <c r="B42" i="19"/>
  <c r="N41" i="19"/>
  <c r="L41" i="19"/>
  <c r="J41" i="19"/>
  <c r="H41" i="19"/>
  <c r="F41" i="19"/>
  <c r="D41" i="19"/>
  <c r="B41" i="19"/>
  <c r="N40" i="19"/>
  <c r="L40" i="19"/>
  <c r="J40" i="19"/>
  <c r="H40" i="19"/>
  <c r="F40" i="19"/>
  <c r="D40" i="19"/>
  <c r="B40" i="19"/>
  <c r="N39" i="19"/>
  <c r="L39" i="19"/>
  <c r="J39" i="19"/>
  <c r="H39" i="19"/>
  <c r="F39" i="19"/>
  <c r="D39" i="19"/>
  <c r="B39" i="19"/>
  <c r="AN38" i="19"/>
  <c r="AN40" i="19" s="1"/>
  <c r="AN41" i="19" s="1"/>
  <c r="N38" i="19"/>
  <c r="L38" i="19"/>
  <c r="J38" i="19"/>
  <c r="H38" i="19"/>
  <c r="F38" i="19"/>
  <c r="D38" i="19"/>
  <c r="B38" i="19"/>
  <c r="N37" i="19"/>
  <c r="L37" i="19"/>
  <c r="J37" i="19"/>
  <c r="H37" i="19"/>
  <c r="F37" i="19"/>
  <c r="D37" i="19"/>
  <c r="B37" i="19"/>
  <c r="N36" i="19"/>
  <c r="L36" i="19"/>
  <c r="J36" i="19"/>
  <c r="H36" i="19"/>
  <c r="F36" i="19"/>
  <c r="D36" i="19"/>
  <c r="B36" i="19"/>
  <c r="AO35" i="19"/>
  <c r="AP35" i="19" s="1"/>
  <c r="N35" i="19"/>
  <c r="L35" i="19"/>
  <c r="J35" i="19"/>
  <c r="H35" i="19"/>
  <c r="F35" i="19"/>
  <c r="D35" i="19"/>
  <c r="B35" i="19"/>
  <c r="N34" i="19"/>
  <c r="L34" i="19"/>
  <c r="J34" i="19"/>
  <c r="H34" i="19"/>
  <c r="F34" i="19"/>
  <c r="D34" i="19"/>
  <c r="N31" i="19"/>
  <c r="L31" i="19"/>
  <c r="J31" i="19"/>
  <c r="H31" i="19"/>
  <c r="F31" i="19"/>
  <c r="D31" i="19"/>
  <c r="B31" i="19"/>
  <c r="AC30" i="19"/>
  <c r="R30" i="19"/>
  <c r="AN21" i="19" s="1"/>
  <c r="AN24" i="19" s="1"/>
  <c r="N30" i="19"/>
  <c r="L30" i="19"/>
  <c r="J30" i="19"/>
  <c r="H30" i="19"/>
  <c r="F30" i="19"/>
  <c r="D30" i="19"/>
  <c r="B30" i="19"/>
  <c r="AC29" i="19"/>
  <c r="R29" i="19"/>
  <c r="N29" i="19"/>
  <c r="L29" i="19"/>
  <c r="J29" i="19"/>
  <c r="H29" i="19"/>
  <c r="F29" i="19"/>
  <c r="D29" i="19"/>
  <c r="B29" i="19"/>
  <c r="AC28" i="19"/>
  <c r="AC42" i="19" s="1"/>
  <c r="R28" i="19"/>
  <c r="R42" i="19" s="1"/>
  <c r="N28" i="19"/>
  <c r="L28" i="19"/>
  <c r="J28" i="19"/>
  <c r="H28" i="19"/>
  <c r="F28" i="19"/>
  <c r="D28" i="19"/>
  <c r="B28" i="19"/>
  <c r="AC27" i="19"/>
  <c r="AC41" i="19" s="1"/>
  <c r="R27" i="19"/>
  <c r="R41" i="19" s="1"/>
  <c r="N27" i="19"/>
  <c r="L27" i="19"/>
  <c r="J27" i="19"/>
  <c r="H27" i="19"/>
  <c r="F27" i="19"/>
  <c r="D27" i="19"/>
  <c r="B27" i="19"/>
  <c r="AC26" i="19"/>
  <c r="AC40" i="19" s="1"/>
  <c r="AC54" i="19" s="1"/>
  <c r="R26" i="19"/>
  <c r="N26" i="19"/>
  <c r="L26" i="19"/>
  <c r="J26" i="19"/>
  <c r="H26" i="19"/>
  <c r="F26" i="19"/>
  <c r="D26" i="19"/>
  <c r="B26" i="19"/>
  <c r="AC25" i="19"/>
  <c r="R25" i="19"/>
  <c r="N25" i="19"/>
  <c r="L25" i="19"/>
  <c r="J25" i="19"/>
  <c r="H25" i="19"/>
  <c r="F25" i="19"/>
  <c r="D25" i="19"/>
  <c r="B25" i="19"/>
  <c r="AC24" i="19"/>
  <c r="R24" i="19"/>
  <c r="R38" i="19" s="1"/>
  <c r="N24" i="19"/>
  <c r="L24" i="19"/>
  <c r="J24" i="19"/>
  <c r="H24" i="19"/>
  <c r="F24" i="19"/>
  <c r="D24" i="19"/>
  <c r="B24" i="19"/>
  <c r="AC23" i="19"/>
  <c r="AC37" i="19" s="1"/>
  <c r="R23" i="19"/>
  <c r="N23" i="19"/>
  <c r="L23" i="19"/>
  <c r="J23" i="19"/>
  <c r="H23" i="19"/>
  <c r="F23" i="19"/>
  <c r="D23" i="19"/>
  <c r="B23" i="19"/>
  <c r="AC22" i="19"/>
  <c r="R22" i="19"/>
  <c r="N22" i="19"/>
  <c r="L22" i="19"/>
  <c r="J22" i="19"/>
  <c r="H22" i="19"/>
  <c r="F22" i="19"/>
  <c r="D22" i="19"/>
  <c r="B22" i="19"/>
  <c r="AC21" i="19"/>
  <c r="R21" i="19"/>
  <c r="N21" i="19"/>
  <c r="L21" i="19"/>
  <c r="J21" i="19"/>
  <c r="H21" i="19"/>
  <c r="F21" i="19"/>
  <c r="D21" i="19"/>
  <c r="B21" i="19"/>
  <c r="N20" i="19"/>
  <c r="L20" i="19"/>
  <c r="J20" i="19"/>
  <c r="H20" i="19"/>
  <c r="F20" i="19"/>
  <c r="D20" i="19"/>
  <c r="N17" i="19"/>
  <c r="L17" i="19"/>
  <c r="J17" i="19"/>
  <c r="H17" i="19"/>
  <c r="F17" i="19"/>
  <c r="D17" i="19"/>
  <c r="B17" i="19"/>
  <c r="N16" i="19"/>
  <c r="L16" i="19"/>
  <c r="J16" i="19"/>
  <c r="H16" i="19"/>
  <c r="F16" i="19"/>
  <c r="D16" i="19"/>
  <c r="B16" i="19"/>
  <c r="N15" i="19"/>
  <c r="L15" i="19"/>
  <c r="J15" i="19"/>
  <c r="H15" i="19"/>
  <c r="F15" i="19"/>
  <c r="D15" i="19"/>
  <c r="B15" i="19"/>
  <c r="N14" i="19"/>
  <c r="L14" i="19"/>
  <c r="J14" i="19"/>
  <c r="H14" i="19"/>
  <c r="F14" i="19"/>
  <c r="D14" i="19"/>
  <c r="B14" i="19"/>
  <c r="N13" i="19"/>
  <c r="L13" i="19"/>
  <c r="J13" i="19"/>
  <c r="H13" i="19"/>
  <c r="F13" i="19"/>
  <c r="D13" i="19"/>
  <c r="B13" i="19"/>
  <c r="Y12" i="19"/>
  <c r="I765" i="2" s="1"/>
  <c r="N12" i="19"/>
  <c r="L12" i="19"/>
  <c r="J12" i="19"/>
  <c r="H12" i="19"/>
  <c r="F12" i="19"/>
  <c r="D12" i="19"/>
  <c r="B12" i="19"/>
  <c r="N11" i="19"/>
  <c r="L11" i="19"/>
  <c r="J11" i="19"/>
  <c r="H11" i="19"/>
  <c r="F11" i="19"/>
  <c r="D11" i="19"/>
  <c r="B11" i="19"/>
  <c r="AN10" i="19"/>
  <c r="AN12" i="19" s="1"/>
  <c r="AH10" i="19"/>
  <c r="G773" i="2" s="1"/>
  <c r="N10" i="19"/>
  <c r="L10" i="19"/>
  <c r="J10" i="19"/>
  <c r="H10" i="19"/>
  <c r="F10" i="19"/>
  <c r="D10" i="19"/>
  <c r="B10" i="19"/>
  <c r="N9" i="19"/>
  <c r="L9" i="19"/>
  <c r="J9" i="19"/>
  <c r="H9" i="19"/>
  <c r="F9" i="19"/>
  <c r="D9" i="19"/>
  <c r="B9" i="19"/>
  <c r="N8" i="19"/>
  <c r="L8" i="19"/>
  <c r="J8" i="19"/>
  <c r="H8" i="19"/>
  <c r="F8" i="19"/>
  <c r="D8" i="19"/>
  <c r="B8" i="19"/>
  <c r="AO7" i="19"/>
  <c r="AO10" i="19" s="1"/>
  <c r="AO12" i="19" s="1"/>
  <c r="N7" i="19"/>
  <c r="L7" i="19"/>
  <c r="J7" i="19"/>
  <c r="H7" i="19"/>
  <c r="F7" i="19"/>
  <c r="D7" i="19"/>
  <c r="B7" i="19"/>
  <c r="N6" i="19"/>
  <c r="L6" i="19"/>
  <c r="J6" i="19"/>
  <c r="H6" i="19"/>
  <c r="Y14" i="19" s="1"/>
  <c r="I767" i="2" s="1"/>
  <c r="F6" i="19"/>
  <c r="D6" i="19"/>
  <c r="N59" i="18"/>
  <c r="L59" i="18"/>
  <c r="J59" i="18"/>
  <c r="H59" i="18"/>
  <c r="F59" i="18"/>
  <c r="D59" i="18"/>
  <c r="B59" i="18"/>
  <c r="N58" i="18"/>
  <c r="L58" i="18"/>
  <c r="J58" i="18"/>
  <c r="H58" i="18"/>
  <c r="F58" i="18"/>
  <c r="D58" i="18"/>
  <c r="B58" i="18"/>
  <c r="N57" i="18"/>
  <c r="L57" i="18"/>
  <c r="J57" i="18"/>
  <c r="H57" i="18"/>
  <c r="F57" i="18"/>
  <c r="D57" i="18"/>
  <c r="B57" i="18"/>
  <c r="N56" i="18"/>
  <c r="L56" i="18"/>
  <c r="J56" i="18"/>
  <c r="H56" i="18"/>
  <c r="F56" i="18"/>
  <c r="D56" i="18"/>
  <c r="B56" i="18"/>
  <c r="N55" i="18"/>
  <c r="L55" i="18"/>
  <c r="J55" i="18"/>
  <c r="H55" i="18"/>
  <c r="F55" i="18"/>
  <c r="D55" i="18"/>
  <c r="B55" i="18"/>
  <c r="N54" i="18"/>
  <c r="L54" i="18"/>
  <c r="J54" i="18"/>
  <c r="H54" i="18"/>
  <c r="F54" i="18"/>
  <c r="D54" i="18"/>
  <c r="B54" i="18"/>
  <c r="N53" i="18"/>
  <c r="L53" i="18"/>
  <c r="J53" i="18"/>
  <c r="H53" i="18"/>
  <c r="F53" i="18"/>
  <c r="D53" i="18"/>
  <c r="B53" i="18"/>
  <c r="N52" i="18"/>
  <c r="L52" i="18"/>
  <c r="J52" i="18"/>
  <c r="H52" i="18"/>
  <c r="F52" i="18"/>
  <c r="D52" i="18"/>
  <c r="B52" i="18"/>
  <c r="N51" i="18"/>
  <c r="L51" i="18"/>
  <c r="J51" i="18"/>
  <c r="H51" i="18"/>
  <c r="F51" i="18"/>
  <c r="D51" i="18"/>
  <c r="B51" i="18"/>
  <c r="N50" i="18"/>
  <c r="L50" i="18"/>
  <c r="J50" i="18"/>
  <c r="H50" i="18"/>
  <c r="F50" i="18"/>
  <c r="D50" i="18"/>
  <c r="B50" i="18"/>
  <c r="N49" i="18"/>
  <c r="L49" i="18"/>
  <c r="J49" i="18"/>
  <c r="H49" i="18"/>
  <c r="F49" i="18"/>
  <c r="D49" i="18"/>
  <c r="B49" i="18"/>
  <c r="N48" i="18"/>
  <c r="L48" i="18"/>
  <c r="J48" i="18"/>
  <c r="H48" i="18"/>
  <c r="F48" i="18"/>
  <c r="D48" i="18"/>
  <c r="N45" i="18"/>
  <c r="L45" i="18"/>
  <c r="J45" i="18"/>
  <c r="H45" i="18"/>
  <c r="F45" i="18"/>
  <c r="D45" i="18"/>
  <c r="B45" i="18"/>
  <c r="N44" i="18"/>
  <c r="L44" i="18"/>
  <c r="J44" i="18"/>
  <c r="H44" i="18"/>
  <c r="F44" i="18"/>
  <c r="D44" i="18"/>
  <c r="B44" i="18"/>
  <c r="N43" i="18"/>
  <c r="L43" i="18"/>
  <c r="J43" i="18"/>
  <c r="H43" i="18"/>
  <c r="F43" i="18"/>
  <c r="D43" i="18"/>
  <c r="B43" i="18"/>
  <c r="N42" i="18"/>
  <c r="L42" i="18"/>
  <c r="J42" i="18"/>
  <c r="H42" i="18"/>
  <c r="F42" i="18"/>
  <c r="D42" i="18"/>
  <c r="B42" i="18"/>
  <c r="N41" i="18"/>
  <c r="L41" i="18"/>
  <c r="J41" i="18"/>
  <c r="H41" i="18"/>
  <c r="F41" i="18"/>
  <c r="D41" i="18"/>
  <c r="B41" i="18"/>
  <c r="N40" i="18"/>
  <c r="L40" i="18"/>
  <c r="J40" i="18"/>
  <c r="H40" i="18"/>
  <c r="F40" i="18"/>
  <c r="D40" i="18"/>
  <c r="B40" i="18"/>
  <c r="N39" i="18"/>
  <c r="L39" i="18"/>
  <c r="J39" i="18"/>
  <c r="H39" i="18"/>
  <c r="F39" i="18"/>
  <c r="D39" i="18"/>
  <c r="B39" i="18"/>
  <c r="N38" i="18"/>
  <c r="L38" i="18"/>
  <c r="J38" i="18"/>
  <c r="H38" i="18"/>
  <c r="F38" i="18"/>
  <c r="D38" i="18"/>
  <c r="B38" i="18"/>
  <c r="N37" i="18"/>
  <c r="L37" i="18"/>
  <c r="J37" i="18"/>
  <c r="H37" i="18"/>
  <c r="F37" i="18"/>
  <c r="D37" i="18"/>
  <c r="B37" i="18"/>
  <c r="N36" i="18"/>
  <c r="L36" i="18"/>
  <c r="J36" i="18"/>
  <c r="H36" i="18"/>
  <c r="F36" i="18"/>
  <c r="D36" i="18"/>
  <c r="B36" i="18"/>
  <c r="N35" i="18"/>
  <c r="L35" i="18"/>
  <c r="J35" i="18"/>
  <c r="H35" i="18"/>
  <c r="F35" i="18"/>
  <c r="D35" i="18"/>
  <c r="B35" i="18"/>
  <c r="N34" i="18"/>
  <c r="L34" i="18"/>
  <c r="J34" i="18"/>
  <c r="H34" i="18"/>
  <c r="F34" i="18"/>
  <c r="D34" i="18"/>
  <c r="N31" i="18"/>
  <c r="L31" i="18"/>
  <c r="J31" i="18"/>
  <c r="H31" i="18"/>
  <c r="F31" i="18"/>
  <c r="D31" i="18"/>
  <c r="B31" i="18"/>
  <c r="N30" i="18"/>
  <c r="L30" i="18"/>
  <c r="J30" i="18"/>
  <c r="H30" i="18"/>
  <c r="F30" i="18"/>
  <c r="D30" i="18"/>
  <c r="B30" i="18"/>
  <c r="N29" i="18"/>
  <c r="L29" i="18"/>
  <c r="J29" i="18"/>
  <c r="H29" i="18"/>
  <c r="F29" i="18"/>
  <c r="D29" i="18"/>
  <c r="B29" i="18"/>
  <c r="N28" i="18"/>
  <c r="L28" i="18"/>
  <c r="J28" i="18"/>
  <c r="H28" i="18"/>
  <c r="F28" i="18"/>
  <c r="D28" i="18"/>
  <c r="B28" i="18"/>
  <c r="N27" i="18"/>
  <c r="L27" i="18"/>
  <c r="J27" i="18"/>
  <c r="H27" i="18"/>
  <c r="F27" i="18"/>
  <c r="D27" i="18"/>
  <c r="B27" i="18"/>
  <c r="N26" i="18"/>
  <c r="L26" i="18"/>
  <c r="J26" i="18"/>
  <c r="H26" i="18"/>
  <c r="F26" i="18"/>
  <c r="D26" i="18"/>
  <c r="B26" i="18"/>
  <c r="N25" i="18"/>
  <c r="L25" i="18"/>
  <c r="J25" i="18"/>
  <c r="H25" i="18"/>
  <c r="F25" i="18"/>
  <c r="D25" i="18"/>
  <c r="B25" i="18"/>
  <c r="N24" i="18"/>
  <c r="L24" i="18"/>
  <c r="J24" i="18"/>
  <c r="H24" i="18"/>
  <c r="F24" i="18"/>
  <c r="D24" i="18"/>
  <c r="B24" i="18"/>
  <c r="N23" i="18"/>
  <c r="L23" i="18"/>
  <c r="J23" i="18"/>
  <c r="H23" i="18"/>
  <c r="F23" i="18"/>
  <c r="D23" i="18"/>
  <c r="B23" i="18"/>
  <c r="N22" i="18"/>
  <c r="L22" i="18"/>
  <c r="J22" i="18"/>
  <c r="H22" i="18"/>
  <c r="F22" i="18"/>
  <c r="D22" i="18"/>
  <c r="B22" i="18"/>
  <c r="N21" i="18"/>
  <c r="L21" i="18"/>
  <c r="J21" i="18"/>
  <c r="H21" i="18"/>
  <c r="F21" i="18"/>
  <c r="D21" i="18"/>
  <c r="B21" i="18"/>
  <c r="N20" i="18"/>
  <c r="L20" i="18"/>
  <c r="J20" i="18"/>
  <c r="H20" i="18"/>
  <c r="F20" i="18"/>
  <c r="D20" i="18"/>
  <c r="N17" i="18"/>
  <c r="L17" i="18"/>
  <c r="J17" i="18"/>
  <c r="H17" i="18"/>
  <c r="F17" i="18"/>
  <c r="D17" i="18"/>
  <c r="B17" i="18"/>
  <c r="N16" i="18"/>
  <c r="L16" i="18"/>
  <c r="J16" i="18"/>
  <c r="H16" i="18"/>
  <c r="F16" i="18"/>
  <c r="D16" i="18"/>
  <c r="B16" i="18"/>
  <c r="N15" i="18"/>
  <c r="L15" i="18"/>
  <c r="J15" i="18"/>
  <c r="H15" i="18"/>
  <c r="F15" i="18"/>
  <c r="D15" i="18"/>
  <c r="B15" i="18"/>
  <c r="N14" i="18"/>
  <c r="L14" i="18"/>
  <c r="J14" i="18"/>
  <c r="H14" i="18"/>
  <c r="F14" i="18"/>
  <c r="D14" i="18"/>
  <c r="B14" i="18"/>
  <c r="N13" i="18"/>
  <c r="L13" i="18"/>
  <c r="J13" i="18"/>
  <c r="H13" i="18"/>
  <c r="F13" i="18"/>
  <c r="D13" i="18"/>
  <c r="B13" i="18"/>
  <c r="N12" i="18"/>
  <c r="L12" i="18"/>
  <c r="J12" i="18"/>
  <c r="H12" i="18"/>
  <c r="F12" i="18"/>
  <c r="D12" i="18"/>
  <c r="B12" i="18"/>
  <c r="N11" i="18"/>
  <c r="L11" i="18"/>
  <c r="J11" i="18"/>
  <c r="H11" i="18"/>
  <c r="F11" i="18"/>
  <c r="D11" i="18"/>
  <c r="B11" i="18"/>
  <c r="AN10" i="18"/>
  <c r="AN12" i="18" s="1"/>
  <c r="N10" i="18"/>
  <c r="L10" i="18"/>
  <c r="J10" i="18"/>
  <c r="H10" i="18"/>
  <c r="F10" i="18"/>
  <c r="D10" i="18"/>
  <c r="B10" i="18"/>
  <c r="N9" i="18"/>
  <c r="L9" i="18"/>
  <c r="J9" i="18"/>
  <c r="H9" i="18"/>
  <c r="F9" i="18"/>
  <c r="D9" i="18"/>
  <c r="B9" i="18"/>
  <c r="N8" i="18"/>
  <c r="L8" i="18"/>
  <c r="J8" i="18"/>
  <c r="H8" i="18"/>
  <c r="F8" i="18"/>
  <c r="D8" i="18"/>
  <c r="B8" i="18"/>
  <c r="AO7" i="18"/>
  <c r="AP7" i="18" s="1"/>
  <c r="N7" i="18"/>
  <c r="L7" i="18"/>
  <c r="J7" i="18"/>
  <c r="H7" i="18"/>
  <c r="F7" i="18"/>
  <c r="D7" i="18"/>
  <c r="B7" i="18"/>
  <c r="N6" i="18"/>
  <c r="L6" i="18"/>
  <c r="J6" i="18"/>
  <c r="H6" i="18"/>
  <c r="F6" i="18"/>
  <c r="D6" i="18"/>
  <c r="F98" i="2"/>
  <c r="F99" i="2"/>
  <c r="F100" i="2"/>
  <c r="F95" i="2"/>
  <c r="F96" i="2"/>
  <c r="F93" i="2"/>
  <c r="AK25" i="19" l="1"/>
  <c r="J797" i="2" s="1"/>
  <c r="X10" i="20"/>
  <c r="H1139" i="2" s="1"/>
  <c r="Z12" i="20"/>
  <c r="J1141" i="2" s="1"/>
  <c r="AE12" i="19"/>
  <c r="D775" i="2" s="1"/>
  <c r="AD10" i="20"/>
  <c r="C1149" i="2" s="1"/>
  <c r="AG30" i="20"/>
  <c r="F1178" i="2" s="1"/>
  <c r="AJ12" i="19"/>
  <c r="I775" i="2" s="1"/>
  <c r="AO13" i="19"/>
  <c r="Y10" i="19"/>
  <c r="I763" i="2" s="1"/>
  <c r="AJ11" i="19"/>
  <c r="I774" i="2" s="1"/>
  <c r="T12" i="19"/>
  <c r="D765" i="2" s="1"/>
  <c r="AD14" i="19"/>
  <c r="C777" i="2" s="1"/>
  <c r="Z15" i="19"/>
  <c r="J768" i="2" s="1"/>
  <c r="W16" i="19"/>
  <c r="G769" i="2" s="1"/>
  <c r="AH9" i="20"/>
  <c r="G1148" i="2" s="1"/>
  <c r="AK9" i="20"/>
  <c r="J1148" i="2" s="1"/>
  <c r="S10" i="20"/>
  <c r="C1139" i="2" s="1"/>
  <c r="W7" i="20"/>
  <c r="G1136" i="2" s="1"/>
  <c r="AE12" i="20"/>
  <c r="D1151" i="2" s="1"/>
  <c r="S13" i="20"/>
  <c r="C1142" i="2" s="1"/>
  <c r="AJ15" i="20"/>
  <c r="I1154" i="2" s="1"/>
  <c r="V16" i="20"/>
  <c r="F1145" i="2" s="1"/>
  <c r="AH27" i="20"/>
  <c r="G1175" i="2" s="1"/>
  <c r="X28" i="18"/>
  <c r="H141" i="2" s="1"/>
  <c r="AI10" i="19"/>
  <c r="H773" i="2" s="1"/>
  <c r="AJ41" i="19"/>
  <c r="I822" i="2" s="1"/>
  <c r="Y9" i="19"/>
  <c r="I762" i="2" s="1"/>
  <c r="AP7" i="19"/>
  <c r="AP10" i="19" s="1"/>
  <c r="AF10" i="19"/>
  <c r="E773" i="2" s="1"/>
  <c r="W12" i="19"/>
  <c r="G765" i="2" s="1"/>
  <c r="AH24" i="19"/>
  <c r="G796" i="2" s="1"/>
  <c r="Z25" i="19"/>
  <c r="J787" i="2" s="1"/>
  <c r="Z16" i="20"/>
  <c r="J1145" i="2" s="1"/>
  <c r="T10" i="20"/>
  <c r="D1139" i="2" s="1"/>
  <c r="U13" i="20"/>
  <c r="E1142" i="2" s="1"/>
  <c r="AG16" i="20"/>
  <c r="F1155" i="2" s="1"/>
  <c r="U29" i="20"/>
  <c r="E1167" i="2" s="1"/>
  <c r="Z7" i="18"/>
  <c r="J111" i="2" s="1"/>
  <c r="Y43" i="18"/>
  <c r="AG8" i="18"/>
  <c r="F122" i="2" s="1"/>
  <c r="U30" i="18"/>
  <c r="E143" i="2" s="1"/>
  <c r="V15" i="19"/>
  <c r="F768" i="2" s="1"/>
  <c r="U13" i="19"/>
  <c r="E766" i="2" s="1"/>
  <c r="AH7" i="20"/>
  <c r="G1146" i="2" s="1"/>
  <c r="S11" i="19"/>
  <c r="C764" i="2" s="1"/>
  <c r="U14" i="19"/>
  <c r="E767" i="2" s="1"/>
  <c r="V11" i="19"/>
  <c r="F764" i="2" s="1"/>
  <c r="AK12" i="19"/>
  <c r="J775" i="2" s="1"/>
  <c r="X13" i="19"/>
  <c r="H766" i="2" s="1"/>
  <c r="AJ42" i="19"/>
  <c r="I823" i="2" s="1"/>
  <c r="X29" i="19"/>
  <c r="H791" i="2" s="1"/>
  <c r="AI7" i="20"/>
  <c r="H1146" i="2" s="1"/>
  <c r="AN13" i="20"/>
  <c r="AE11" i="20"/>
  <c r="D1150" i="2" s="1"/>
  <c r="AH14" i="20"/>
  <c r="G1153" i="2" s="1"/>
  <c r="Y15" i="20"/>
  <c r="I1144" i="2" s="1"/>
  <c r="AE38" i="20"/>
  <c r="D1195" i="2" s="1"/>
  <c r="Y25" i="20"/>
  <c r="I1163" i="2" s="1"/>
  <c r="AG9" i="18"/>
  <c r="F123" i="2" s="1"/>
  <c r="AG14" i="20"/>
  <c r="F1153" i="2" s="1"/>
  <c r="W14" i="20"/>
  <c r="G1143" i="2" s="1"/>
  <c r="V23" i="18"/>
  <c r="F136" i="2" s="1"/>
  <c r="Z10" i="19"/>
  <c r="J763" i="2" s="1"/>
  <c r="AI10" i="20"/>
  <c r="H1149" i="2" s="1"/>
  <c r="V24" i="18"/>
  <c r="F137" i="2" s="1"/>
  <c r="AN13" i="18"/>
  <c r="AD16" i="19"/>
  <c r="C779" i="2" s="1"/>
  <c r="U7" i="19"/>
  <c r="E760" i="2" s="1"/>
  <c r="AD13" i="19"/>
  <c r="C776" i="2" s="1"/>
  <c r="AE14" i="19"/>
  <c r="D777" i="2" s="1"/>
  <c r="AG11" i="19"/>
  <c r="F774" i="2" s="1"/>
  <c r="AH15" i="19"/>
  <c r="G778" i="2" s="1"/>
  <c r="Z13" i="19"/>
  <c r="J766" i="2" s="1"/>
  <c r="AG29" i="19"/>
  <c r="F801" i="2" s="1"/>
  <c r="AO13" i="20"/>
  <c r="Y8" i="20"/>
  <c r="I1137" i="2" s="1"/>
  <c r="AF11" i="20"/>
  <c r="E1150" i="2" s="1"/>
  <c r="T12" i="20"/>
  <c r="D1141" i="2" s="1"/>
  <c r="AH15" i="20"/>
  <c r="G1154" i="2" s="1"/>
  <c r="V26" i="20"/>
  <c r="F1164" i="2" s="1"/>
  <c r="AH13" i="20"/>
  <c r="G1152" i="2" s="1"/>
  <c r="AK16" i="20"/>
  <c r="J1155" i="2" s="1"/>
  <c r="V14" i="19"/>
  <c r="F767" i="2" s="1"/>
  <c r="AJ10" i="19"/>
  <c r="I773" i="2" s="1"/>
  <c r="V7" i="19"/>
  <c r="F760" i="2" s="1"/>
  <c r="U10" i="19"/>
  <c r="E763" i="2" s="1"/>
  <c r="AI11" i="19"/>
  <c r="H774" i="2" s="1"/>
  <c r="AI13" i="19"/>
  <c r="H776" i="2" s="1"/>
  <c r="AF22" i="19"/>
  <c r="E794" i="2" s="1"/>
  <c r="U23" i="19"/>
  <c r="E785" i="2" s="1"/>
  <c r="AK30" i="19"/>
  <c r="J802" i="2" s="1"/>
  <c r="X7" i="20"/>
  <c r="H1136" i="2" s="1"/>
  <c r="Z8" i="20"/>
  <c r="J1137" i="2" s="1"/>
  <c r="S9" i="20"/>
  <c r="C1138" i="2" s="1"/>
  <c r="V12" i="20"/>
  <c r="F1141" i="2" s="1"/>
  <c r="Y11" i="20"/>
  <c r="I1140" i="2" s="1"/>
  <c r="AI15" i="20"/>
  <c r="H1154" i="2" s="1"/>
  <c r="AD40" i="20"/>
  <c r="C1197" i="2" s="1"/>
  <c r="Z27" i="20"/>
  <c r="J1165" i="2" s="1"/>
  <c r="Y27" i="18"/>
  <c r="I140" i="2" s="1"/>
  <c r="AD39" i="18"/>
  <c r="C171" i="2" s="1"/>
  <c r="R35" i="20"/>
  <c r="Y35" i="20" s="1"/>
  <c r="I1182" i="2" s="1"/>
  <c r="W29" i="20"/>
  <c r="G1167" i="2" s="1"/>
  <c r="R43" i="20"/>
  <c r="X43" i="20" s="1"/>
  <c r="H1190" i="2" s="1"/>
  <c r="AH30" i="20"/>
  <c r="G1178" i="2" s="1"/>
  <c r="AP7" i="20"/>
  <c r="AJ24" i="20"/>
  <c r="I1172" i="2" s="1"/>
  <c r="AI29" i="20"/>
  <c r="H1177" i="2" s="1"/>
  <c r="AC56" i="20"/>
  <c r="AF56" i="20" s="1"/>
  <c r="E1222" i="2" s="1"/>
  <c r="AK42" i="20"/>
  <c r="J1199" i="2" s="1"/>
  <c r="AF23" i="20"/>
  <c r="E1171" i="2" s="1"/>
  <c r="AN24" i="20"/>
  <c r="W30" i="20"/>
  <c r="G1168" i="2" s="1"/>
  <c r="R41" i="20"/>
  <c r="X41" i="20" s="1"/>
  <c r="H1188" i="2" s="1"/>
  <c r="Y24" i="20"/>
  <c r="I1162" i="2" s="1"/>
  <c r="U27" i="20"/>
  <c r="E1165" i="2" s="1"/>
  <c r="Z24" i="20"/>
  <c r="J1162" i="2" s="1"/>
  <c r="W27" i="20"/>
  <c r="G1165" i="2" s="1"/>
  <c r="X23" i="19"/>
  <c r="H785" i="2" s="1"/>
  <c r="AI28" i="19"/>
  <c r="H800" i="2" s="1"/>
  <c r="AF28" i="19"/>
  <c r="E800" i="2" s="1"/>
  <c r="V29" i="19"/>
  <c r="F791" i="2" s="1"/>
  <c r="S24" i="19"/>
  <c r="C786" i="2" s="1"/>
  <c r="AI24" i="19"/>
  <c r="H796" i="2" s="1"/>
  <c r="Z26" i="19"/>
  <c r="J788" i="2" s="1"/>
  <c r="AG27" i="19"/>
  <c r="F799" i="2" s="1"/>
  <c r="AI25" i="19"/>
  <c r="H797" i="2" s="1"/>
  <c r="AC39" i="19"/>
  <c r="AK39" i="19" s="1"/>
  <c r="J820" i="2" s="1"/>
  <c r="AF30" i="19"/>
  <c r="E802" i="2" s="1"/>
  <c r="AG30" i="19"/>
  <c r="F802" i="2" s="1"/>
  <c r="V38" i="19"/>
  <c r="F809" i="2" s="1"/>
  <c r="U38" i="19"/>
  <c r="E809" i="2" s="1"/>
  <c r="AN26" i="19"/>
  <c r="AN27" i="19" s="1"/>
  <c r="AN25" i="19"/>
  <c r="V25" i="19"/>
  <c r="F787" i="2" s="1"/>
  <c r="R43" i="19"/>
  <c r="Y43" i="19" s="1"/>
  <c r="I814" i="2" s="1"/>
  <c r="X28" i="19"/>
  <c r="H790" i="2" s="1"/>
  <c r="Z42" i="19"/>
  <c r="J813" i="2" s="1"/>
  <c r="Y24" i="19"/>
  <c r="I786" i="2" s="1"/>
  <c r="AJ7" i="18"/>
  <c r="I121" i="2" s="1"/>
  <c r="V8" i="18"/>
  <c r="F112" i="2" s="1"/>
  <c r="S9" i="18"/>
  <c r="C113" i="2" s="1"/>
  <c r="AC21" i="18"/>
  <c r="AI21" i="18" s="1"/>
  <c r="H144" i="2" s="1"/>
  <c r="R22" i="18"/>
  <c r="Z22" i="18" s="1"/>
  <c r="J135" i="2" s="1"/>
  <c r="AD9" i="18"/>
  <c r="C123" i="2" s="1"/>
  <c r="AD7" i="18"/>
  <c r="C121" i="2" s="1"/>
  <c r="X11" i="18"/>
  <c r="H115" i="2" s="1"/>
  <c r="S7" i="18"/>
  <c r="C111" i="2" s="1"/>
  <c r="AF9" i="18"/>
  <c r="E123" i="2" s="1"/>
  <c r="Y7" i="18"/>
  <c r="I111" i="2" s="1"/>
  <c r="AN21" i="18"/>
  <c r="AO21" i="18" s="1"/>
  <c r="AO24" i="18" s="1"/>
  <c r="AH9" i="18"/>
  <c r="G123" i="2" s="1"/>
  <c r="AH16" i="18"/>
  <c r="G130" i="2" s="1"/>
  <c r="T8" i="18"/>
  <c r="D112" i="2" s="1"/>
  <c r="AI28" i="18"/>
  <c r="H151" i="2" s="1"/>
  <c r="AK26" i="18"/>
  <c r="J149" i="2" s="1"/>
  <c r="AC40" i="18"/>
  <c r="AK40" i="18" s="1"/>
  <c r="J172" i="2" s="1"/>
  <c r="AF8" i="18"/>
  <c r="E122" i="2" s="1"/>
  <c r="AC22" i="18"/>
  <c r="AK22" i="18" s="1"/>
  <c r="J145" i="2" s="1"/>
  <c r="Y8" i="18"/>
  <c r="I112" i="2" s="1"/>
  <c r="AH8" i="18"/>
  <c r="G122" i="2" s="1"/>
  <c r="AC23" i="18"/>
  <c r="AC37" i="18" s="1"/>
  <c r="AK37" i="18" s="1"/>
  <c r="J169" i="2" s="1"/>
  <c r="R21" i="18"/>
  <c r="Z21" i="18" s="1"/>
  <c r="J134" i="2" s="1"/>
  <c r="T24" i="18"/>
  <c r="D137" i="2" s="1"/>
  <c r="S14" i="18"/>
  <c r="C118" i="2" s="1"/>
  <c r="AE10" i="18"/>
  <c r="D124" i="2" s="1"/>
  <c r="U11" i="18"/>
  <c r="E115" i="2" s="1"/>
  <c r="AH30" i="18"/>
  <c r="G153" i="2" s="1"/>
  <c r="W43" i="18"/>
  <c r="U43" i="18"/>
  <c r="X43" i="18"/>
  <c r="Z43" i="18"/>
  <c r="T26" i="20"/>
  <c r="D1164" i="2" s="1"/>
  <c r="T7" i="20"/>
  <c r="D1136" i="2" s="1"/>
  <c r="AG8" i="20"/>
  <c r="F1147" i="2" s="1"/>
  <c r="V7" i="20"/>
  <c r="F1136" i="2" s="1"/>
  <c r="AQ7" i="20"/>
  <c r="AP10" i="20"/>
  <c r="AI8" i="20"/>
  <c r="H1147" i="2" s="1"/>
  <c r="Y9" i="20"/>
  <c r="I1138" i="2" s="1"/>
  <c r="Z10" i="20"/>
  <c r="J1139" i="2" s="1"/>
  <c r="S11" i="20"/>
  <c r="C1140" i="2" s="1"/>
  <c r="AN11" i="20"/>
  <c r="AN8" i="20" s="1"/>
  <c r="AF12" i="20"/>
  <c r="E1151" i="2" s="1"/>
  <c r="V13" i="20"/>
  <c r="F1142" i="2" s="1"/>
  <c r="AI14" i="20"/>
  <c r="H1153" i="2" s="1"/>
  <c r="U15" i="20"/>
  <c r="E1144" i="2" s="1"/>
  <c r="X16" i="20"/>
  <c r="H1145" i="2" s="1"/>
  <c r="AG22" i="20"/>
  <c r="F1170" i="2" s="1"/>
  <c r="AH24" i="20"/>
  <c r="G1172" i="2" s="1"/>
  <c r="AC39" i="20"/>
  <c r="AF25" i="20"/>
  <c r="E1173" i="2" s="1"/>
  <c r="AK25" i="20"/>
  <c r="J1173" i="2" s="1"/>
  <c r="AI25" i="20"/>
  <c r="H1173" i="2" s="1"/>
  <c r="AE25" i="20"/>
  <c r="D1173" i="2" s="1"/>
  <c r="AH25" i="20"/>
  <c r="G1173" i="2" s="1"/>
  <c r="AG25" i="20"/>
  <c r="F1173" i="2" s="1"/>
  <c r="AE26" i="20"/>
  <c r="D1174" i="2" s="1"/>
  <c r="AD26" i="20"/>
  <c r="C1174" i="2" s="1"/>
  <c r="AK26" i="20"/>
  <c r="J1174" i="2" s="1"/>
  <c r="AJ26" i="20"/>
  <c r="I1174" i="2" s="1"/>
  <c r="AI26" i="20"/>
  <c r="H1174" i="2" s="1"/>
  <c r="AH26" i="20"/>
  <c r="G1174" i="2" s="1"/>
  <c r="X27" i="20"/>
  <c r="H1165" i="2" s="1"/>
  <c r="W28" i="20"/>
  <c r="G1166" i="2" s="1"/>
  <c r="AG29" i="20"/>
  <c r="F1177" i="2" s="1"/>
  <c r="R39" i="20"/>
  <c r="Y41" i="20"/>
  <c r="I1188" i="2" s="1"/>
  <c r="V41" i="20"/>
  <c r="F1188" i="2" s="1"/>
  <c r="V43" i="20"/>
  <c r="F1190" i="2" s="1"/>
  <c r="W23" i="20"/>
  <c r="G1161" i="2" s="1"/>
  <c r="S25" i="20"/>
  <c r="C1163" i="2" s="1"/>
  <c r="W9" i="20"/>
  <c r="G1138" i="2" s="1"/>
  <c r="AP21" i="20"/>
  <c r="Y23" i="20"/>
  <c r="I1161" i="2" s="1"/>
  <c r="AJ8" i="20"/>
  <c r="I1147" i="2" s="1"/>
  <c r="Z9" i="20"/>
  <c r="J1138" i="2" s="1"/>
  <c r="T11" i="20"/>
  <c r="D1140" i="2" s="1"/>
  <c r="AO11" i="20"/>
  <c r="AO8" i="20" s="1"/>
  <c r="AG12" i="20"/>
  <c r="F1151" i="2" s="1"/>
  <c r="W13" i="20"/>
  <c r="G1142" i="2" s="1"/>
  <c r="T14" i="20"/>
  <c r="D1143" i="2" s="1"/>
  <c r="W15" i="20"/>
  <c r="G1144" i="2" s="1"/>
  <c r="Y16" i="20"/>
  <c r="I1145" i="2" s="1"/>
  <c r="AD21" i="20"/>
  <c r="C1169" i="2" s="1"/>
  <c r="S22" i="20"/>
  <c r="C1160" i="2" s="1"/>
  <c r="AH22" i="20"/>
  <c r="G1170" i="2" s="1"/>
  <c r="AD25" i="20"/>
  <c r="C1173" i="2" s="1"/>
  <c r="AF26" i="20"/>
  <c r="E1174" i="2" s="1"/>
  <c r="AK27" i="20"/>
  <c r="J1175" i="2" s="1"/>
  <c r="Y28" i="20"/>
  <c r="I1166" i="2" s="1"/>
  <c r="U30" i="20"/>
  <c r="E1168" i="2" s="1"/>
  <c r="AK23" i="20"/>
  <c r="J1171" i="2" s="1"/>
  <c r="Z23" i="20"/>
  <c r="J1161" i="2" s="1"/>
  <c r="U21" i="20"/>
  <c r="E1159" i="2" s="1"/>
  <c r="AD22" i="20"/>
  <c r="C1170" i="2" s="1"/>
  <c r="AJ11" i="20"/>
  <c r="I1150" i="2" s="1"/>
  <c r="Y21" i="20"/>
  <c r="I1159" i="2" s="1"/>
  <c r="AF22" i="20"/>
  <c r="E1170" i="2" s="1"/>
  <c r="AK8" i="20"/>
  <c r="J1147" i="2" s="1"/>
  <c r="AD9" i="20"/>
  <c r="C1148" i="2" s="1"/>
  <c r="AE10" i="20"/>
  <c r="D1149" i="2" s="1"/>
  <c r="U11" i="20"/>
  <c r="E1140" i="2" s="1"/>
  <c r="AK12" i="20"/>
  <c r="J1151" i="2" s="1"/>
  <c r="AD13" i="20"/>
  <c r="C1152" i="2" s="1"/>
  <c r="V14" i="20"/>
  <c r="F1143" i="2" s="1"/>
  <c r="X15" i="20"/>
  <c r="H1144" i="2" s="1"/>
  <c r="V30" i="20"/>
  <c r="F1168" i="2" s="1"/>
  <c r="AJ27" i="20"/>
  <c r="I1175" i="2" s="1"/>
  <c r="X29" i="20"/>
  <c r="H1167" i="2" s="1"/>
  <c r="Y27" i="20"/>
  <c r="I1165" i="2" s="1"/>
  <c r="AE21" i="20"/>
  <c r="D1169" i="2" s="1"/>
  <c r="U22" i="20"/>
  <c r="E1160" i="2" s="1"/>
  <c r="AI23" i="20"/>
  <c r="H1171" i="2" s="1"/>
  <c r="AK24" i="20"/>
  <c r="J1172" i="2" s="1"/>
  <c r="AJ25" i="20"/>
  <c r="I1173" i="2" s="1"/>
  <c r="AG26" i="20"/>
  <c r="F1174" i="2" s="1"/>
  <c r="AF27" i="20"/>
  <c r="E1175" i="2" s="1"/>
  <c r="Z28" i="20"/>
  <c r="J1166" i="2" s="1"/>
  <c r="T30" i="20"/>
  <c r="D1168" i="2" s="1"/>
  <c r="V25" i="20"/>
  <c r="F1163" i="2" s="1"/>
  <c r="Z25" i="20"/>
  <c r="J1163" i="2" s="1"/>
  <c r="X25" i="20"/>
  <c r="H1163" i="2" s="1"/>
  <c r="W25" i="20"/>
  <c r="G1163" i="2" s="1"/>
  <c r="U25" i="20"/>
  <c r="E1163" i="2" s="1"/>
  <c r="T25" i="20"/>
  <c r="D1163" i="2" s="1"/>
  <c r="AE7" i="20"/>
  <c r="D1146" i="2" s="1"/>
  <c r="V8" i="20"/>
  <c r="F1137" i="2" s="1"/>
  <c r="AF21" i="20"/>
  <c r="E1169" i="2" s="1"/>
  <c r="V22" i="20"/>
  <c r="F1160" i="2" s="1"/>
  <c r="AJ23" i="20"/>
  <c r="I1171" i="2" s="1"/>
  <c r="AH16" i="20"/>
  <c r="G1155" i="2" s="1"/>
  <c r="W16" i="20"/>
  <c r="G1145" i="2" s="1"/>
  <c r="AG15" i="20"/>
  <c r="F1154" i="2" s="1"/>
  <c r="V15" i="20"/>
  <c r="F1144" i="2" s="1"/>
  <c r="AF14" i="20"/>
  <c r="E1153" i="2" s="1"/>
  <c r="U14" i="20"/>
  <c r="E1143" i="2" s="1"/>
  <c r="AE13" i="20"/>
  <c r="D1152" i="2" s="1"/>
  <c r="T13" i="20"/>
  <c r="D1142" i="2" s="1"/>
  <c r="AD12" i="20"/>
  <c r="C1151" i="2" s="1"/>
  <c r="S12" i="20"/>
  <c r="C1141" i="2" s="1"/>
  <c r="AK11" i="20"/>
  <c r="J1150" i="2" s="1"/>
  <c r="Z11" i="20"/>
  <c r="J1140" i="2" s="1"/>
  <c r="AJ10" i="20"/>
  <c r="I1149" i="2" s="1"/>
  <c r="Y10" i="20"/>
  <c r="I1139" i="2" s="1"/>
  <c r="AI9" i="20"/>
  <c r="H1148" i="2" s="1"/>
  <c r="X9" i="20"/>
  <c r="H1138" i="2" s="1"/>
  <c r="AH8" i="20"/>
  <c r="G1147" i="2" s="1"/>
  <c r="W8" i="20"/>
  <c r="G1137" i="2" s="1"/>
  <c r="AF7" i="20"/>
  <c r="E1146" i="2" s="1"/>
  <c r="U7" i="20"/>
  <c r="E1136" i="2" s="1"/>
  <c r="AF16" i="20"/>
  <c r="E1155" i="2" s="1"/>
  <c r="U16" i="20"/>
  <c r="E1145" i="2" s="1"/>
  <c r="AE15" i="20"/>
  <c r="D1154" i="2" s="1"/>
  <c r="T15" i="20"/>
  <c r="D1144" i="2" s="1"/>
  <c r="AD14" i="20"/>
  <c r="C1153" i="2" s="1"/>
  <c r="S14" i="20"/>
  <c r="C1143" i="2" s="1"/>
  <c r="AK13" i="20"/>
  <c r="J1152" i="2" s="1"/>
  <c r="Z13" i="20"/>
  <c r="J1142" i="2" s="1"/>
  <c r="AJ12" i="20"/>
  <c r="I1151" i="2" s="1"/>
  <c r="Y12" i="20"/>
  <c r="I1141" i="2" s="1"/>
  <c r="AI11" i="20"/>
  <c r="H1150" i="2" s="1"/>
  <c r="X11" i="20"/>
  <c r="H1140" i="2" s="1"/>
  <c r="AH10" i="20"/>
  <c r="G1149" i="2" s="1"/>
  <c r="W10" i="20"/>
  <c r="G1139" i="2" s="1"/>
  <c r="AG9" i="20"/>
  <c r="F1148" i="2" s="1"/>
  <c r="V9" i="20"/>
  <c r="F1138" i="2" s="1"/>
  <c r="AF8" i="20"/>
  <c r="E1147" i="2" s="1"/>
  <c r="U8" i="20"/>
  <c r="E1137" i="2" s="1"/>
  <c r="AD7" i="20"/>
  <c r="C1146" i="2" s="1"/>
  <c r="S7" i="20"/>
  <c r="C1136" i="2" s="1"/>
  <c r="AE16" i="20"/>
  <c r="D1155" i="2" s="1"/>
  <c r="T16" i="20"/>
  <c r="D1145" i="2" s="1"/>
  <c r="AD15" i="20"/>
  <c r="C1154" i="2" s="1"/>
  <c r="S15" i="20"/>
  <c r="C1144" i="2" s="1"/>
  <c r="AK14" i="20"/>
  <c r="J1153" i="2" s="1"/>
  <c r="Z14" i="20"/>
  <c r="J1143" i="2" s="1"/>
  <c r="AJ13" i="20"/>
  <c r="I1152" i="2" s="1"/>
  <c r="Y13" i="20"/>
  <c r="I1142" i="2" s="1"/>
  <c r="AI12" i="20"/>
  <c r="H1151" i="2" s="1"/>
  <c r="X12" i="20"/>
  <c r="H1141" i="2" s="1"/>
  <c r="AH11" i="20"/>
  <c r="G1150" i="2" s="1"/>
  <c r="W11" i="20"/>
  <c r="G1140" i="2" s="1"/>
  <c r="AG10" i="20"/>
  <c r="F1149" i="2" s="1"/>
  <c r="V10" i="20"/>
  <c r="F1139" i="2" s="1"/>
  <c r="AF9" i="20"/>
  <c r="E1148" i="2" s="1"/>
  <c r="U9" i="20"/>
  <c r="E1138" i="2" s="1"/>
  <c r="AE8" i="20"/>
  <c r="D1147" i="2" s="1"/>
  <c r="T8" i="20"/>
  <c r="D1137" i="2" s="1"/>
  <c r="AK7" i="20"/>
  <c r="J1146" i="2" s="1"/>
  <c r="Z7" i="20"/>
  <c r="J1136" i="2" s="1"/>
  <c r="AD16" i="20"/>
  <c r="C1155" i="2" s="1"/>
  <c r="S16" i="20"/>
  <c r="C1145" i="2" s="1"/>
  <c r="AK15" i="20"/>
  <c r="J1154" i="2" s="1"/>
  <c r="Z15" i="20"/>
  <c r="J1144" i="2" s="1"/>
  <c r="AJ14" i="20"/>
  <c r="I1153" i="2" s="1"/>
  <c r="Y14" i="20"/>
  <c r="I1143" i="2" s="1"/>
  <c r="AI13" i="20"/>
  <c r="H1152" i="2" s="1"/>
  <c r="X13" i="20"/>
  <c r="H1142" i="2" s="1"/>
  <c r="AH12" i="20"/>
  <c r="G1151" i="2" s="1"/>
  <c r="W12" i="20"/>
  <c r="G1141" i="2" s="1"/>
  <c r="AG11" i="20"/>
  <c r="F1150" i="2" s="1"/>
  <c r="V11" i="20"/>
  <c r="F1140" i="2" s="1"/>
  <c r="AF10" i="20"/>
  <c r="E1149" i="2" s="1"/>
  <c r="U10" i="20"/>
  <c r="E1139" i="2" s="1"/>
  <c r="AE9" i="20"/>
  <c r="D1148" i="2" s="1"/>
  <c r="T9" i="20"/>
  <c r="D1138" i="2" s="1"/>
  <c r="AD8" i="20"/>
  <c r="C1147" i="2" s="1"/>
  <c r="S8" i="20"/>
  <c r="C1137" i="2" s="1"/>
  <c r="AJ7" i="20"/>
  <c r="I1146" i="2" s="1"/>
  <c r="Y7" i="20"/>
  <c r="I1136" i="2" s="1"/>
  <c r="AG7" i="20"/>
  <c r="F1146" i="2" s="1"/>
  <c r="X8" i="20"/>
  <c r="H1137" i="2" s="1"/>
  <c r="AJ9" i="20"/>
  <c r="I1148" i="2" s="1"/>
  <c r="AK10" i="20"/>
  <c r="J1149" i="2" s="1"/>
  <c r="AD11" i="20"/>
  <c r="C1150" i="2" s="1"/>
  <c r="U12" i="20"/>
  <c r="E1141" i="2" s="1"/>
  <c r="AG13" i="20"/>
  <c r="F1152" i="2" s="1"/>
  <c r="X14" i="20"/>
  <c r="H1143" i="2" s="1"/>
  <c r="AF15" i="20"/>
  <c r="E1154" i="2" s="1"/>
  <c r="AI16" i="20"/>
  <c r="H1155" i="2" s="1"/>
  <c r="S21" i="20"/>
  <c r="C1159" i="2" s="1"/>
  <c r="AK21" i="20"/>
  <c r="J1169" i="2" s="1"/>
  <c r="W22" i="20"/>
  <c r="G1160" i="2" s="1"/>
  <c r="V24" i="20"/>
  <c r="F1162" i="2" s="1"/>
  <c r="AO25" i="20"/>
  <c r="AO22" i="20" s="1"/>
  <c r="AI27" i="20"/>
  <c r="H1175" i="2" s="1"/>
  <c r="AI28" i="20"/>
  <c r="H1176" i="2" s="1"/>
  <c r="AD30" i="20"/>
  <c r="C1178" i="2" s="1"/>
  <c r="AD38" i="20"/>
  <c r="C1195" i="2" s="1"/>
  <c r="AC52" i="20"/>
  <c r="AJ38" i="20"/>
  <c r="I1195" i="2" s="1"/>
  <c r="AI38" i="20"/>
  <c r="H1195" i="2" s="1"/>
  <c r="AH38" i="20"/>
  <c r="G1195" i="2" s="1"/>
  <c r="AF38" i="20"/>
  <c r="E1195" i="2" s="1"/>
  <c r="AK38" i="20"/>
  <c r="J1195" i="2" s="1"/>
  <c r="AG38" i="20"/>
  <c r="F1195" i="2" s="1"/>
  <c r="AC54" i="20"/>
  <c r="AJ40" i="20"/>
  <c r="I1197" i="2" s="1"/>
  <c r="AH40" i="20"/>
  <c r="G1197" i="2" s="1"/>
  <c r="AG40" i="20"/>
  <c r="F1197" i="2" s="1"/>
  <c r="AF40" i="20"/>
  <c r="E1197" i="2" s="1"/>
  <c r="AE40" i="20"/>
  <c r="D1197" i="2" s="1"/>
  <c r="AK40" i="20"/>
  <c r="J1197" i="2" s="1"/>
  <c r="AI40" i="20"/>
  <c r="H1197" i="2" s="1"/>
  <c r="R40" i="20"/>
  <c r="U26" i="20"/>
  <c r="E1164" i="2" s="1"/>
  <c r="S26" i="20"/>
  <c r="C1164" i="2" s="1"/>
  <c r="Z26" i="20"/>
  <c r="J1164" i="2" s="1"/>
  <c r="W26" i="20"/>
  <c r="G1164" i="2" s="1"/>
  <c r="Y26" i="20"/>
  <c r="I1164" i="2" s="1"/>
  <c r="X26" i="20"/>
  <c r="H1164" i="2" s="1"/>
  <c r="AG24" i="20"/>
  <c r="F1172" i="2" s="1"/>
  <c r="S28" i="20"/>
  <c r="C1166" i="2" s="1"/>
  <c r="V21" i="20"/>
  <c r="F1159" i="2" s="1"/>
  <c r="AG21" i="20"/>
  <c r="F1169" i="2" s="1"/>
  <c r="X22" i="20"/>
  <c r="H1160" i="2" s="1"/>
  <c r="AJ22" i="20"/>
  <c r="I1170" i="2" s="1"/>
  <c r="R37" i="20"/>
  <c r="X23" i="20"/>
  <c r="H1161" i="2" s="1"/>
  <c r="AC37" i="20"/>
  <c r="AH23" i="20"/>
  <c r="G1171" i="2" s="1"/>
  <c r="S24" i="20"/>
  <c r="C1162" i="2" s="1"/>
  <c r="AD24" i="20"/>
  <c r="C1172" i="2" s="1"/>
  <c r="T28" i="20"/>
  <c r="D1166" i="2" s="1"/>
  <c r="AD28" i="20"/>
  <c r="C1176" i="2" s="1"/>
  <c r="Y29" i="20"/>
  <c r="I1167" i="2" s="1"/>
  <c r="AG42" i="20"/>
  <c r="F1199" i="2" s="1"/>
  <c r="AK28" i="20"/>
  <c r="J1176" i="2" s="1"/>
  <c r="V29" i="20"/>
  <c r="F1167" i="2" s="1"/>
  <c r="AG28" i="20"/>
  <c r="F1176" i="2" s="1"/>
  <c r="T29" i="20"/>
  <c r="D1167" i="2" s="1"/>
  <c r="AE28" i="20"/>
  <c r="D1176" i="2" s="1"/>
  <c r="AJ30" i="20"/>
  <c r="I1178" i="2" s="1"/>
  <c r="S29" i="20"/>
  <c r="C1167" i="2" s="1"/>
  <c r="W21" i="20"/>
  <c r="G1159" i="2" s="1"/>
  <c r="AH21" i="20"/>
  <c r="G1169" i="2" s="1"/>
  <c r="Z22" i="20"/>
  <c r="J1160" i="2" s="1"/>
  <c r="AK22" i="20"/>
  <c r="J1170" i="2" s="1"/>
  <c r="S23" i="20"/>
  <c r="C1161" i="2" s="1"/>
  <c r="AD23" i="20"/>
  <c r="C1171" i="2" s="1"/>
  <c r="AE24" i="20"/>
  <c r="D1172" i="2" s="1"/>
  <c r="T27" i="20"/>
  <c r="D1165" i="2" s="1"/>
  <c r="AD27" i="20"/>
  <c r="C1175" i="2" s="1"/>
  <c r="U28" i="20"/>
  <c r="E1166" i="2" s="1"/>
  <c r="AF28" i="20"/>
  <c r="E1176" i="2" s="1"/>
  <c r="AF29" i="20"/>
  <c r="E1177" i="2" s="1"/>
  <c r="X30" i="20"/>
  <c r="H1168" i="2" s="1"/>
  <c r="AI42" i="20"/>
  <c r="H1199" i="2" s="1"/>
  <c r="R38" i="20"/>
  <c r="W24" i="20"/>
  <c r="G1162" i="2" s="1"/>
  <c r="X21" i="20"/>
  <c r="H1159" i="2" s="1"/>
  <c r="AI21" i="20"/>
  <c r="H1169" i="2" s="1"/>
  <c r="R36" i="20"/>
  <c r="Y22" i="20"/>
  <c r="I1160" i="2" s="1"/>
  <c r="AC36" i="20"/>
  <c r="AI22" i="20"/>
  <c r="H1170" i="2" s="1"/>
  <c r="T23" i="20"/>
  <c r="D1161" i="2" s="1"/>
  <c r="AE23" i="20"/>
  <c r="D1171" i="2" s="1"/>
  <c r="U24" i="20"/>
  <c r="E1162" i="2" s="1"/>
  <c r="AF24" i="20"/>
  <c r="E1172" i="2" s="1"/>
  <c r="S27" i="20"/>
  <c r="C1165" i="2" s="1"/>
  <c r="AE27" i="20"/>
  <c r="D1175" i="2" s="1"/>
  <c r="V28" i="20"/>
  <c r="F1166" i="2" s="1"/>
  <c r="AH28" i="20"/>
  <c r="G1176" i="2" s="1"/>
  <c r="AE29" i="20"/>
  <c r="D1177" i="2" s="1"/>
  <c r="AE30" i="20"/>
  <c r="D1178" i="2" s="1"/>
  <c r="AC41" i="20"/>
  <c r="R42" i="20"/>
  <c r="Z21" i="20"/>
  <c r="J1159" i="2" s="1"/>
  <c r="AC35" i="20"/>
  <c r="AJ21" i="20"/>
  <c r="I1169" i="2" s="1"/>
  <c r="T22" i="20"/>
  <c r="D1160" i="2" s="1"/>
  <c r="AE22" i="20"/>
  <c r="D1170" i="2" s="1"/>
  <c r="V23" i="20"/>
  <c r="F1161" i="2" s="1"/>
  <c r="AG23" i="20"/>
  <c r="F1171" i="2" s="1"/>
  <c r="X24" i="20"/>
  <c r="H1162" i="2" s="1"/>
  <c r="AI24" i="20"/>
  <c r="H1172" i="2" s="1"/>
  <c r="V27" i="20"/>
  <c r="F1165" i="2" s="1"/>
  <c r="AG27" i="20"/>
  <c r="F1175" i="2" s="1"/>
  <c r="X28" i="20"/>
  <c r="H1166" i="2" s="1"/>
  <c r="AJ28" i="20"/>
  <c r="I1176" i="2" s="1"/>
  <c r="Z29" i="20"/>
  <c r="J1167" i="2" s="1"/>
  <c r="AH29" i="20"/>
  <c r="G1177" i="2" s="1"/>
  <c r="AF30" i="20"/>
  <c r="E1178" i="2" s="1"/>
  <c r="AH42" i="20"/>
  <c r="G1199" i="2" s="1"/>
  <c r="AF42" i="20"/>
  <c r="E1199" i="2" s="1"/>
  <c r="AE42" i="20"/>
  <c r="D1199" i="2" s="1"/>
  <c r="AD42" i="20"/>
  <c r="C1199" i="2" s="1"/>
  <c r="AJ29" i="20"/>
  <c r="I1177" i="2" s="1"/>
  <c r="Y30" i="20"/>
  <c r="I1168" i="2" s="1"/>
  <c r="AI30" i="20"/>
  <c r="H1178" i="2" s="1"/>
  <c r="AC43" i="20"/>
  <c r="R44" i="20"/>
  <c r="AK29" i="20"/>
  <c r="J1177" i="2" s="1"/>
  <c r="Z30" i="20"/>
  <c r="J1168" i="2" s="1"/>
  <c r="AC44" i="20"/>
  <c r="AD29" i="20"/>
  <c r="C1177" i="2" s="1"/>
  <c r="S30" i="20"/>
  <c r="C1168" i="2" s="1"/>
  <c r="AK30" i="20"/>
  <c r="J1178" i="2" s="1"/>
  <c r="AJ54" i="19"/>
  <c r="I844" i="2" s="1"/>
  <c r="AH54" i="19"/>
  <c r="G844" i="2" s="1"/>
  <c r="AG54" i="19"/>
  <c r="F844" i="2" s="1"/>
  <c r="AD54" i="19"/>
  <c r="C844" i="2" s="1"/>
  <c r="AK54" i="19"/>
  <c r="J844" i="2" s="1"/>
  <c r="AF54" i="19"/>
  <c r="E844" i="2" s="1"/>
  <c r="AE54" i="19"/>
  <c r="D844" i="2" s="1"/>
  <c r="AI54" i="19"/>
  <c r="H844" i="2" s="1"/>
  <c r="AP11" i="19"/>
  <c r="AP12" i="19"/>
  <c r="AP13" i="19" s="1"/>
  <c r="AC35" i="19"/>
  <c r="AI21" i="19"/>
  <c r="H793" i="2" s="1"/>
  <c r="AH21" i="19"/>
  <c r="G793" i="2" s="1"/>
  <c r="AF21" i="19"/>
  <c r="E793" i="2" s="1"/>
  <c r="AE21" i="19"/>
  <c r="D793" i="2" s="1"/>
  <c r="R36" i="19"/>
  <c r="X22" i="19"/>
  <c r="H784" i="2" s="1"/>
  <c r="Z22" i="19"/>
  <c r="J784" i="2" s="1"/>
  <c r="W22" i="19"/>
  <c r="G784" i="2" s="1"/>
  <c r="V22" i="19"/>
  <c r="F784" i="2" s="1"/>
  <c r="AF8" i="19"/>
  <c r="E771" i="2" s="1"/>
  <c r="X16" i="19"/>
  <c r="H769" i="2" s="1"/>
  <c r="AJ22" i="19"/>
  <c r="I794" i="2" s="1"/>
  <c r="V23" i="19"/>
  <c r="F785" i="2" s="1"/>
  <c r="AD26" i="19"/>
  <c r="C798" i="2" s="1"/>
  <c r="AJ26" i="19"/>
  <c r="I798" i="2" s="1"/>
  <c r="AH26" i="19"/>
  <c r="G798" i="2" s="1"/>
  <c r="AG26" i="19"/>
  <c r="F798" i="2" s="1"/>
  <c r="X41" i="19"/>
  <c r="H812" i="2" s="1"/>
  <c r="V41" i="19"/>
  <c r="F812" i="2" s="1"/>
  <c r="U41" i="19"/>
  <c r="E812" i="2" s="1"/>
  <c r="W41" i="19"/>
  <c r="G812" i="2" s="1"/>
  <c r="S41" i="19"/>
  <c r="C812" i="2" s="1"/>
  <c r="R55" i="19"/>
  <c r="AD7" i="19"/>
  <c r="C770" i="2" s="1"/>
  <c r="AF14" i="19"/>
  <c r="E777" i="2" s="1"/>
  <c r="T22" i="19"/>
  <c r="D784" i="2" s="1"/>
  <c r="W24" i="19"/>
  <c r="G786" i="2" s="1"/>
  <c r="U27" i="19"/>
  <c r="E789" i="2" s="1"/>
  <c r="AK29" i="19"/>
  <c r="J801" i="2" s="1"/>
  <c r="S30" i="19"/>
  <c r="C792" i="2" s="1"/>
  <c r="Y30" i="19"/>
  <c r="I792" i="2" s="1"/>
  <c r="R44" i="19"/>
  <c r="X30" i="19"/>
  <c r="H792" i="2" s="1"/>
  <c r="Z30" i="19"/>
  <c r="J792" i="2" s="1"/>
  <c r="W30" i="19"/>
  <c r="G792" i="2" s="1"/>
  <c r="V30" i="19"/>
  <c r="F792" i="2" s="1"/>
  <c r="AE7" i="19"/>
  <c r="D770" i="2" s="1"/>
  <c r="S8" i="19"/>
  <c r="C761" i="2" s="1"/>
  <c r="AH8" i="19"/>
  <c r="G771" i="2" s="1"/>
  <c r="W9" i="19"/>
  <c r="G762" i="2" s="1"/>
  <c r="W10" i="19"/>
  <c r="G763" i="2" s="1"/>
  <c r="AK10" i="19"/>
  <c r="J773" i="2" s="1"/>
  <c r="X11" i="19"/>
  <c r="H764" i="2" s="1"/>
  <c r="AN11" i="19"/>
  <c r="Z12" i="19"/>
  <c r="J765" i="2" s="1"/>
  <c r="AE13" i="19"/>
  <c r="D776" i="2" s="1"/>
  <c r="S14" i="19"/>
  <c r="C767" i="2" s="1"/>
  <c r="AG14" i="19"/>
  <c r="F777" i="2" s="1"/>
  <c r="AG15" i="19"/>
  <c r="F778" i="2" s="1"/>
  <c r="AF16" i="19"/>
  <c r="E779" i="2" s="1"/>
  <c r="R35" i="19"/>
  <c r="Y21" i="19"/>
  <c r="I783" i="2" s="1"/>
  <c r="W21" i="19"/>
  <c r="G783" i="2" s="1"/>
  <c r="U21" i="19"/>
  <c r="E783" i="2" s="1"/>
  <c r="T21" i="19"/>
  <c r="D783" i="2" s="1"/>
  <c r="AJ21" i="19"/>
  <c r="I793" i="2" s="1"/>
  <c r="U22" i="19"/>
  <c r="E784" i="2" s="1"/>
  <c r="AG23" i="19"/>
  <c r="F795" i="2" s="1"/>
  <c r="AD23" i="19"/>
  <c r="C795" i="2" s="1"/>
  <c r="AK23" i="19"/>
  <c r="J795" i="2" s="1"/>
  <c r="AJ23" i="19"/>
  <c r="I795" i="2" s="1"/>
  <c r="X24" i="19"/>
  <c r="H786" i="2" s="1"/>
  <c r="AF26" i="19"/>
  <c r="E798" i="2" s="1"/>
  <c r="V27" i="19"/>
  <c r="F789" i="2" s="1"/>
  <c r="T30" i="19"/>
  <c r="D792" i="2" s="1"/>
  <c r="AP38" i="19"/>
  <c r="AQ35" i="19"/>
  <c r="AN39" i="19"/>
  <c r="AN36" i="19" s="1"/>
  <c r="AQ7" i="19"/>
  <c r="T9" i="19"/>
  <c r="D762" i="2" s="1"/>
  <c r="AE15" i="19"/>
  <c r="D778" i="2" s="1"/>
  <c r="U24" i="19"/>
  <c r="E786" i="2" s="1"/>
  <c r="AK28" i="19"/>
  <c r="J800" i="2" s="1"/>
  <c r="AE16" i="19"/>
  <c r="D779" i="2" s="1"/>
  <c r="AG8" i="19"/>
  <c r="F771" i="2" s="1"/>
  <c r="V9" i="19"/>
  <c r="F762" i="2" s="1"/>
  <c r="AJ9" i="19"/>
  <c r="I772" i="2" s="1"/>
  <c r="AK11" i="19"/>
  <c r="J774" i="2" s="1"/>
  <c r="AF15" i="19"/>
  <c r="E778" i="2" s="1"/>
  <c r="AJ30" i="19"/>
  <c r="I802" i="2" s="1"/>
  <c r="AG28" i="19"/>
  <c r="F800" i="2" s="1"/>
  <c r="AJ24" i="19"/>
  <c r="I796" i="2" s="1"/>
  <c r="AF7" i="19"/>
  <c r="E770" i="2" s="1"/>
  <c r="U8" i="19"/>
  <c r="E761" i="2" s="1"/>
  <c r="AI8" i="19"/>
  <c r="H771" i="2" s="1"/>
  <c r="X9" i="19"/>
  <c r="H762" i="2" s="1"/>
  <c r="X10" i="19"/>
  <c r="H763" i="2" s="1"/>
  <c r="Y11" i="19"/>
  <c r="I764" i="2" s="1"/>
  <c r="AD12" i="19"/>
  <c r="C775" i="2" s="1"/>
  <c r="AF13" i="19"/>
  <c r="E776" i="2" s="1"/>
  <c r="T14" i="19"/>
  <c r="D767" i="2" s="1"/>
  <c r="AJ14" i="19"/>
  <c r="I777" i="2" s="1"/>
  <c r="T15" i="19"/>
  <c r="D768" i="2" s="1"/>
  <c r="AG16" i="19"/>
  <c r="F779" i="2" s="1"/>
  <c r="S21" i="19"/>
  <c r="C783" i="2" s="1"/>
  <c r="AK21" i="19"/>
  <c r="J793" i="2" s="1"/>
  <c r="Y22" i="19"/>
  <c r="I784" i="2" s="1"/>
  <c r="AE23" i="19"/>
  <c r="D795" i="2" s="1"/>
  <c r="AE25" i="19"/>
  <c r="D797" i="2" s="1"/>
  <c r="AH25" i="19"/>
  <c r="G797" i="2" s="1"/>
  <c r="AF25" i="19"/>
  <c r="E797" i="2" s="1"/>
  <c r="AD25" i="19"/>
  <c r="C797" i="2" s="1"/>
  <c r="T26" i="19"/>
  <c r="D788" i="2" s="1"/>
  <c r="Y26" i="19"/>
  <c r="I788" i="2" s="1"/>
  <c r="W26" i="19"/>
  <c r="G788" i="2" s="1"/>
  <c r="R40" i="19"/>
  <c r="V26" i="19"/>
  <c r="F788" i="2" s="1"/>
  <c r="AI26" i="19"/>
  <c r="H798" i="2" s="1"/>
  <c r="W27" i="19"/>
  <c r="G789" i="2" s="1"/>
  <c r="S29" i="19"/>
  <c r="C791" i="2" s="1"/>
  <c r="U30" i="19"/>
  <c r="E792" i="2" s="1"/>
  <c r="T41" i="19"/>
  <c r="D812" i="2" s="1"/>
  <c r="V42" i="19"/>
  <c r="F813" i="2" s="1"/>
  <c r="S7" i="19"/>
  <c r="C760" i="2" s="1"/>
  <c r="V8" i="19"/>
  <c r="F761" i="2" s="1"/>
  <c r="S13" i="19"/>
  <c r="C766" i="2" s="1"/>
  <c r="U15" i="19"/>
  <c r="E768" i="2" s="1"/>
  <c r="S16" i="19"/>
  <c r="C769" i="2" s="1"/>
  <c r="AF23" i="19"/>
  <c r="E795" i="2" s="1"/>
  <c r="AH7" i="19"/>
  <c r="G770" i="2" s="1"/>
  <c r="W7" i="19"/>
  <c r="G760" i="2" s="1"/>
  <c r="AG7" i="19"/>
  <c r="F770" i="2" s="1"/>
  <c r="Z11" i="19"/>
  <c r="J764" i="2" s="1"/>
  <c r="AK15" i="19"/>
  <c r="J778" i="2" s="1"/>
  <c r="AH16" i="19"/>
  <c r="G779" i="2" s="1"/>
  <c r="V21" i="19"/>
  <c r="F783" i="2" s="1"/>
  <c r="AC36" i="19"/>
  <c r="AH22" i="19"/>
  <c r="G794" i="2" s="1"/>
  <c r="AK22" i="19"/>
  <c r="J794" i="2" s="1"/>
  <c r="AI22" i="19"/>
  <c r="H794" i="2" s="1"/>
  <c r="AG22" i="19"/>
  <c r="F794" i="2" s="1"/>
  <c r="AG25" i="19"/>
  <c r="F797" i="2" s="1"/>
  <c r="S26" i="19"/>
  <c r="C788" i="2" s="1"/>
  <c r="AK26" i="19"/>
  <c r="J798" i="2" s="1"/>
  <c r="X27" i="19"/>
  <c r="H789" i="2" s="1"/>
  <c r="AD37" i="19"/>
  <c r="C818" i="2" s="1"/>
  <c r="AC51" i="19"/>
  <c r="AJ37" i="19"/>
  <c r="I818" i="2" s="1"/>
  <c r="AI37" i="19"/>
  <c r="H818" i="2" s="1"/>
  <c r="AF37" i="19"/>
  <c r="E818" i="2" s="1"/>
  <c r="AH37" i="19"/>
  <c r="G818" i="2" s="1"/>
  <c r="AG37" i="19"/>
  <c r="F818" i="2" s="1"/>
  <c r="Y41" i="19"/>
  <c r="I812" i="2" s="1"/>
  <c r="Y42" i="19"/>
  <c r="I813" i="2" s="1"/>
  <c r="T7" i="19"/>
  <c r="D760" i="2" s="1"/>
  <c r="AJ7" i="19"/>
  <c r="I770" i="2" s="1"/>
  <c r="W8" i="19"/>
  <c r="G761" i="2" s="1"/>
  <c r="AE9" i="19"/>
  <c r="D772" i="2" s="1"/>
  <c r="AD11" i="19"/>
  <c r="C774" i="2" s="1"/>
  <c r="AH12" i="19"/>
  <c r="G775" i="2" s="1"/>
  <c r="T13" i="19"/>
  <c r="D766" i="2" s="1"/>
  <c r="AK13" i="19"/>
  <c r="J776" i="2" s="1"/>
  <c r="U16" i="19"/>
  <c r="E769" i="2" s="1"/>
  <c r="AI16" i="19"/>
  <c r="H779" i="2" s="1"/>
  <c r="X21" i="19"/>
  <c r="H783" i="2" s="1"/>
  <c r="AO21" i="19"/>
  <c r="AD22" i="19"/>
  <c r="C794" i="2" s="1"/>
  <c r="R37" i="19"/>
  <c r="W23" i="19"/>
  <c r="G785" i="2" s="1"/>
  <c r="S23" i="19"/>
  <c r="C785" i="2" s="1"/>
  <c r="Z23" i="19"/>
  <c r="J785" i="2" s="1"/>
  <c r="Y23" i="19"/>
  <c r="I785" i="2" s="1"/>
  <c r="AH23" i="19"/>
  <c r="G795" i="2" s="1"/>
  <c r="AD24" i="19"/>
  <c r="C796" i="2" s="1"/>
  <c r="U26" i="19"/>
  <c r="E788" i="2" s="1"/>
  <c r="AK27" i="19"/>
  <c r="J799" i="2" s="1"/>
  <c r="Z28" i="19"/>
  <c r="J790" i="2" s="1"/>
  <c r="W29" i="19"/>
  <c r="G791" i="2" s="1"/>
  <c r="AE30" i="19"/>
  <c r="D802" i="2" s="1"/>
  <c r="AE37" i="19"/>
  <c r="D818" i="2" s="1"/>
  <c r="AO38" i="19"/>
  <c r="Z41" i="19"/>
  <c r="J812" i="2" s="1"/>
  <c r="AO11" i="19"/>
  <c r="X8" i="19"/>
  <c r="H761" i="2" s="1"/>
  <c r="AG9" i="19"/>
  <c r="F772" i="2" s="1"/>
  <c r="S12" i="19"/>
  <c r="C765" i="2" s="1"/>
  <c r="AN13" i="19"/>
  <c r="W15" i="19"/>
  <c r="G768" i="2" s="1"/>
  <c r="V16" i="19"/>
  <c r="F769" i="2" s="1"/>
  <c r="Z21" i="19"/>
  <c r="J783" i="2" s="1"/>
  <c r="AE22" i="19"/>
  <c r="D794" i="2" s="1"/>
  <c r="T23" i="19"/>
  <c r="D785" i="2" s="1"/>
  <c r="AI23" i="19"/>
  <c r="H795" i="2" s="1"/>
  <c r="AG24" i="19"/>
  <c r="F796" i="2" s="1"/>
  <c r="R39" i="19"/>
  <c r="U25" i="19"/>
  <c r="E787" i="2" s="1"/>
  <c r="W25" i="19"/>
  <c r="G787" i="2" s="1"/>
  <c r="T25" i="19"/>
  <c r="D787" i="2" s="1"/>
  <c r="S25" i="19"/>
  <c r="C787" i="2" s="1"/>
  <c r="AJ25" i="19"/>
  <c r="I797" i="2" s="1"/>
  <c r="X26" i="19"/>
  <c r="H788" i="2" s="1"/>
  <c r="AF27" i="19"/>
  <c r="E799" i="2" s="1"/>
  <c r="T28" i="19"/>
  <c r="D790" i="2" s="1"/>
  <c r="AK24" i="19"/>
  <c r="J796" i="2" s="1"/>
  <c r="Z24" i="19"/>
  <c r="J786" i="2" s="1"/>
  <c r="AK37" i="19"/>
  <c r="J818" i="2" s="1"/>
  <c r="S38" i="19"/>
  <c r="C809" i="2" s="1"/>
  <c r="R52" i="19"/>
  <c r="Y38" i="19"/>
  <c r="I809" i="2" s="1"/>
  <c r="X38" i="19"/>
  <c r="H809" i="2" s="1"/>
  <c r="Z38" i="19"/>
  <c r="J809" i="2" s="1"/>
  <c r="T38" i="19"/>
  <c r="D809" i="2" s="1"/>
  <c r="AH41" i="19"/>
  <c r="G822" i="2" s="1"/>
  <c r="AF41" i="19"/>
  <c r="E822" i="2" s="1"/>
  <c r="AE41" i="19"/>
  <c r="D822" i="2" s="1"/>
  <c r="AD41" i="19"/>
  <c r="C822" i="2" s="1"/>
  <c r="AK41" i="19"/>
  <c r="J822" i="2" s="1"/>
  <c r="AI41" i="19"/>
  <c r="H822" i="2" s="1"/>
  <c r="AG41" i="19"/>
  <c r="F822" i="2" s="1"/>
  <c r="AG42" i="19"/>
  <c r="F823" i="2" s="1"/>
  <c r="AE42" i="19"/>
  <c r="D823" i="2" s="1"/>
  <c r="AD42" i="19"/>
  <c r="C823" i="2" s="1"/>
  <c r="AF42" i="19"/>
  <c r="E823" i="2" s="1"/>
  <c r="AK42" i="19"/>
  <c r="J823" i="2" s="1"/>
  <c r="AI42" i="19"/>
  <c r="H823" i="2" s="1"/>
  <c r="AH42" i="19"/>
  <c r="G823" i="2" s="1"/>
  <c r="AI40" i="19"/>
  <c r="H821" i="2" s="1"/>
  <c r="AG40" i="19"/>
  <c r="F821" i="2" s="1"/>
  <c r="AF40" i="19"/>
  <c r="E821" i="2" s="1"/>
  <c r="AD40" i="19"/>
  <c r="C821" i="2" s="1"/>
  <c r="AK40" i="19"/>
  <c r="J821" i="2" s="1"/>
  <c r="AH40" i="19"/>
  <c r="G821" i="2" s="1"/>
  <c r="AE40" i="19"/>
  <c r="D821" i="2" s="1"/>
  <c r="AH9" i="19"/>
  <c r="G772" i="2" s="1"/>
  <c r="Y7" i="19"/>
  <c r="I760" i="2" s="1"/>
  <c r="AI9" i="19"/>
  <c r="H772" i="2" s="1"/>
  <c r="AD21" i="19"/>
  <c r="C793" i="2" s="1"/>
  <c r="X25" i="19"/>
  <c r="H787" i="2" s="1"/>
  <c r="AH27" i="19"/>
  <c r="G799" i="2" s="1"/>
  <c r="AJ40" i="19"/>
  <c r="I821" i="2" s="1"/>
  <c r="AC56" i="19"/>
  <c r="AD8" i="19"/>
  <c r="C771" i="2" s="1"/>
  <c r="S22" i="19"/>
  <c r="C784" i="2" s="1"/>
  <c r="AG21" i="19"/>
  <c r="F793" i="2" s="1"/>
  <c r="Y25" i="19"/>
  <c r="I787" i="2" s="1"/>
  <c r="AE26" i="19"/>
  <c r="D798" i="2" s="1"/>
  <c r="AI27" i="19"/>
  <c r="H799" i="2" s="1"/>
  <c r="AD28" i="19"/>
  <c r="C800" i="2" s="1"/>
  <c r="W38" i="19"/>
  <c r="G809" i="2" s="1"/>
  <c r="AC55" i="19"/>
  <c r="AD29" i="19"/>
  <c r="C801" i="2" s="1"/>
  <c r="AJ29" i="19"/>
  <c r="I801" i="2" s="1"/>
  <c r="AC43" i="19"/>
  <c r="AI29" i="19"/>
  <c r="H801" i="2" s="1"/>
  <c r="Y8" i="19"/>
  <c r="I761" i="2" s="1"/>
  <c r="AJ8" i="19"/>
  <c r="I771" i="2" s="1"/>
  <c r="Z9" i="19"/>
  <c r="J762" i="2" s="1"/>
  <c r="AK9" i="19"/>
  <c r="J772" i="2" s="1"/>
  <c r="S10" i="19"/>
  <c r="C763" i="2" s="1"/>
  <c r="AD10" i="19"/>
  <c r="C773" i="2" s="1"/>
  <c r="T11" i="19"/>
  <c r="D764" i="2" s="1"/>
  <c r="AE11" i="19"/>
  <c r="D774" i="2" s="1"/>
  <c r="U12" i="19"/>
  <c r="E765" i="2" s="1"/>
  <c r="AF12" i="19"/>
  <c r="E775" i="2" s="1"/>
  <c r="V13" i="19"/>
  <c r="F766" i="2" s="1"/>
  <c r="AG13" i="19"/>
  <c r="F776" i="2" s="1"/>
  <c r="W14" i="19"/>
  <c r="G767" i="2" s="1"/>
  <c r="AH14" i="19"/>
  <c r="G777" i="2" s="1"/>
  <c r="X15" i="19"/>
  <c r="H768" i="2" s="1"/>
  <c r="AI15" i="19"/>
  <c r="H778" i="2" s="1"/>
  <c r="Y16" i="19"/>
  <c r="I769" i="2" s="1"/>
  <c r="AJ16" i="19"/>
  <c r="I779" i="2" s="1"/>
  <c r="Y27" i="19"/>
  <c r="I789" i="2" s="1"/>
  <c r="AJ27" i="19"/>
  <c r="I799" i="2" s="1"/>
  <c r="V28" i="19"/>
  <c r="F790" i="2" s="1"/>
  <c r="AH28" i="19"/>
  <c r="G800" i="2" s="1"/>
  <c r="AE29" i="19"/>
  <c r="D801" i="2" s="1"/>
  <c r="W42" i="19"/>
  <c r="G813" i="2" s="1"/>
  <c r="U42" i="19"/>
  <c r="E813" i="2" s="1"/>
  <c r="T42" i="19"/>
  <c r="D813" i="2" s="1"/>
  <c r="R56" i="19"/>
  <c r="X7" i="19"/>
  <c r="H760" i="2" s="1"/>
  <c r="AI7" i="19"/>
  <c r="H770" i="2" s="1"/>
  <c r="Z8" i="19"/>
  <c r="J761" i="2" s="1"/>
  <c r="AK8" i="19"/>
  <c r="J771" i="2" s="1"/>
  <c r="S9" i="19"/>
  <c r="C762" i="2" s="1"/>
  <c r="AD9" i="19"/>
  <c r="C772" i="2" s="1"/>
  <c r="T10" i="19"/>
  <c r="D763" i="2" s="1"/>
  <c r="AE10" i="19"/>
  <c r="D773" i="2" s="1"/>
  <c r="U11" i="19"/>
  <c r="E764" i="2" s="1"/>
  <c r="AF11" i="19"/>
  <c r="E774" i="2" s="1"/>
  <c r="V12" i="19"/>
  <c r="F765" i="2" s="1"/>
  <c r="AG12" i="19"/>
  <c r="F775" i="2" s="1"/>
  <c r="W13" i="19"/>
  <c r="G766" i="2" s="1"/>
  <c r="AH13" i="19"/>
  <c r="G776" i="2" s="1"/>
  <c r="X14" i="19"/>
  <c r="H767" i="2" s="1"/>
  <c r="AI14" i="19"/>
  <c r="H777" i="2" s="1"/>
  <c r="Y15" i="19"/>
  <c r="I768" i="2" s="1"/>
  <c r="AJ15" i="19"/>
  <c r="I778" i="2" s="1"/>
  <c r="Z16" i="19"/>
  <c r="J769" i="2" s="1"/>
  <c r="AK16" i="19"/>
  <c r="J779" i="2" s="1"/>
  <c r="V24" i="19"/>
  <c r="F786" i="2" s="1"/>
  <c r="AC38" i="19"/>
  <c r="AF24" i="19"/>
  <c r="E796" i="2" s="1"/>
  <c r="Z27" i="19"/>
  <c r="J789" i="2" s="1"/>
  <c r="W28" i="19"/>
  <c r="G790" i="2" s="1"/>
  <c r="Z29" i="19"/>
  <c r="J791" i="2" s="1"/>
  <c r="AF29" i="19"/>
  <c r="E801" i="2" s="1"/>
  <c r="S42" i="19"/>
  <c r="C813" i="2" s="1"/>
  <c r="Z7" i="19"/>
  <c r="J760" i="2" s="1"/>
  <c r="AK7" i="19"/>
  <c r="J770" i="2" s="1"/>
  <c r="T8" i="19"/>
  <c r="D761" i="2" s="1"/>
  <c r="AE8" i="19"/>
  <c r="D771" i="2" s="1"/>
  <c r="U9" i="19"/>
  <c r="E762" i="2" s="1"/>
  <c r="AF9" i="19"/>
  <c r="E772" i="2" s="1"/>
  <c r="V10" i="19"/>
  <c r="F763" i="2" s="1"/>
  <c r="AG10" i="19"/>
  <c r="F773" i="2" s="1"/>
  <c r="W11" i="19"/>
  <c r="G764" i="2" s="1"/>
  <c r="AH11" i="19"/>
  <c r="G774" i="2" s="1"/>
  <c r="X12" i="19"/>
  <c r="H765" i="2" s="1"/>
  <c r="AI12" i="19"/>
  <c r="H775" i="2" s="1"/>
  <c r="Y13" i="19"/>
  <c r="I766" i="2" s="1"/>
  <c r="AJ13" i="19"/>
  <c r="I776" i="2" s="1"/>
  <c r="Z14" i="19"/>
  <c r="J767" i="2" s="1"/>
  <c r="AK14" i="19"/>
  <c r="J777" i="2" s="1"/>
  <c r="S15" i="19"/>
  <c r="C768" i="2" s="1"/>
  <c r="AD15" i="19"/>
  <c r="C778" i="2" s="1"/>
  <c r="T16" i="19"/>
  <c r="D769" i="2" s="1"/>
  <c r="T29" i="19"/>
  <c r="D791" i="2" s="1"/>
  <c r="AE28" i="19"/>
  <c r="D800" i="2" s="1"/>
  <c r="U28" i="19"/>
  <c r="E790" i="2" s="1"/>
  <c r="S28" i="19"/>
  <c r="C790" i="2" s="1"/>
  <c r="AD27" i="19"/>
  <c r="C799" i="2" s="1"/>
  <c r="T24" i="19"/>
  <c r="D786" i="2" s="1"/>
  <c r="AE24" i="19"/>
  <c r="D796" i="2" s="1"/>
  <c r="T27" i="19"/>
  <c r="D789" i="2" s="1"/>
  <c r="S27" i="19"/>
  <c r="C789" i="2" s="1"/>
  <c r="AE27" i="19"/>
  <c r="D799" i="2" s="1"/>
  <c r="Y28" i="19"/>
  <c r="I790" i="2" s="1"/>
  <c r="U29" i="19"/>
  <c r="E791" i="2" s="1"/>
  <c r="AH29" i="19"/>
  <c r="G801" i="2" s="1"/>
  <c r="AD30" i="19"/>
  <c r="C802" i="2" s="1"/>
  <c r="X42" i="19"/>
  <c r="H813" i="2" s="1"/>
  <c r="S43" i="19"/>
  <c r="C814" i="2" s="1"/>
  <c r="AJ28" i="19"/>
  <c r="I800" i="2" s="1"/>
  <c r="Y29" i="19"/>
  <c r="I791" i="2" s="1"/>
  <c r="AH30" i="19"/>
  <c r="G802" i="2" s="1"/>
  <c r="AI30" i="19"/>
  <c r="H802" i="2" s="1"/>
  <c r="AC44" i="19"/>
  <c r="AP10" i="18"/>
  <c r="AQ7" i="18"/>
  <c r="AI55" i="18"/>
  <c r="H196" i="2" s="1"/>
  <c r="AG55" i="18"/>
  <c r="F196" i="2" s="1"/>
  <c r="AF55" i="18"/>
  <c r="E196" i="2" s="1"/>
  <c r="AK55" i="18"/>
  <c r="J196" i="2" s="1"/>
  <c r="AH55" i="18"/>
  <c r="G196" i="2" s="1"/>
  <c r="AE55" i="18"/>
  <c r="D196" i="2" s="1"/>
  <c r="AJ55" i="18"/>
  <c r="I196" i="2" s="1"/>
  <c r="AD55" i="18"/>
  <c r="C196" i="2" s="1"/>
  <c r="AI24" i="18"/>
  <c r="H147" i="2" s="1"/>
  <c r="AF27" i="18"/>
  <c r="E150" i="2" s="1"/>
  <c r="Z10" i="18"/>
  <c r="J114" i="2" s="1"/>
  <c r="AO10" i="18"/>
  <c r="AE16" i="18"/>
  <c r="D130" i="2" s="1"/>
  <c r="T7" i="18"/>
  <c r="D111" i="2" s="1"/>
  <c r="U9" i="18"/>
  <c r="E113" i="2" s="1"/>
  <c r="Y11" i="18"/>
  <c r="I115" i="2" s="1"/>
  <c r="AF15" i="18"/>
  <c r="E129" i="2" s="1"/>
  <c r="Z25" i="18"/>
  <c r="J138" i="2" s="1"/>
  <c r="AD26" i="18"/>
  <c r="C149" i="2" s="1"/>
  <c r="AJ27" i="18"/>
  <c r="I150" i="2" s="1"/>
  <c r="W28" i="18"/>
  <c r="G141" i="2" s="1"/>
  <c r="W30" i="18"/>
  <c r="G143" i="2" s="1"/>
  <c r="AD41" i="18"/>
  <c r="C173" i="2" s="1"/>
  <c r="AG42" i="18"/>
  <c r="F174" i="2" s="1"/>
  <c r="AE42" i="18"/>
  <c r="D174" i="2" s="1"/>
  <c r="AD42" i="18"/>
  <c r="C174" i="2" s="1"/>
  <c r="AK42" i="18"/>
  <c r="J174" i="2" s="1"/>
  <c r="AI42" i="18"/>
  <c r="H174" i="2" s="1"/>
  <c r="AH42" i="18"/>
  <c r="G174" i="2" s="1"/>
  <c r="U7" i="18"/>
  <c r="E111" i="2" s="1"/>
  <c r="AF7" i="18"/>
  <c r="E121" i="2" s="1"/>
  <c r="X8" i="18"/>
  <c r="H112" i="2" s="1"/>
  <c r="AK8" i="18"/>
  <c r="J122" i="2" s="1"/>
  <c r="V9" i="18"/>
  <c r="F113" i="2" s="1"/>
  <c r="AI9" i="18"/>
  <c r="H123" i="2" s="1"/>
  <c r="AG10" i="18"/>
  <c r="F124" i="2" s="1"/>
  <c r="Z11" i="18"/>
  <c r="J115" i="2" s="1"/>
  <c r="AD12" i="18"/>
  <c r="C126" i="2" s="1"/>
  <c r="AH13" i="18"/>
  <c r="G127" i="2" s="1"/>
  <c r="T14" i="18"/>
  <c r="D118" i="2" s="1"/>
  <c r="AK14" i="18"/>
  <c r="J128" i="2" s="1"/>
  <c r="S15" i="18"/>
  <c r="C119" i="2" s="1"/>
  <c r="AG15" i="18"/>
  <c r="F129" i="2" s="1"/>
  <c r="AG16" i="18"/>
  <c r="F130" i="2" s="1"/>
  <c r="X24" i="18"/>
  <c r="H137" i="2" s="1"/>
  <c r="AH26" i="18"/>
  <c r="G149" i="2" s="1"/>
  <c r="U27" i="18"/>
  <c r="E140" i="2" s="1"/>
  <c r="Y29" i="18"/>
  <c r="I142" i="2" s="1"/>
  <c r="R38" i="18"/>
  <c r="AJ41" i="18"/>
  <c r="I173" i="2" s="1"/>
  <c r="AF42" i="18"/>
  <c r="E174" i="2" s="1"/>
  <c r="AJ11" i="18"/>
  <c r="I125" i="2" s="1"/>
  <c r="Z26" i="18"/>
  <c r="J139" i="2" s="1"/>
  <c r="AK11" i="18"/>
  <c r="J125" i="2" s="1"/>
  <c r="AF14" i="18"/>
  <c r="E128" i="2" s="1"/>
  <c r="AE7" i="18"/>
  <c r="D121" i="2" s="1"/>
  <c r="AI8" i="18"/>
  <c r="H122" i="2" s="1"/>
  <c r="AE13" i="18"/>
  <c r="D127" i="2" s="1"/>
  <c r="AI14" i="18"/>
  <c r="H128" i="2" s="1"/>
  <c r="AF16" i="18"/>
  <c r="E130" i="2" s="1"/>
  <c r="S27" i="18"/>
  <c r="C140" i="2" s="1"/>
  <c r="V7" i="18"/>
  <c r="F111" i="2" s="1"/>
  <c r="AG7" i="18"/>
  <c r="F121" i="2" s="1"/>
  <c r="W9" i="18"/>
  <c r="G113" i="2" s="1"/>
  <c r="AJ9" i="18"/>
  <c r="I123" i="2" s="1"/>
  <c r="T10" i="18"/>
  <c r="D114" i="2" s="1"/>
  <c r="AH10" i="18"/>
  <c r="G124" i="2" s="1"/>
  <c r="AD11" i="18"/>
  <c r="C125" i="2" s="1"/>
  <c r="AG12" i="18"/>
  <c r="F126" i="2" s="1"/>
  <c r="S13" i="18"/>
  <c r="C117" i="2" s="1"/>
  <c r="AJ13" i="18"/>
  <c r="I127" i="2" s="1"/>
  <c r="U14" i="18"/>
  <c r="E118" i="2" s="1"/>
  <c r="T15" i="18"/>
  <c r="D119" i="2" s="1"/>
  <c r="AJ15" i="18"/>
  <c r="I129" i="2" s="1"/>
  <c r="T16" i="18"/>
  <c r="D120" i="2" s="1"/>
  <c r="AC38" i="18"/>
  <c r="AG24" i="18"/>
  <c r="F147" i="2" s="1"/>
  <c r="AD24" i="18"/>
  <c r="C147" i="2" s="1"/>
  <c r="AK24" i="18"/>
  <c r="J147" i="2" s="1"/>
  <c r="AJ24" i="18"/>
  <c r="I147" i="2" s="1"/>
  <c r="AE25" i="18"/>
  <c r="D148" i="2" s="1"/>
  <c r="U26" i="18"/>
  <c r="E139" i="2" s="1"/>
  <c r="X26" i="18"/>
  <c r="H139" i="2" s="1"/>
  <c r="V26" i="18"/>
  <c r="F139" i="2" s="1"/>
  <c r="R40" i="18"/>
  <c r="T26" i="18"/>
  <c r="D139" i="2" s="1"/>
  <c r="AJ26" i="18"/>
  <c r="I149" i="2" s="1"/>
  <c r="V27" i="18"/>
  <c r="F140" i="2" s="1"/>
  <c r="AK28" i="18"/>
  <c r="J151" i="2" s="1"/>
  <c r="AE29" i="18"/>
  <c r="D152" i="2" s="1"/>
  <c r="AE30" i="18"/>
  <c r="D153" i="2" s="1"/>
  <c r="AJ42" i="18"/>
  <c r="I174" i="2" s="1"/>
  <c r="AC56" i="18"/>
  <c r="X25" i="18"/>
  <c r="H138" i="2" s="1"/>
  <c r="AH7" i="18"/>
  <c r="G121" i="2" s="1"/>
  <c r="Z8" i="18"/>
  <c r="J112" i="2" s="1"/>
  <c r="X9" i="18"/>
  <c r="H113" i="2" s="1"/>
  <c r="AI10" i="18"/>
  <c r="H124" i="2" s="1"/>
  <c r="AK13" i="18"/>
  <c r="J127" i="2" s="1"/>
  <c r="U16" i="18"/>
  <c r="E120" i="2" s="1"/>
  <c r="AH25" i="18"/>
  <c r="G148" i="2" s="1"/>
  <c r="Y10" i="18"/>
  <c r="I114" i="2" s="1"/>
  <c r="AK25" i="18"/>
  <c r="J148" i="2" s="1"/>
  <c r="U28" i="18"/>
  <c r="E141" i="2" s="1"/>
  <c r="W7" i="18"/>
  <c r="G111" i="2" s="1"/>
  <c r="V10" i="18"/>
  <c r="F114" i="2" s="1"/>
  <c r="AF11" i="18"/>
  <c r="E125" i="2" s="1"/>
  <c r="AI12" i="18"/>
  <c r="H126" i="2" s="1"/>
  <c r="T13" i="18"/>
  <c r="D117" i="2" s="1"/>
  <c r="X14" i="18"/>
  <c r="H118" i="2" s="1"/>
  <c r="U15" i="18"/>
  <c r="E119" i="2" s="1"/>
  <c r="AK16" i="18"/>
  <c r="J130" i="2" s="1"/>
  <c r="S23" i="18"/>
  <c r="C136" i="2" s="1"/>
  <c r="AE24" i="18"/>
  <c r="D147" i="2" s="1"/>
  <c r="S26" i="18"/>
  <c r="C139" i="2" s="1"/>
  <c r="AE28" i="18"/>
  <c r="D151" i="2" s="1"/>
  <c r="AD29" i="18"/>
  <c r="C152" i="2" s="1"/>
  <c r="AG30" i="18"/>
  <c r="F153" i="2" s="1"/>
  <c r="AD16" i="18"/>
  <c r="C130" i="2" s="1"/>
  <c r="S16" i="18"/>
  <c r="C120" i="2" s="1"/>
  <c r="AK15" i="18"/>
  <c r="J129" i="2" s="1"/>
  <c r="Z15" i="18"/>
  <c r="J119" i="2" s="1"/>
  <c r="AJ14" i="18"/>
  <c r="I128" i="2" s="1"/>
  <c r="Y14" i="18"/>
  <c r="I118" i="2" s="1"/>
  <c r="AI13" i="18"/>
  <c r="H127" i="2" s="1"/>
  <c r="X13" i="18"/>
  <c r="H117" i="2" s="1"/>
  <c r="AH12" i="18"/>
  <c r="G126" i="2" s="1"/>
  <c r="W12" i="18"/>
  <c r="G116" i="2" s="1"/>
  <c r="AG11" i="18"/>
  <c r="F125" i="2" s="1"/>
  <c r="V11" i="18"/>
  <c r="F115" i="2" s="1"/>
  <c r="AF10" i="18"/>
  <c r="E124" i="2" s="1"/>
  <c r="U10" i="18"/>
  <c r="E114" i="2" s="1"/>
  <c r="AE9" i="18"/>
  <c r="D123" i="2" s="1"/>
  <c r="T9" i="18"/>
  <c r="D113" i="2" s="1"/>
  <c r="AD8" i="18"/>
  <c r="C122" i="2" s="1"/>
  <c r="S8" i="18"/>
  <c r="C112" i="2" s="1"/>
  <c r="AJ16" i="18"/>
  <c r="I130" i="2" s="1"/>
  <c r="Y16" i="18"/>
  <c r="I120" i="2" s="1"/>
  <c r="AI15" i="18"/>
  <c r="H129" i="2" s="1"/>
  <c r="X15" i="18"/>
  <c r="H119" i="2" s="1"/>
  <c r="AH14" i="18"/>
  <c r="G128" i="2" s="1"/>
  <c r="W14" i="18"/>
  <c r="G118" i="2" s="1"/>
  <c r="AG13" i="18"/>
  <c r="F127" i="2" s="1"/>
  <c r="V13" i="18"/>
  <c r="F117" i="2" s="1"/>
  <c r="AF12" i="18"/>
  <c r="E126" i="2" s="1"/>
  <c r="U12" i="18"/>
  <c r="E116" i="2" s="1"/>
  <c r="AE11" i="18"/>
  <c r="D125" i="2" s="1"/>
  <c r="T11" i="18"/>
  <c r="D115" i="2" s="1"/>
  <c r="AD10" i="18"/>
  <c r="C124" i="2" s="1"/>
  <c r="S10" i="18"/>
  <c r="C114" i="2" s="1"/>
  <c r="AK9" i="18"/>
  <c r="J123" i="2" s="1"/>
  <c r="Z9" i="18"/>
  <c r="J113" i="2" s="1"/>
  <c r="AJ8" i="18"/>
  <c r="I122" i="2" s="1"/>
  <c r="AI16" i="18"/>
  <c r="H130" i="2" s="1"/>
  <c r="X16" i="18"/>
  <c r="H120" i="2" s="1"/>
  <c r="AH15" i="18"/>
  <c r="G129" i="2" s="1"/>
  <c r="W15" i="18"/>
  <c r="G119" i="2" s="1"/>
  <c r="AG14" i="18"/>
  <c r="F128" i="2" s="1"/>
  <c r="V14" i="18"/>
  <c r="F118" i="2" s="1"/>
  <c r="AF13" i="18"/>
  <c r="E127" i="2" s="1"/>
  <c r="U13" i="18"/>
  <c r="E117" i="2" s="1"/>
  <c r="AE12" i="18"/>
  <c r="D126" i="2" s="1"/>
  <c r="T12" i="18"/>
  <c r="D116" i="2" s="1"/>
  <c r="AN11" i="18"/>
  <c r="AN8" i="18" s="1"/>
  <c r="X7" i="18"/>
  <c r="H111" i="2" s="1"/>
  <c r="AI7" i="18"/>
  <c r="H121" i="2" s="1"/>
  <c r="AE8" i="18"/>
  <c r="D122" i="2" s="1"/>
  <c r="Y9" i="18"/>
  <c r="I113" i="2" s="1"/>
  <c r="W10" i="18"/>
  <c r="G114" i="2" s="1"/>
  <c r="AJ10" i="18"/>
  <c r="I124" i="2" s="1"/>
  <c r="S11" i="18"/>
  <c r="C115" i="2" s="1"/>
  <c r="AH11" i="18"/>
  <c r="G125" i="2" s="1"/>
  <c r="S12" i="18"/>
  <c r="C116" i="2" s="1"/>
  <c r="AJ12" i="18"/>
  <c r="I126" i="2" s="1"/>
  <c r="W13" i="18"/>
  <c r="G117" i="2" s="1"/>
  <c r="Z14" i="18"/>
  <c r="J118" i="2" s="1"/>
  <c r="V15" i="18"/>
  <c r="F119" i="2" s="1"/>
  <c r="V16" i="18"/>
  <c r="F120" i="2" s="1"/>
  <c r="T23" i="18"/>
  <c r="D136" i="2" s="1"/>
  <c r="AF24" i="18"/>
  <c r="E147" i="2" s="1"/>
  <c r="T25" i="18"/>
  <c r="D138" i="2" s="1"/>
  <c r="AI25" i="18"/>
  <c r="H148" i="2" s="1"/>
  <c r="W26" i="18"/>
  <c r="G139" i="2" s="1"/>
  <c r="AD27" i="18"/>
  <c r="C150" i="2" s="1"/>
  <c r="AK27" i="18"/>
  <c r="J150" i="2" s="1"/>
  <c r="AI27" i="18"/>
  <c r="H150" i="2" s="1"/>
  <c r="AH27" i="18"/>
  <c r="G150" i="2" s="1"/>
  <c r="AG28" i="18"/>
  <c r="F151" i="2" s="1"/>
  <c r="AH29" i="18"/>
  <c r="G152" i="2" s="1"/>
  <c r="X10" i="18"/>
  <c r="H114" i="2" s="1"/>
  <c r="AK10" i="18"/>
  <c r="J124" i="2" s="1"/>
  <c r="AI11" i="18"/>
  <c r="H125" i="2" s="1"/>
  <c r="V12" i="18"/>
  <c r="F116" i="2" s="1"/>
  <c r="AK12" i="18"/>
  <c r="J126" i="2" s="1"/>
  <c r="Y13" i="18"/>
  <c r="I117" i="2" s="1"/>
  <c r="AD14" i="18"/>
  <c r="C128" i="2" s="1"/>
  <c r="Y15" i="18"/>
  <c r="I119" i="2" s="1"/>
  <c r="W16" i="18"/>
  <c r="G120" i="2" s="1"/>
  <c r="AF28" i="18"/>
  <c r="E151" i="2" s="1"/>
  <c r="S29" i="18"/>
  <c r="C142" i="2" s="1"/>
  <c r="AI29" i="18"/>
  <c r="H152" i="2" s="1"/>
  <c r="W29" i="18"/>
  <c r="G142" i="2" s="1"/>
  <c r="AD28" i="18"/>
  <c r="C151" i="2" s="1"/>
  <c r="AG29" i="18"/>
  <c r="F152" i="2" s="1"/>
  <c r="T29" i="18"/>
  <c r="D142" i="2" s="1"/>
  <c r="Y23" i="18"/>
  <c r="I136" i="2" s="1"/>
  <c r="X30" i="18"/>
  <c r="H143" i="2" s="1"/>
  <c r="AF29" i="18"/>
  <c r="E152" i="2" s="1"/>
  <c r="AJ28" i="18"/>
  <c r="I151" i="2" s="1"/>
  <c r="W23" i="18"/>
  <c r="G136" i="2" s="1"/>
  <c r="U23" i="18"/>
  <c r="E136" i="2" s="1"/>
  <c r="W24" i="18"/>
  <c r="G137" i="2" s="1"/>
  <c r="S24" i="18"/>
  <c r="C137" i="2" s="1"/>
  <c r="Z24" i="18"/>
  <c r="J137" i="2" s="1"/>
  <c r="Y24" i="18"/>
  <c r="I137" i="2" s="1"/>
  <c r="AH24" i="18"/>
  <c r="G147" i="2" s="1"/>
  <c r="W25" i="18"/>
  <c r="G138" i="2" s="1"/>
  <c r="AJ25" i="18"/>
  <c r="I148" i="2" s="1"/>
  <c r="Y26" i="18"/>
  <c r="I139" i="2" s="1"/>
  <c r="AE27" i="18"/>
  <c r="D150" i="2" s="1"/>
  <c r="S28" i="18"/>
  <c r="C141" i="2" s="1"/>
  <c r="T28" i="18"/>
  <c r="D141" i="2" s="1"/>
  <c r="Z28" i="18"/>
  <c r="J141" i="2" s="1"/>
  <c r="R42" i="18"/>
  <c r="Y28" i="18"/>
  <c r="I141" i="2" s="1"/>
  <c r="AH28" i="18"/>
  <c r="G151" i="2" s="1"/>
  <c r="S30" i="18"/>
  <c r="C143" i="2" s="1"/>
  <c r="AK30" i="18"/>
  <c r="J153" i="2" s="1"/>
  <c r="AC53" i="18"/>
  <c r="AJ39" i="18"/>
  <c r="I171" i="2" s="1"/>
  <c r="AH39" i="18"/>
  <c r="G171" i="2" s="1"/>
  <c r="AG39" i="18"/>
  <c r="F171" i="2" s="1"/>
  <c r="AK39" i="18"/>
  <c r="J171" i="2" s="1"/>
  <c r="AF39" i="18"/>
  <c r="E171" i="2" s="1"/>
  <c r="AE39" i="18"/>
  <c r="D171" i="2" s="1"/>
  <c r="AE14" i="18"/>
  <c r="D128" i="2" s="1"/>
  <c r="X12" i="18"/>
  <c r="H116" i="2" s="1"/>
  <c r="AD15" i="18"/>
  <c r="C129" i="2" s="1"/>
  <c r="Y12" i="18"/>
  <c r="I116" i="2" s="1"/>
  <c r="Z23" i="18"/>
  <c r="J136" i="2" s="1"/>
  <c r="Y25" i="18"/>
  <c r="I138" i="2" s="1"/>
  <c r="AE26" i="18"/>
  <c r="D149" i="2" s="1"/>
  <c r="AI26" i="18"/>
  <c r="H149" i="2" s="1"/>
  <c r="AG26" i="18"/>
  <c r="F149" i="2" s="1"/>
  <c r="AF26" i="18"/>
  <c r="E149" i="2" s="1"/>
  <c r="T27" i="18"/>
  <c r="D140" i="2" s="1"/>
  <c r="Z27" i="18"/>
  <c r="J140" i="2" s="1"/>
  <c r="X27" i="18"/>
  <c r="H140" i="2" s="1"/>
  <c r="R41" i="18"/>
  <c r="W27" i="18"/>
  <c r="G140" i="2" s="1"/>
  <c r="AG27" i="18"/>
  <c r="F150" i="2" s="1"/>
  <c r="V28" i="18"/>
  <c r="F141" i="2" s="1"/>
  <c r="V29" i="18"/>
  <c r="F142" i="2" s="1"/>
  <c r="V30" i="18"/>
  <c r="F143" i="2" s="1"/>
  <c r="AI39" i="18"/>
  <c r="H171" i="2" s="1"/>
  <c r="AH41" i="18"/>
  <c r="G173" i="2" s="1"/>
  <c r="AF41" i="18"/>
  <c r="E173" i="2" s="1"/>
  <c r="AE41" i="18"/>
  <c r="D173" i="2" s="1"/>
  <c r="AK41" i="18"/>
  <c r="J173" i="2" s="1"/>
  <c r="AI41" i="18"/>
  <c r="H173" i="2" s="1"/>
  <c r="AG41" i="18"/>
  <c r="F173" i="2" s="1"/>
  <c r="W11" i="18"/>
  <c r="G115" i="2" s="1"/>
  <c r="Z13" i="18"/>
  <c r="J117" i="2" s="1"/>
  <c r="Z16" i="18"/>
  <c r="J120" i="2" s="1"/>
  <c r="AD13" i="18"/>
  <c r="C127" i="2" s="1"/>
  <c r="AE15" i="18"/>
  <c r="D129" i="2" s="1"/>
  <c r="U24" i="18"/>
  <c r="E137" i="2" s="1"/>
  <c r="W8" i="18"/>
  <c r="G112" i="2" s="1"/>
  <c r="Z12" i="18"/>
  <c r="J116" i="2" s="1"/>
  <c r="X29" i="18"/>
  <c r="H142" i="2" s="1"/>
  <c r="R39" i="18"/>
  <c r="V25" i="18"/>
  <c r="F138" i="2" s="1"/>
  <c r="AF25" i="18"/>
  <c r="E148" i="2" s="1"/>
  <c r="U29" i="18"/>
  <c r="E142" i="2" s="1"/>
  <c r="S25" i="18"/>
  <c r="C138" i="2" s="1"/>
  <c r="AD25" i="18"/>
  <c r="C148" i="2" s="1"/>
  <c r="AD30" i="18"/>
  <c r="C153" i="2" s="1"/>
  <c r="AC44" i="18"/>
  <c r="AJ30" i="18"/>
  <c r="I153" i="2" s="1"/>
  <c r="AI30" i="18"/>
  <c r="H153" i="2" s="1"/>
  <c r="R37" i="18"/>
  <c r="X23" i="18"/>
  <c r="H136" i="2" s="1"/>
  <c r="U25" i="18"/>
  <c r="E138" i="2" s="1"/>
  <c r="AG25" i="18"/>
  <c r="F148" i="2" s="1"/>
  <c r="T30" i="18"/>
  <c r="D143" i="2" s="1"/>
  <c r="AF30" i="18"/>
  <c r="E153" i="2" s="1"/>
  <c r="V43" i="18"/>
  <c r="T43" i="18"/>
  <c r="S43" i="18"/>
  <c r="C165" i="2" s="1"/>
  <c r="R57" i="18"/>
  <c r="Z29" i="18"/>
  <c r="J142" i="2" s="1"/>
  <c r="AJ29" i="18"/>
  <c r="I152" i="2" s="1"/>
  <c r="Y30" i="18"/>
  <c r="I143" i="2" s="1"/>
  <c r="AC43" i="18"/>
  <c r="R44" i="18"/>
  <c r="AK29" i="18"/>
  <c r="J152" i="2" s="1"/>
  <c r="Z30" i="18"/>
  <c r="J143" i="2" s="1"/>
  <c r="H19" i="2"/>
  <c r="H18" i="2"/>
  <c r="C17" i="2"/>
  <c r="J6" i="2"/>
  <c r="I6" i="2"/>
  <c r="G6" i="2"/>
  <c r="Y43" i="20" l="1"/>
  <c r="I1190" i="2" s="1"/>
  <c r="AO8" i="19"/>
  <c r="U43" i="20"/>
  <c r="E1190" i="2" s="1"/>
  <c r="W43" i="20"/>
  <c r="G1190" i="2" s="1"/>
  <c r="R57" i="20"/>
  <c r="T57" i="20" s="1"/>
  <c r="D1213" i="2" s="1"/>
  <c r="R49" i="20"/>
  <c r="V49" i="20" s="1"/>
  <c r="F1205" i="2" s="1"/>
  <c r="S35" i="20"/>
  <c r="C1182" i="2" s="1"/>
  <c r="V35" i="20"/>
  <c r="F1182" i="2" s="1"/>
  <c r="U35" i="20"/>
  <c r="E1182" i="2" s="1"/>
  <c r="Z35" i="20"/>
  <c r="J1182" i="2" s="1"/>
  <c r="AK56" i="20"/>
  <c r="J1222" i="2" s="1"/>
  <c r="AG56" i="20"/>
  <c r="F1222" i="2" s="1"/>
  <c r="X35" i="20"/>
  <c r="H1182" i="2" s="1"/>
  <c r="S43" i="20"/>
  <c r="C1190" i="2" s="1"/>
  <c r="T43" i="20"/>
  <c r="D1190" i="2" s="1"/>
  <c r="AI56" i="20"/>
  <c r="H1222" i="2" s="1"/>
  <c r="T35" i="20"/>
  <c r="D1182" i="2" s="1"/>
  <c r="U41" i="20"/>
  <c r="E1188" i="2" s="1"/>
  <c r="W35" i="20"/>
  <c r="G1182" i="2" s="1"/>
  <c r="Z43" i="20"/>
  <c r="J1190" i="2" s="1"/>
  <c r="W41" i="20"/>
  <c r="G1188" i="2" s="1"/>
  <c r="AD56" i="20"/>
  <c r="C1222" i="2" s="1"/>
  <c r="AE56" i="20"/>
  <c r="D1222" i="2" s="1"/>
  <c r="AJ56" i="20"/>
  <c r="I1222" i="2" s="1"/>
  <c r="AH56" i="20"/>
  <c r="G1222" i="2" s="1"/>
  <c r="Z41" i="20"/>
  <c r="J1188" i="2" s="1"/>
  <c r="S41" i="20"/>
  <c r="C1188" i="2" s="1"/>
  <c r="T41" i="20"/>
  <c r="D1188" i="2" s="1"/>
  <c r="R55" i="20"/>
  <c r="V55" i="20" s="1"/>
  <c r="F1211" i="2" s="1"/>
  <c r="AN26" i="20"/>
  <c r="AN27" i="20" s="1"/>
  <c r="AN25" i="20"/>
  <c r="AE39" i="19"/>
  <c r="D820" i="2" s="1"/>
  <c r="AD39" i="19"/>
  <c r="C820" i="2" s="1"/>
  <c r="Z43" i="19"/>
  <c r="J814" i="2" s="1"/>
  <c r="AH39" i="19"/>
  <c r="G820" i="2" s="1"/>
  <c r="R57" i="19"/>
  <c r="Y57" i="19" s="1"/>
  <c r="I837" i="2" s="1"/>
  <c r="AJ39" i="19"/>
  <c r="I820" i="2" s="1"/>
  <c r="T43" i="19"/>
  <c r="D814" i="2" s="1"/>
  <c r="AI39" i="19"/>
  <c r="H820" i="2" s="1"/>
  <c r="V43" i="19"/>
  <c r="F814" i="2" s="1"/>
  <c r="AC53" i="19"/>
  <c r="AF53" i="19" s="1"/>
  <c r="E843" i="2" s="1"/>
  <c r="AG39" i="19"/>
  <c r="F820" i="2" s="1"/>
  <c r="AF39" i="19"/>
  <c r="E820" i="2" s="1"/>
  <c r="X43" i="19"/>
  <c r="H814" i="2" s="1"/>
  <c r="W43" i="19"/>
  <c r="G814" i="2" s="1"/>
  <c r="U43" i="19"/>
  <c r="E814" i="2" s="1"/>
  <c r="AN22" i="19"/>
  <c r="AC4" i="18"/>
  <c r="A595" i="2"/>
  <c r="A962" i="2" s="1"/>
  <c r="AG21" i="18"/>
  <c r="F144" i="2" s="1"/>
  <c r="V22" i="18"/>
  <c r="F135" i="2" s="1"/>
  <c r="T22" i="18"/>
  <c r="D135" i="2" s="1"/>
  <c r="X22" i="18"/>
  <c r="H135" i="2" s="1"/>
  <c r="AH21" i="18"/>
  <c r="G144" i="2" s="1"/>
  <c r="AD21" i="18"/>
  <c r="C144" i="2" s="1"/>
  <c r="AE21" i="18"/>
  <c r="D144" i="2" s="1"/>
  <c r="Y22" i="18"/>
  <c r="I135" i="2" s="1"/>
  <c r="W22" i="18"/>
  <c r="G135" i="2" s="1"/>
  <c r="R36" i="18"/>
  <c r="W36" i="18" s="1"/>
  <c r="U22" i="18"/>
  <c r="E135" i="2" s="1"/>
  <c r="Y21" i="18"/>
  <c r="I134" i="2" s="1"/>
  <c r="S22" i="18"/>
  <c r="C135" i="2" s="1"/>
  <c r="AJ21" i="18"/>
  <c r="I144" i="2" s="1"/>
  <c r="AC35" i="18"/>
  <c r="AI35" i="18" s="1"/>
  <c r="H167" i="2" s="1"/>
  <c r="U21" i="18"/>
  <c r="E134" i="2" s="1"/>
  <c r="T21" i="18"/>
  <c r="D134" i="2" s="1"/>
  <c r="AI40" i="18"/>
  <c r="H172" i="2" s="1"/>
  <c r="AK21" i="18"/>
  <c r="J144" i="2" s="1"/>
  <c r="AF21" i="18"/>
  <c r="E144" i="2" s="1"/>
  <c r="AH37" i="18"/>
  <c r="G169" i="2" s="1"/>
  <c r="AH23" i="18"/>
  <c r="G146" i="2" s="1"/>
  <c r="AG37" i="18"/>
  <c r="F169" i="2" s="1"/>
  <c r="AJ37" i="18"/>
  <c r="I169" i="2" s="1"/>
  <c r="AD37" i="18"/>
  <c r="C169" i="2" s="1"/>
  <c r="AG23" i="18"/>
  <c r="F146" i="2" s="1"/>
  <c r="AI23" i="18"/>
  <c r="H146" i="2" s="1"/>
  <c r="AF23" i="18"/>
  <c r="E146" i="2" s="1"/>
  <c r="AE23" i="18"/>
  <c r="D146" i="2" s="1"/>
  <c r="AD23" i="18"/>
  <c r="C146" i="2" s="1"/>
  <c r="AK23" i="18"/>
  <c r="J146" i="2" s="1"/>
  <c r="AF37" i="18"/>
  <c r="E169" i="2" s="1"/>
  <c r="AJ40" i="18"/>
  <c r="I172" i="2" s="1"/>
  <c r="AG40" i="18"/>
  <c r="F172" i="2" s="1"/>
  <c r="AP21" i="18"/>
  <c r="AP24" i="18" s="1"/>
  <c r="W21" i="18"/>
  <c r="G134" i="2" s="1"/>
  <c r="S21" i="18"/>
  <c r="C134" i="2" s="1"/>
  <c r="AH22" i="18"/>
  <c r="G145" i="2" s="1"/>
  <c r="AD22" i="18"/>
  <c r="C145" i="2" s="1"/>
  <c r="V21" i="18"/>
  <c r="F134" i="2" s="1"/>
  <c r="AN24" i="18"/>
  <c r="X21" i="18"/>
  <c r="H134" i="2" s="1"/>
  <c r="AF22" i="18"/>
  <c r="E145" i="2" s="1"/>
  <c r="R35" i="18"/>
  <c r="Y35" i="18" s="1"/>
  <c r="AG22" i="18"/>
  <c r="F145" i="2" s="1"/>
  <c r="AF40" i="18"/>
  <c r="E172" i="2" s="1"/>
  <c r="AJ22" i="18"/>
  <c r="I145" i="2" s="1"/>
  <c r="AE22" i="18"/>
  <c r="D145" i="2" s="1"/>
  <c r="AC54" i="18"/>
  <c r="AH54" i="18" s="1"/>
  <c r="G195" i="2" s="1"/>
  <c r="AD40" i="18"/>
  <c r="C172" i="2" s="1"/>
  <c r="AI37" i="18"/>
  <c r="H169" i="2" s="1"/>
  <c r="AC36" i="18"/>
  <c r="AJ36" i="18" s="1"/>
  <c r="I168" i="2" s="1"/>
  <c r="AE40" i="18"/>
  <c r="D172" i="2" s="1"/>
  <c r="AH40" i="18"/>
  <c r="G172" i="2" s="1"/>
  <c r="AE37" i="18"/>
  <c r="D169" i="2" s="1"/>
  <c r="AC51" i="18"/>
  <c r="AJ51" i="18" s="1"/>
  <c r="I192" i="2" s="1"/>
  <c r="AJ23" i="18"/>
  <c r="I146" i="2" s="1"/>
  <c r="AI22" i="18"/>
  <c r="H145" i="2" s="1"/>
  <c r="T38" i="20"/>
  <c r="D1185" i="2" s="1"/>
  <c r="Z38" i="20"/>
  <c r="J1185" i="2" s="1"/>
  <c r="R52" i="20"/>
  <c r="Y38" i="20"/>
  <c r="I1185" i="2" s="1"/>
  <c r="X38" i="20"/>
  <c r="H1185" i="2" s="1"/>
  <c r="W38" i="20"/>
  <c r="G1185" i="2" s="1"/>
  <c r="U38" i="20"/>
  <c r="E1185" i="2" s="1"/>
  <c r="S38" i="20"/>
  <c r="C1185" i="2" s="1"/>
  <c r="V38" i="20"/>
  <c r="F1185" i="2" s="1"/>
  <c r="X57" i="20"/>
  <c r="H1213" i="2" s="1"/>
  <c r="V57" i="20"/>
  <c r="F1213" i="2" s="1"/>
  <c r="AG35" i="20"/>
  <c r="F1192" i="2" s="1"/>
  <c r="AE35" i="20"/>
  <c r="D1192" i="2" s="1"/>
  <c r="AD35" i="20"/>
  <c r="C1192" i="2" s="1"/>
  <c r="AK35" i="20"/>
  <c r="J1192" i="2" s="1"/>
  <c r="AC49" i="20"/>
  <c r="AI35" i="20"/>
  <c r="H1192" i="2" s="1"/>
  <c r="AH35" i="20"/>
  <c r="G1192" i="2" s="1"/>
  <c r="AF35" i="20"/>
  <c r="E1192" i="2" s="1"/>
  <c r="AJ35" i="20"/>
  <c r="I1192" i="2" s="1"/>
  <c r="AF36" i="20"/>
  <c r="E1193" i="2" s="1"/>
  <c r="AD36" i="20"/>
  <c r="C1193" i="2" s="1"/>
  <c r="AK36" i="20"/>
  <c r="J1193" i="2" s="1"/>
  <c r="AC50" i="20"/>
  <c r="AJ36" i="20"/>
  <c r="I1193" i="2" s="1"/>
  <c r="AG36" i="20"/>
  <c r="F1193" i="2" s="1"/>
  <c r="AI36" i="20"/>
  <c r="H1193" i="2" s="1"/>
  <c r="AH36" i="20"/>
  <c r="G1193" i="2" s="1"/>
  <c r="AE36" i="20"/>
  <c r="D1193" i="2" s="1"/>
  <c r="AP24" i="20"/>
  <c r="AQ21" i="20"/>
  <c r="AP12" i="20"/>
  <c r="AP13" i="20" s="1"/>
  <c r="AP11" i="20"/>
  <c r="AE52" i="20"/>
  <c r="D1218" i="2" s="1"/>
  <c r="AK52" i="20"/>
  <c r="J1218" i="2" s="1"/>
  <c r="AJ52" i="20"/>
  <c r="I1218" i="2" s="1"/>
  <c r="AI52" i="20"/>
  <c r="H1218" i="2" s="1"/>
  <c r="AF52" i="20"/>
  <c r="E1218" i="2" s="1"/>
  <c r="AD52" i="20"/>
  <c r="C1218" i="2" s="1"/>
  <c r="AH52" i="20"/>
  <c r="G1218" i="2" s="1"/>
  <c r="AG52" i="20"/>
  <c r="F1218" i="2" s="1"/>
  <c r="AQ10" i="20"/>
  <c r="AR7" i="20"/>
  <c r="V36" i="20"/>
  <c r="F1183" i="2" s="1"/>
  <c r="T36" i="20"/>
  <c r="D1183" i="2" s="1"/>
  <c r="S36" i="20"/>
  <c r="C1183" i="2" s="1"/>
  <c r="Z36" i="20"/>
  <c r="J1183" i="2" s="1"/>
  <c r="U36" i="20"/>
  <c r="E1183" i="2" s="1"/>
  <c r="R50" i="20"/>
  <c r="Y36" i="20"/>
  <c r="I1183" i="2" s="1"/>
  <c r="X36" i="20"/>
  <c r="H1183" i="2" s="1"/>
  <c r="W36" i="20"/>
  <c r="G1183" i="2" s="1"/>
  <c r="Z40" i="20"/>
  <c r="J1187" i="2" s="1"/>
  <c r="X40" i="20"/>
  <c r="H1187" i="2" s="1"/>
  <c r="W40" i="20"/>
  <c r="G1187" i="2" s="1"/>
  <c r="V40" i="20"/>
  <c r="F1187" i="2" s="1"/>
  <c r="Y40" i="20"/>
  <c r="I1187" i="2" s="1"/>
  <c r="T40" i="20"/>
  <c r="D1187" i="2" s="1"/>
  <c r="S40" i="20"/>
  <c r="C1187" i="2" s="1"/>
  <c r="U40" i="20"/>
  <c r="E1187" i="2" s="1"/>
  <c r="R54" i="20"/>
  <c r="AK54" i="20"/>
  <c r="J1220" i="2" s="1"/>
  <c r="AI54" i="20"/>
  <c r="H1220" i="2" s="1"/>
  <c r="AH54" i="20"/>
  <c r="G1220" i="2" s="1"/>
  <c r="AG54" i="20"/>
  <c r="F1220" i="2" s="1"/>
  <c r="AE54" i="20"/>
  <c r="D1220" i="2" s="1"/>
  <c r="AD54" i="20"/>
  <c r="C1220" i="2" s="1"/>
  <c r="AJ54" i="20"/>
  <c r="I1220" i="2" s="1"/>
  <c r="AF54" i="20"/>
  <c r="E1220" i="2" s="1"/>
  <c r="AF44" i="20"/>
  <c r="E1201" i="2" s="1"/>
  <c r="AD44" i="20"/>
  <c r="C1201" i="2" s="1"/>
  <c r="AK44" i="20"/>
  <c r="J1201" i="2" s="1"/>
  <c r="AC58" i="20"/>
  <c r="AJ44" i="20"/>
  <c r="I1201" i="2" s="1"/>
  <c r="AE44" i="20"/>
  <c r="D1201" i="2" s="1"/>
  <c r="AI44" i="20"/>
  <c r="H1201" i="2" s="1"/>
  <c r="AH44" i="20"/>
  <c r="G1201" i="2" s="1"/>
  <c r="AG44" i="20"/>
  <c r="F1201" i="2" s="1"/>
  <c r="X42" i="20"/>
  <c r="H1189" i="2" s="1"/>
  <c r="V42" i="20"/>
  <c r="F1189" i="2" s="1"/>
  <c r="U42" i="20"/>
  <c r="E1189" i="2" s="1"/>
  <c r="T42" i="20"/>
  <c r="D1189" i="2" s="1"/>
  <c r="W42" i="20"/>
  <c r="G1189" i="2" s="1"/>
  <c r="Y42" i="20"/>
  <c r="I1189" i="2" s="1"/>
  <c r="S42" i="20"/>
  <c r="C1189" i="2" s="1"/>
  <c r="R56" i="20"/>
  <c r="Z42" i="20"/>
  <c r="J1189" i="2" s="1"/>
  <c r="AE37" i="20"/>
  <c r="D1194" i="2" s="1"/>
  <c r="AK37" i="20"/>
  <c r="J1194" i="2" s="1"/>
  <c r="AC51" i="20"/>
  <c r="AJ37" i="20"/>
  <c r="I1194" i="2" s="1"/>
  <c r="AI37" i="20"/>
  <c r="H1194" i="2" s="1"/>
  <c r="AF37" i="20"/>
  <c r="E1194" i="2" s="1"/>
  <c r="AH37" i="20"/>
  <c r="G1194" i="2" s="1"/>
  <c r="AG37" i="20"/>
  <c r="F1194" i="2" s="1"/>
  <c r="AD37" i="20"/>
  <c r="C1194" i="2" s="1"/>
  <c r="S39" i="20"/>
  <c r="C1186" i="2" s="1"/>
  <c r="R53" i="20"/>
  <c r="Y39" i="20"/>
  <c r="I1186" i="2" s="1"/>
  <c r="X39" i="20"/>
  <c r="H1186" i="2" s="1"/>
  <c r="W39" i="20"/>
  <c r="G1186" i="2" s="1"/>
  <c r="U39" i="20"/>
  <c r="E1186" i="2" s="1"/>
  <c r="Z39" i="20"/>
  <c r="J1186" i="2" s="1"/>
  <c r="V39" i="20"/>
  <c r="F1186" i="2" s="1"/>
  <c r="T39" i="20"/>
  <c r="D1186" i="2" s="1"/>
  <c r="AK39" i="20"/>
  <c r="J1196" i="2" s="1"/>
  <c r="AI39" i="20"/>
  <c r="H1196" i="2" s="1"/>
  <c r="AH39" i="20"/>
  <c r="G1196" i="2" s="1"/>
  <c r="AG39" i="20"/>
  <c r="F1196" i="2" s="1"/>
  <c r="AF39" i="20"/>
  <c r="E1196" i="2" s="1"/>
  <c r="AD39" i="20"/>
  <c r="C1196" i="2" s="1"/>
  <c r="AC53" i="20"/>
  <c r="AJ39" i="20"/>
  <c r="I1196" i="2" s="1"/>
  <c r="AE39" i="20"/>
  <c r="D1196" i="2" s="1"/>
  <c r="V44" i="20"/>
  <c r="F1191" i="2" s="1"/>
  <c r="T44" i="20"/>
  <c r="D1191" i="2" s="1"/>
  <c r="S44" i="20"/>
  <c r="C1191" i="2" s="1"/>
  <c r="AN35" i="20"/>
  <c r="Z44" i="20"/>
  <c r="J1191" i="2" s="1"/>
  <c r="W44" i="20"/>
  <c r="G1191" i="2" s="1"/>
  <c r="R58" i="20"/>
  <c r="Y44" i="20"/>
  <c r="I1191" i="2" s="1"/>
  <c r="X44" i="20"/>
  <c r="H1191" i="2" s="1"/>
  <c r="U44" i="20"/>
  <c r="E1191" i="2" s="1"/>
  <c r="AI41" i="20"/>
  <c r="H1198" i="2" s="1"/>
  <c r="AG41" i="20"/>
  <c r="F1198" i="2" s="1"/>
  <c r="AF41" i="20"/>
  <c r="E1198" i="2" s="1"/>
  <c r="AE41" i="20"/>
  <c r="D1198" i="2" s="1"/>
  <c r="AH41" i="20"/>
  <c r="G1198" i="2" s="1"/>
  <c r="AK41" i="20"/>
  <c r="J1198" i="2" s="1"/>
  <c r="AJ41" i="20"/>
  <c r="I1198" i="2" s="1"/>
  <c r="AD41" i="20"/>
  <c r="C1198" i="2" s="1"/>
  <c r="AC55" i="20"/>
  <c r="AG43" i="20"/>
  <c r="F1200" i="2" s="1"/>
  <c r="AE43" i="20"/>
  <c r="D1200" i="2" s="1"/>
  <c r="AD43" i="20"/>
  <c r="C1200" i="2" s="1"/>
  <c r="AK43" i="20"/>
  <c r="J1200" i="2" s="1"/>
  <c r="AC57" i="20"/>
  <c r="AI43" i="20"/>
  <c r="H1200" i="2" s="1"/>
  <c r="AH43" i="20"/>
  <c r="G1200" i="2" s="1"/>
  <c r="AF43" i="20"/>
  <c r="E1200" i="2" s="1"/>
  <c r="AJ43" i="20"/>
  <c r="I1200" i="2" s="1"/>
  <c r="U37" i="20"/>
  <c r="E1184" i="2" s="1"/>
  <c r="S37" i="20"/>
  <c r="C1184" i="2" s="1"/>
  <c r="Z37" i="20"/>
  <c r="J1184" i="2" s="1"/>
  <c r="R51" i="20"/>
  <c r="Y37" i="20"/>
  <c r="I1184" i="2" s="1"/>
  <c r="W37" i="20"/>
  <c r="G1184" i="2" s="1"/>
  <c r="T37" i="20"/>
  <c r="D1184" i="2" s="1"/>
  <c r="X37" i="20"/>
  <c r="H1184" i="2" s="1"/>
  <c r="V37" i="20"/>
  <c r="F1184" i="2" s="1"/>
  <c r="AH56" i="19"/>
  <c r="G846" i="2" s="1"/>
  <c r="AF56" i="19"/>
  <c r="E846" i="2" s="1"/>
  <c r="AE56" i="19"/>
  <c r="D846" i="2" s="1"/>
  <c r="AD56" i="19"/>
  <c r="C846" i="2" s="1"/>
  <c r="AK56" i="19"/>
  <c r="J846" i="2" s="1"/>
  <c r="AI56" i="19"/>
  <c r="H846" i="2" s="1"/>
  <c r="AG56" i="19"/>
  <c r="F846" i="2" s="1"/>
  <c r="AJ56" i="19"/>
  <c r="I846" i="2" s="1"/>
  <c r="AQ10" i="19"/>
  <c r="AR7" i="19"/>
  <c r="U36" i="19"/>
  <c r="E807" i="2" s="1"/>
  <c r="S36" i="19"/>
  <c r="C807" i="2" s="1"/>
  <c r="Z36" i="19"/>
  <c r="J807" i="2" s="1"/>
  <c r="R50" i="19"/>
  <c r="V36" i="19"/>
  <c r="F807" i="2" s="1"/>
  <c r="Y36" i="19"/>
  <c r="I807" i="2" s="1"/>
  <c r="X36" i="19"/>
  <c r="H807" i="2" s="1"/>
  <c r="W36" i="19"/>
  <c r="G807" i="2" s="1"/>
  <c r="T36" i="19"/>
  <c r="D807" i="2" s="1"/>
  <c r="AF43" i="19"/>
  <c r="E824" i="2" s="1"/>
  <c r="AD43" i="19"/>
  <c r="C824" i="2" s="1"/>
  <c r="AK43" i="19"/>
  <c r="J824" i="2" s="1"/>
  <c r="AH43" i="19"/>
  <c r="G824" i="2" s="1"/>
  <c r="AC57" i="19"/>
  <c r="AE43" i="19"/>
  <c r="D824" i="2" s="1"/>
  <c r="AJ43" i="19"/>
  <c r="I824" i="2" s="1"/>
  <c r="AI43" i="19"/>
  <c r="H824" i="2" s="1"/>
  <c r="AG43" i="19"/>
  <c r="F824" i="2" s="1"/>
  <c r="AP21" i="19"/>
  <c r="AO24" i="19"/>
  <c r="AN8" i="19"/>
  <c r="AE36" i="19"/>
  <c r="D817" i="2" s="1"/>
  <c r="AK36" i="19"/>
  <c r="J817" i="2" s="1"/>
  <c r="AC50" i="19"/>
  <c r="AJ36" i="19"/>
  <c r="I817" i="2" s="1"/>
  <c r="AD36" i="19"/>
  <c r="C817" i="2" s="1"/>
  <c r="AI36" i="19"/>
  <c r="H817" i="2" s="1"/>
  <c r="AG36" i="19"/>
  <c r="F817" i="2" s="1"/>
  <c r="AF36" i="19"/>
  <c r="E817" i="2" s="1"/>
  <c r="AH36" i="19"/>
  <c r="G817" i="2" s="1"/>
  <c r="AK38" i="19"/>
  <c r="J819" i="2" s="1"/>
  <c r="AI38" i="19"/>
  <c r="H819" i="2" s="1"/>
  <c r="AH38" i="19"/>
  <c r="G819" i="2" s="1"/>
  <c r="AG38" i="19"/>
  <c r="F819" i="2" s="1"/>
  <c r="AE38" i="19"/>
  <c r="D819" i="2" s="1"/>
  <c r="AC52" i="19"/>
  <c r="AD38" i="19"/>
  <c r="C819" i="2" s="1"/>
  <c r="AJ38" i="19"/>
  <c r="I819" i="2" s="1"/>
  <c r="AF38" i="19"/>
  <c r="E819" i="2" s="1"/>
  <c r="AO39" i="19"/>
  <c r="AO40" i="19"/>
  <c r="AO41" i="19" s="1"/>
  <c r="AQ38" i="19"/>
  <c r="AR35" i="19"/>
  <c r="U35" i="19"/>
  <c r="E806" i="2" s="1"/>
  <c r="S35" i="19"/>
  <c r="C806" i="2" s="1"/>
  <c r="Z35" i="19"/>
  <c r="J806" i="2" s="1"/>
  <c r="X35" i="19"/>
  <c r="H806" i="2" s="1"/>
  <c r="R49" i="19"/>
  <c r="Y35" i="19"/>
  <c r="I806" i="2" s="1"/>
  <c r="W35" i="19"/>
  <c r="G806" i="2" s="1"/>
  <c r="V35" i="19"/>
  <c r="F806" i="2" s="1"/>
  <c r="T35" i="19"/>
  <c r="D806" i="2" s="1"/>
  <c r="Z57" i="19"/>
  <c r="J837" i="2" s="1"/>
  <c r="R54" i="19"/>
  <c r="Y40" i="19"/>
  <c r="I811" i="2" s="1"/>
  <c r="W40" i="19"/>
  <c r="G811" i="2" s="1"/>
  <c r="V40" i="19"/>
  <c r="F811" i="2" s="1"/>
  <c r="U40" i="19"/>
  <c r="E811" i="2" s="1"/>
  <c r="S40" i="19"/>
  <c r="C811" i="2" s="1"/>
  <c r="Z40" i="19"/>
  <c r="J811" i="2" s="1"/>
  <c r="X40" i="19"/>
  <c r="H811" i="2" s="1"/>
  <c r="T40" i="19"/>
  <c r="D811" i="2" s="1"/>
  <c r="AP40" i="19"/>
  <c r="AP41" i="19" s="1"/>
  <c r="AP39" i="19"/>
  <c r="AP36" i="19" s="1"/>
  <c r="AI55" i="19"/>
  <c r="H845" i="2" s="1"/>
  <c r="AG55" i="19"/>
  <c r="F845" i="2" s="1"/>
  <c r="AF55" i="19"/>
  <c r="E845" i="2" s="1"/>
  <c r="AD55" i="19"/>
  <c r="C845" i="2" s="1"/>
  <c r="AK55" i="19"/>
  <c r="J845" i="2" s="1"/>
  <c r="AH55" i="19"/>
  <c r="G845" i="2" s="1"/>
  <c r="AE55" i="19"/>
  <c r="D845" i="2" s="1"/>
  <c r="AJ55" i="19"/>
  <c r="I845" i="2" s="1"/>
  <c r="Z39" i="19"/>
  <c r="J810" i="2" s="1"/>
  <c r="X39" i="19"/>
  <c r="H810" i="2" s="1"/>
  <c r="W39" i="19"/>
  <c r="G810" i="2" s="1"/>
  <c r="U39" i="19"/>
  <c r="E810" i="2" s="1"/>
  <c r="S39" i="19"/>
  <c r="C810" i="2" s="1"/>
  <c r="R53" i="19"/>
  <c r="Y39" i="19"/>
  <c r="I810" i="2" s="1"/>
  <c r="V39" i="19"/>
  <c r="F810" i="2" s="1"/>
  <c r="T39" i="19"/>
  <c r="D810" i="2" s="1"/>
  <c r="AE51" i="19"/>
  <c r="D841" i="2" s="1"/>
  <c r="AK51" i="19"/>
  <c r="J841" i="2" s="1"/>
  <c r="AJ51" i="19"/>
  <c r="I841" i="2" s="1"/>
  <c r="AD51" i="19"/>
  <c r="C841" i="2" s="1"/>
  <c r="AI51" i="19"/>
  <c r="H841" i="2" s="1"/>
  <c r="AG51" i="19"/>
  <c r="F841" i="2" s="1"/>
  <c r="AF51" i="19"/>
  <c r="E841" i="2" s="1"/>
  <c r="AH51" i="19"/>
  <c r="G841" i="2" s="1"/>
  <c r="T37" i="19"/>
  <c r="D808" i="2" s="1"/>
  <c r="Z37" i="19"/>
  <c r="J808" i="2" s="1"/>
  <c r="R51" i="19"/>
  <c r="Y37" i="19"/>
  <c r="I808" i="2" s="1"/>
  <c r="W37" i="19"/>
  <c r="G808" i="2" s="1"/>
  <c r="U37" i="19"/>
  <c r="E808" i="2" s="1"/>
  <c r="S37" i="19"/>
  <c r="C808" i="2" s="1"/>
  <c r="X37" i="19"/>
  <c r="H808" i="2" s="1"/>
  <c r="V37" i="19"/>
  <c r="F808" i="2" s="1"/>
  <c r="X56" i="19"/>
  <c r="H836" i="2" s="1"/>
  <c r="V56" i="19"/>
  <c r="F836" i="2" s="1"/>
  <c r="U56" i="19"/>
  <c r="E836" i="2" s="1"/>
  <c r="W56" i="19"/>
  <c r="G836" i="2" s="1"/>
  <c r="S56" i="19"/>
  <c r="C836" i="2" s="1"/>
  <c r="Z56" i="19"/>
  <c r="J836" i="2" s="1"/>
  <c r="Y56" i="19"/>
  <c r="I836" i="2" s="1"/>
  <c r="T56" i="19"/>
  <c r="D836" i="2" s="1"/>
  <c r="U44" i="19"/>
  <c r="E815" i="2" s="1"/>
  <c r="S44" i="19"/>
  <c r="C815" i="2" s="1"/>
  <c r="Z44" i="19"/>
  <c r="J815" i="2" s="1"/>
  <c r="W44" i="19"/>
  <c r="G815" i="2" s="1"/>
  <c r="Y44" i="19"/>
  <c r="I815" i="2" s="1"/>
  <c r="X44" i="19"/>
  <c r="H815" i="2" s="1"/>
  <c r="R58" i="19"/>
  <c r="V44" i="19"/>
  <c r="F815" i="2" s="1"/>
  <c r="T44" i="19"/>
  <c r="D815" i="2" s="1"/>
  <c r="AE35" i="19"/>
  <c r="D816" i="2" s="1"/>
  <c r="AK35" i="19"/>
  <c r="J816" i="2" s="1"/>
  <c r="AJ35" i="19"/>
  <c r="I816" i="2" s="1"/>
  <c r="AG35" i="19"/>
  <c r="F816" i="2" s="1"/>
  <c r="AC49" i="19"/>
  <c r="AD35" i="19"/>
  <c r="C816" i="2" s="1"/>
  <c r="AI35" i="19"/>
  <c r="H816" i="2" s="1"/>
  <c r="AH35" i="19"/>
  <c r="G816" i="2" s="1"/>
  <c r="AF35" i="19"/>
  <c r="E816" i="2" s="1"/>
  <c r="AE44" i="19"/>
  <c r="D825" i="2" s="1"/>
  <c r="AK44" i="19"/>
  <c r="J825" i="2" s="1"/>
  <c r="AC58" i="19"/>
  <c r="AJ44" i="19"/>
  <c r="I825" i="2" s="1"/>
  <c r="AF44" i="19"/>
  <c r="E825" i="2" s="1"/>
  <c r="AH44" i="19"/>
  <c r="G825" i="2" s="1"/>
  <c r="AG44" i="19"/>
  <c r="F825" i="2" s="1"/>
  <c r="AD44" i="19"/>
  <c r="C825" i="2" s="1"/>
  <c r="AI44" i="19"/>
  <c r="H825" i="2" s="1"/>
  <c r="Y55" i="19"/>
  <c r="I835" i="2" s="1"/>
  <c r="W55" i="19"/>
  <c r="G835" i="2" s="1"/>
  <c r="V55" i="19"/>
  <c r="F835" i="2" s="1"/>
  <c r="U55" i="19"/>
  <c r="E835" i="2" s="1"/>
  <c r="S55" i="19"/>
  <c r="C835" i="2" s="1"/>
  <c r="Z55" i="19"/>
  <c r="J835" i="2" s="1"/>
  <c r="X55" i="19"/>
  <c r="H835" i="2" s="1"/>
  <c r="T55" i="19"/>
  <c r="D835" i="2" s="1"/>
  <c r="T52" i="19"/>
  <c r="D832" i="2" s="1"/>
  <c r="Z52" i="19"/>
  <c r="J832" i="2" s="1"/>
  <c r="Y52" i="19"/>
  <c r="I832" i="2" s="1"/>
  <c r="X52" i="19"/>
  <c r="H832" i="2" s="1"/>
  <c r="S52" i="19"/>
  <c r="C832" i="2" s="1"/>
  <c r="U52" i="19"/>
  <c r="E832" i="2" s="1"/>
  <c r="W52" i="19"/>
  <c r="G832" i="2" s="1"/>
  <c r="V52" i="19"/>
  <c r="F832" i="2" s="1"/>
  <c r="AP8" i="19"/>
  <c r="U44" i="18"/>
  <c r="E157" i="2" s="1"/>
  <c r="S44" i="18"/>
  <c r="C166" i="2" s="1"/>
  <c r="AN35" i="18"/>
  <c r="Z44" i="18"/>
  <c r="J157" i="2" s="1"/>
  <c r="Y44" i="18"/>
  <c r="I157" i="2" s="1"/>
  <c r="X44" i="18"/>
  <c r="H157" i="2" s="1"/>
  <c r="W44" i="18"/>
  <c r="G157" i="2" s="1"/>
  <c r="R58" i="18"/>
  <c r="V44" i="18"/>
  <c r="F157" i="2" s="1"/>
  <c r="T44" i="18"/>
  <c r="D157" i="2" s="1"/>
  <c r="AF43" i="18"/>
  <c r="E175" i="2" s="1"/>
  <c r="AD43" i="18"/>
  <c r="C175" i="2" s="1"/>
  <c r="AK43" i="18"/>
  <c r="J175" i="2" s="1"/>
  <c r="AH43" i="18"/>
  <c r="G175" i="2" s="1"/>
  <c r="AC57" i="18"/>
  <c r="AE43" i="18"/>
  <c r="D175" i="2" s="1"/>
  <c r="AI43" i="18"/>
  <c r="H175" i="2" s="1"/>
  <c r="AG43" i="18"/>
  <c r="F175" i="2" s="1"/>
  <c r="AJ43" i="18"/>
  <c r="I175" i="2" s="1"/>
  <c r="W42" i="18"/>
  <c r="U42" i="18"/>
  <c r="T42" i="18"/>
  <c r="X42" i="18"/>
  <c r="S42" i="18"/>
  <c r="C164" i="2" s="1"/>
  <c r="R56" i="18"/>
  <c r="Z42" i="18"/>
  <c r="V42" i="18"/>
  <c r="Y42" i="18"/>
  <c r="AK38" i="18"/>
  <c r="J170" i="2" s="1"/>
  <c r="AI38" i="18"/>
  <c r="H170" i="2" s="1"/>
  <c r="AH38" i="18"/>
  <c r="G170" i="2" s="1"/>
  <c r="AG38" i="18"/>
  <c r="F170" i="2" s="1"/>
  <c r="AE38" i="18"/>
  <c r="D170" i="2" s="1"/>
  <c r="AC52" i="18"/>
  <c r="AD38" i="18"/>
  <c r="C170" i="2" s="1"/>
  <c r="AJ38" i="18"/>
  <c r="I170" i="2" s="1"/>
  <c r="AF38" i="18"/>
  <c r="E170" i="2" s="1"/>
  <c r="AO26" i="18"/>
  <c r="AO27" i="18" s="1"/>
  <c r="AO25" i="18"/>
  <c r="X41" i="18"/>
  <c r="V41" i="18"/>
  <c r="U41" i="18"/>
  <c r="W41" i="18"/>
  <c r="S41" i="18"/>
  <c r="C163" i="2" s="1"/>
  <c r="R55" i="18"/>
  <c r="Z41" i="18"/>
  <c r="Y41" i="18"/>
  <c r="T41" i="18"/>
  <c r="W57" i="18"/>
  <c r="G188" i="2" s="1"/>
  <c r="U57" i="18"/>
  <c r="E188" i="2" s="1"/>
  <c r="T57" i="18"/>
  <c r="D188" i="2" s="1"/>
  <c r="Z57" i="18"/>
  <c r="J188" i="2" s="1"/>
  <c r="Y57" i="18"/>
  <c r="I188" i="2" s="1"/>
  <c r="X57" i="18"/>
  <c r="H188" i="2" s="1"/>
  <c r="V57" i="18"/>
  <c r="F188" i="2" s="1"/>
  <c r="S57" i="18"/>
  <c r="C188" i="2" s="1"/>
  <c r="T37" i="18"/>
  <c r="Z37" i="18"/>
  <c r="R51" i="18"/>
  <c r="Y37" i="18"/>
  <c r="W37" i="18"/>
  <c r="U37" i="18"/>
  <c r="S37" i="18"/>
  <c r="C159" i="2" s="1"/>
  <c r="X37" i="18"/>
  <c r="V37" i="18"/>
  <c r="AK53" i="18"/>
  <c r="J194" i="2" s="1"/>
  <c r="AI53" i="18"/>
  <c r="H194" i="2" s="1"/>
  <c r="AH53" i="18"/>
  <c r="G194" i="2" s="1"/>
  <c r="AG53" i="18"/>
  <c r="F194" i="2" s="1"/>
  <c r="AE53" i="18"/>
  <c r="D194" i="2" s="1"/>
  <c r="AD53" i="18"/>
  <c r="C194" i="2" s="1"/>
  <c r="AJ53" i="18"/>
  <c r="I194" i="2" s="1"/>
  <c r="AF53" i="18"/>
  <c r="E194" i="2" s="1"/>
  <c r="S38" i="18"/>
  <c r="C160" i="2" s="1"/>
  <c r="R52" i="18"/>
  <c r="Y38" i="18"/>
  <c r="X38" i="18"/>
  <c r="T38" i="18"/>
  <c r="Z38" i="18"/>
  <c r="W38" i="18"/>
  <c r="V38" i="18"/>
  <c r="U38" i="18"/>
  <c r="AO11" i="18"/>
  <c r="AO12" i="18"/>
  <c r="AO13" i="18" s="1"/>
  <c r="Z39" i="18"/>
  <c r="X39" i="18"/>
  <c r="W39" i="18"/>
  <c r="U39" i="18"/>
  <c r="S39" i="18"/>
  <c r="C161" i="2" s="1"/>
  <c r="R53" i="18"/>
  <c r="Y39" i="18"/>
  <c r="V39" i="18"/>
  <c r="T39" i="18"/>
  <c r="AE44" i="18"/>
  <c r="D176" i="2" s="1"/>
  <c r="AK44" i="18"/>
  <c r="J176" i="2" s="1"/>
  <c r="AC58" i="18"/>
  <c r="AJ44" i="18"/>
  <c r="I176" i="2" s="1"/>
  <c r="AF44" i="18"/>
  <c r="E176" i="2" s="1"/>
  <c r="AI44" i="18"/>
  <c r="H176" i="2" s="1"/>
  <c r="AH44" i="18"/>
  <c r="G176" i="2" s="1"/>
  <c r="AG44" i="18"/>
  <c r="F176" i="2" s="1"/>
  <c r="AD44" i="18"/>
  <c r="C176" i="2" s="1"/>
  <c r="AQ10" i="18"/>
  <c r="AR7" i="18"/>
  <c r="AH56" i="18"/>
  <c r="G197" i="2" s="1"/>
  <c r="AF56" i="18"/>
  <c r="E197" i="2" s="1"/>
  <c r="AE56" i="18"/>
  <c r="D197" i="2" s="1"/>
  <c r="AK56" i="18"/>
  <c r="J197" i="2" s="1"/>
  <c r="AI56" i="18"/>
  <c r="H197" i="2" s="1"/>
  <c r="AG56" i="18"/>
  <c r="F197" i="2" s="1"/>
  <c r="AJ56" i="18"/>
  <c r="I197" i="2" s="1"/>
  <c r="AD56" i="18"/>
  <c r="C197" i="2" s="1"/>
  <c r="R54" i="18"/>
  <c r="Y40" i="18"/>
  <c r="W40" i="18"/>
  <c r="V40" i="18"/>
  <c r="U40" i="18"/>
  <c r="S40" i="18"/>
  <c r="C162" i="2" s="1"/>
  <c r="Z40" i="18"/>
  <c r="X40" i="18"/>
  <c r="T40" i="18"/>
  <c r="AP12" i="18"/>
  <c r="AP13" i="18" s="1"/>
  <c r="AP11" i="18"/>
  <c r="H20" i="2"/>
  <c r="J63" i="2"/>
  <c r="I63" i="2"/>
  <c r="H63" i="2"/>
  <c r="G63" i="2"/>
  <c r="F63" i="2"/>
  <c r="E63" i="2"/>
  <c r="D63" i="2"/>
  <c r="C63" i="2"/>
  <c r="J61" i="2"/>
  <c r="I61" i="2"/>
  <c r="H61" i="2"/>
  <c r="G61" i="2"/>
  <c r="F61" i="2"/>
  <c r="E61" i="2"/>
  <c r="D61" i="2"/>
  <c r="C61" i="2"/>
  <c r="J59" i="2"/>
  <c r="I59" i="2"/>
  <c r="H59" i="2"/>
  <c r="G59" i="2"/>
  <c r="F59" i="2"/>
  <c r="E59" i="2"/>
  <c r="D59" i="2"/>
  <c r="C59" i="2"/>
  <c r="J57" i="2"/>
  <c r="I57" i="2"/>
  <c r="H57" i="2"/>
  <c r="G57" i="2"/>
  <c r="F57" i="2"/>
  <c r="E57" i="2"/>
  <c r="D57" i="2"/>
  <c r="C57" i="2"/>
  <c r="A55" i="2"/>
  <c r="H51" i="2"/>
  <c r="K46" i="2"/>
  <c r="K44" i="2"/>
  <c r="K42" i="2"/>
  <c r="K40" i="2"/>
  <c r="M34" i="2"/>
  <c r="D34" i="2"/>
  <c r="C34" i="2"/>
  <c r="B34" i="2"/>
  <c r="D51" i="2"/>
  <c r="C51" i="2"/>
  <c r="B51" i="2"/>
  <c r="Z57" i="20" l="1"/>
  <c r="J1213" i="2" s="1"/>
  <c r="U57" i="20"/>
  <c r="E1213" i="2" s="1"/>
  <c r="S57" i="20"/>
  <c r="C1213" i="2" s="1"/>
  <c r="Y57" i="20"/>
  <c r="I1213" i="2" s="1"/>
  <c r="W57" i="20"/>
  <c r="G1213" i="2" s="1"/>
  <c r="Z49" i="20"/>
  <c r="J1205" i="2" s="1"/>
  <c r="S49" i="20"/>
  <c r="C1205" i="2" s="1"/>
  <c r="W49" i="20"/>
  <c r="G1205" i="2" s="1"/>
  <c r="Y49" i="20"/>
  <c r="I1205" i="2" s="1"/>
  <c r="T49" i="20"/>
  <c r="D1205" i="2" s="1"/>
  <c r="U49" i="20"/>
  <c r="E1205" i="2" s="1"/>
  <c r="X49" i="20"/>
  <c r="H1205" i="2" s="1"/>
  <c r="S55" i="20"/>
  <c r="C1211" i="2" s="1"/>
  <c r="Z55" i="20"/>
  <c r="J1211" i="2" s="1"/>
  <c r="T55" i="20"/>
  <c r="D1211" i="2" s="1"/>
  <c r="AN22" i="20"/>
  <c r="AP8" i="20"/>
  <c r="AP8" i="18"/>
  <c r="W55" i="20"/>
  <c r="G1211" i="2" s="1"/>
  <c r="X55" i="20"/>
  <c r="H1211" i="2" s="1"/>
  <c r="Y55" i="20"/>
  <c r="I1211" i="2" s="1"/>
  <c r="U55" i="20"/>
  <c r="E1211" i="2" s="1"/>
  <c r="U57" i="19"/>
  <c r="E837" i="2" s="1"/>
  <c r="W57" i="19"/>
  <c r="G837" i="2" s="1"/>
  <c r="S57" i="19"/>
  <c r="C837" i="2" s="1"/>
  <c r="AF35" i="18"/>
  <c r="E167" i="2" s="1"/>
  <c r="T57" i="19"/>
  <c r="D837" i="2" s="1"/>
  <c r="V57" i="19"/>
  <c r="F837" i="2" s="1"/>
  <c r="AH53" i="19"/>
  <c r="G843" i="2" s="1"/>
  <c r="X57" i="19"/>
  <c r="H837" i="2" s="1"/>
  <c r="AJ53" i="19"/>
  <c r="I843" i="2" s="1"/>
  <c r="AD53" i="19"/>
  <c r="C843" i="2" s="1"/>
  <c r="AE53" i="19"/>
  <c r="D843" i="2" s="1"/>
  <c r="AG53" i="19"/>
  <c r="F843" i="2" s="1"/>
  <c r="AI53" i="19"/>
  <c r="H843" i="2" s="1"/>
  <c r="AK53" i="19"/>
  <c r="J843" i="2" s="1"/>
  <c r="X36" i="18"/>
  <c r="AC49" i="18"/>
  <c r="AE49" i="18" s="1"/>
  <c r="D190" i="2" s="1"/>
  <c r="AH35" i="18"/>
  <c r="G167" i="2" s="1"/>
  <c r="AE35" i="18"/>
  <c r="D167" i="2" s="1"/>
  <c r="S36" i="18"/>
  <c r="C158" i="2" s="1"/>
  <c r="R50" i="18"/>
  <c r="Z50" i="18" s="1"/>
  <c r="Z36" i="18"/>
  <c r="T36" i="18"/>
  <c r="U36" i="18"/>
  <c r="V36" i="18"/>
  <c r="Y36" i="18"/>
  <c r="AG35" i="18"/>
  <c r="F167" i="2" s="1"/>
  <c r="AC50" i="18"/>
  <c r="AH50" i="18" s="1"/>
  <c r="G191" i="2" s="1"/>
  <c r="AJ35" i="18"/>
  <c r="I167" i="2" s="1"/>
  <c r="AK36" i="18"/>
  <c r="J168" i="2" s="1"/>
  <c r="AK35" i="18"/>
  <c r="J167" i="2" s="1"/>
  <c r="AD35" i="18"/>
  <c r="C167" i="2" s="1"/>
  <c r="AG36" i="18"/>
  <c r="F168" i="2" s="1"/>
  <c r="AQ21" i="18"/>
  <c r="AQ24" i="18" s="1"/>
  <c r="W35" i="18"/>
  <c r="R49" i="18"/>
  <c r="U49" i="18" s="1"/>
  <c r="Z35" i="18"/>
  <c r="AF51" i="18"/>
  <c r="E192" i="2" s="1"/>
  <c r="AH36" i="18"/>
  <c r="G168" i="2" s="1"/>
  <c r="AE36" i="18"/>
  <c r="D168" i="2" s="1"/>
  <c r="S35" i="18"/>
  <c r="C157" i="2" s="1"/>
  <c r="AD36" i="18"/>
  <c r="C168" i="2" s="1"/>
  <c r="T35" i="18"/>
  <c r="AD51" i="18"/>
  <c r="C192" i="2" s="1"/>
  <c r="AF36" i="18"/>
  <c r="E168" i="2" s="1"/>
  <c r="U35" i="18"/>
  <c r="V35" i="18"/>
  <c r="AH51" i="18"/>
  <c r="G192" i="2" s="1"/>
  <c r="AE54" i="18"/>
  <c r="D195" i="2" s="1"/>
  <c r="AI36" i="18"/>
  <c r="H168" i="2" s="1"/>
  <c r="X35" i="18"/>
  <c r="AK54" i="18"/>
  <c r="J195" i="2" s="1"/>
  <c r="AK51" i="18"/>
  <c r="J192" i="2" s="1"/>
  <c r="AE51" i="18"/>
  <c r="D192" i="2" s="1"/>
  <c r="AF54" i="18"/>
  <c r="E195" i="2" s="1"/>
  <c r="AN26" i="18"/>
  <c r="AN27" i="18" s="1"/>
  <c r="AN25" i="18"/>
  <c r="AJ54" i="18"/>
  <c r="I195" i="2" s="1"/>
  <c r="AG51" i="18"/>
  <c r="F192" i="2" s="1"/>
  <c r="AD54" i="18"/>
  <c r="C195" i="2" s="1"/>
  <c r="AI51" i="18"/>
  <c r="H192" i="2" s="1"/>
  <c r="AI54" i="18"/>
  <c r="H195" i="2" s="1"/>
  <c r="AG54" i="18"/>
  <c r="F195" i="2" s="1"/>
  <c r="AR10" i="20"/>
  <c r="AS7" i="20"/>
  <c r="V51" i="20"/>
  <c r="F1207" i="2" s="1"/>
  <c r="T51" i="20"/>
  <c r="D1207" i="2" s="1"/>
  <c r="S51" i="20"/>
  <c r="C1207" i="2" s="1"/>
  <c r="Z51" i="20"/>
  <c r="J1207" i="2" s="1"/>
  <c r="Y51" i="20"/>
  <c r="I1207" i="2" s="1"/>
  <c r="X51" i="20"/>
  <c r="H1207" i="2" s="1"/>
  <c r="W51" i="20"/>
  <c r="G1207" i="2" s="1"/>
  <c r="U51" i="20"/>
  <c r="E1207" i="2" s="1"/>
  <c r="AH57" i="20"/>
  <c r="G1223" i="2" s="1"/>
  <c r="AF57" i="20"/>
  <c r="E1223" i="2" s="1"/>
  <c r="AE57" i="20"/>
  <c r="D1223" i="2" s="1"/>
  <c r="AD57" i="20"/>
  <c r="C1223" i="2" s="1"/>
  <c r="AJ57" i="20"/>
  <c r="I1223" i="2" s="1"/>
  <c r="AK57" i="20"/>
  <c r="J1223" i="2" s="1"/>
  <c r="AI57" i="20"/>
  <c r="H1223" i="2" s="1"/>
  <c r="AG57" i="20"/>
  <c r="F1223" i="2" s="1"/>
  <c r="T53" i="20"/>
  <c r="D1209" i="2" s="1"/>
  <c r="Z53" i="20"/>
  <c r="J1209" i="2" s="1"/>
  <c r="Y53" i="20"/>
  <c r="I1209" i="2" s="1"/>
  <c r="X53" i="20"/>
  <c r="H1209" i="2" s="1"/>
  <c r="V53" i="20"/>
  <c r="F1209" i="2" s="1"/>
  <c r="U53" i="20"/>
  <c r="E1209" i="2" s="1"/>
  <c r="S53" i="20"/>
  <c r="C1209" i="2" s="1"/>
  <c r="W53" i="20"/>
  <c r="G1209" i="2" s="1"/>
  <c r="AF51" i="20"/>
  <c r="E1217" i="2" s="1"/>
  <c r="AD51" i="20"/>
  <c r="C1217" i="2" s="1"/>
  <c r="AK51" i="20"/>
  <c r="J1217" i="2" s="1"/>
  <c r="AJ51" i="20"/>
  <c r="I1217" i="2" s="1"/>
  <c r="AI51" i="20"/>
  <c r="H1217" i="2" s="1"/>
  <c r="AE51" i="20"/>
  <c r="D1217" i="2" s="1"/>
  <c r="AH51" i="20"/>
  <c r="G1217" i="2" s="1"/>
  <c r="AG51" i="20"/>
  <c r="F1217" i="2" s="1"/>
  <c r="AQ11" i="20"/>
  <c r="AQ12" i="20"/>
  <c r="AQ13" i="20" s="1"/>
  <c r="AJ55" i="20"/>
  <c r="I1221" i="2" s="1"/>
  <c r="AH55" i="20"/>
  <c r="G1221" i="2" s="1"/>
  <c r="AG55" i="20"/>
  <c r="F1221" i="2" s="1"/>
  <c r="AF55" i="20"/>
  <c r="E1221" i="2" s="1"/>
  <c r="AD55" i="20"/>
  <c r="C1221" i="2" s="1"/>
  <c r="AK55" i="20"/>
  <c r="J1221" i="2" s="1"/>
  <c r="AI55" i="20"/>
  <c r="H1221" i="2" s="1"/>
  <c r="AE55" i="20"/>
  <c r="D1221" i="2" s="1"/>
  <c r="W58" i="20"/>
  <c r="G1214" i="2" s="1"/>
  <c r="U58" i="20"/>
  <c r="E1214" i="2" s="1"/>
  <c r="T58" i="20"/>
  <c r="D1214" i="2" s="1"/>
  <c r="S58" i="20"/>
  <c r="C1214" i="2" s="1"/>
  <c r="AN49" i="20"/>
  <c r="Z58" i="20"/>
  <c r="J1214" i="2" s="1"/>
  <c r="Y58" i="20"/>
  <c r="I1214" i="2" s="1"/>
  <c r="X58" i="20"/>
  <c r="H1214" i="2" s="1"/>
  <c r="V58" i="20"/>
  <c r="F1214" i="2" s="1"/>
  <c r="AG58" i="20"/>
  <c r="F1224" i="2" s="1"/>
  <c r="AE58" i="20"/>
  <c r="D1224" i="2" s="1"/>
  <c r="AD58" i="20"/>
  <c r="C1224" i="2" s="1"/>
  <c r="AK58" i="20"/>
  <c r="J1224" i="2" s="1"/>
  <c r="AI58" i="20"/>
  <c r="H1224" i="2" s="1"/>
  <c r="AJ58" i="20"/>
  <c r="I1224" i="2" s="1"/>
  <c r="AF58" i="20"/>
  <c r="E1224" i="2" s="1"/>
  <c r="AH58" i="20"/>
  <c r="G1224" i="2" s="1"/>
  <c r="W50" i="20"/>
  <c r="G1206" i="2" s="1"/>
  <c r="U50" i="20"/>
  <c r="E1206" i="2" s="1"/>
  <c r="T50" i="20"/>
  <c r="D1206" i="2" s="1"/>
  <c r="S50" i="20"/>
  <c r="C1206" i="2" s="1"/>
  <c r="Y50" i="20"/>
  <c r="I1206" i="2" s="1"/>
  <c r="Z50" i="20"/>
  <c r="J1206" i="2" s="1"/>
  <c r="V50" i="20"/>
  <c r="F1206" i="2" s="1"/>
  <c r="X50" i="20"/>
  <c r="H1206" i="2" s="1"/>
  <c r="AD53" i="20"/>
  <c r="C1219" i="2" s="1"/>
  <c r="AJ53" i="20"/>
  <c r="I1219" i="2" s="1"/>
  <c r="AI53" i="20"/>
  <c r="H1219" i="2" s="1"/>
  <c r="AH53" i="20"/>
  <c r="G1219" i="2" s="1"/>
  <c r="AE53" i="20"/>
  <c r="D1219" i="2" s="1"/>
  <c r="AK53" i="20"/>
  <c r="J1219" i="2" s="1"/>
  <c r="AG53" i="20"/>
  <c r="F1219" i="2" s="1"/>
  <c r="AF53" i="20"/>
  <c r="E1219" i="2" s="1"/>
  <c r="AG50" i="20"/>
  <c r="F1216" i="2" s="1"/>
  <c r="AE50" i="20"/>
  <c r="D1216" i="2" s="1"/>
  <c r="AD50" i="20"/>
  <c r="C1216" i="2" s="1"/>
  <c r="AK50" i="20"/>
  <c r="J1216" i="2" s="1"/>
  <c r="AJ50" i="20"/>
  <c r="I1216" i="2" s="1"/>
  <c r="AH50" i="20"/>
  <c r="G1216" i="2" s="1"/>
  <c r="AF50" i="20"/>
  <c r="E1216" i="2" s="1"/>
  <c r="AI50" i="20"/>
  <c r="H1216" i="2" s="1"/>
  <c r="AH49" i="20"/>
  <c r="G1215" i="2" s="1"/>
  <c r="AF49" i="20"/>
  <c r="E1215" i="2" s="1"/>
  <c r="AE49" i="20"/>
  <c r="D1215" i="2" s="1"/>
  <c r="AD49" i="20"/>
  <c r="C1215" i="2" s="1"/>
  <c r="AJ49" i="20"/>
  <c r="I1215" i="2" s="1"/>
  <c r="AK49" i="20"/>
  <c r="J1215" i="2" s="1"/>
  <c r="AI49" i="20"/>
  <c r="H1215" i="2" s="1"/>
  <c r="AG49" i="20"/>
  <c r="F1215" i="2" s="1"/>
  <c r="S54" i="20"/>
  <c r="C1210" i="2" s="1"/>
  <c r="Y54" i="20"/>
  <c r="I1210" i="2" s="1"/>
  <c r="X54" i="20"/>
  <c r="H1210" i="2" s="1"/>
  <c r="W54" i="20"/>
  <c r="G1210" i="2" s="1"/>
  <c r="T54" i="20"/>
  <c r="D1210" i="2" s="1"/>
  <c r="Z54" i="20"/>
  <c r="J1210" i="2" s="1"/>
  <c r="V54" i="20"/>
  <c r="F1210" i="2" s="1"/>
  <c r="U54" i="20"/>
  <c r="E1210" i="2" s="1"/>
  <c r="AQ24" i="20"/>
  <c r="AR21" i="20"/>
  <c r="AN38" i="20"/>
  <c r="AO35" i="20"/>
  <c r="Y56" i="20"/>
  <c r="I1212" i="2" s="1"/>
  <c r="W56" i="20"/>
  <c r="G1212" i="2" s="1"/>
  <c r="V56" i="20"/>
  <c r="F1212" i="2" s="1"/>
  <c r="U56" i="20"/>
  <c r="E1212" i="2" s="1"/>
  <c r="S56" i="20"/>
  <c r="C1212" i="2" s="1"/>
  <c r="Z56" i="20"/>
  <c r="J1212" i="2" s="1"/>
  <c r="X56" i="20"/>
  <c r="H1212" i="2" s="1"/>
  <c r="T56" i="20"/>
  <c r="D1212" i="2" s="1"/>
  <c r="AP25" i="20"/>
  <c r="AP26" i="20"/>
  <c r="AP27" i="20" s="1"/>
  <c r="U52" i="20"/>
  <c r="E1208" i="2" s="1"/>
  <c r="S52" i="20"/>
  <c r="C1208" i="2" s="1"/>
  <c r="Z52" i="20"/>
  <c r="J1208" i="2" s="1"/>
  <c r="Y52" i="20"/>
  <c r="I1208" i="2" s="1"/>
  <c r="T52" i="20"/>
  <c r="D1208" i="2" s="1"/>
  <c r="X52" i="20"/>
  <c r="H1208" i="2" s="1"/>
  <c r="W52" i="20"/>
  <c r="G1208" i="2" s="1"/>
  <c r="V52" i="20"/>
  <c r="F1208" i="2" s="1"/>
  <c r="AF58" i="19"/>
  <c r="E848" i="2" s="1"/>
  <c r="AD58" i="19"/>
  <c r="C848" i="2" s="1"/>
  <c r="AK58" i="19"/>
  <c r="J848" i="2" s="1"/>
  <c r="AI58" i="19"/>
  <c r="H848" i="2" s="1"/>
  <c r="AJ58" i="19"/>
  <c r="I848" i="2" s="1"/>
  <c r="AG58" i="19"/>
  <c r="F848" i="2" s="1"/>
  <c r="AE58" i="19"/>
  <c r="D848" i="2" s="1"/>
  <c r="AH58" i="19"/>
  <c r="G848" i="2" s="1"/>
  <c r="AG57" i="19"/>
  <c r="F847" i="2" s="1"/>
  <c r="AE57" i="19"/>
  <c r="D847" i="2" s="1"/>
  <c r="AD57" i="19"/>
  <c r="C847" i="2" s="1"/>
  <c r="AH57" i="19"/>
  <c r="G847" i="2" s="1"/>
  <c r="AK57" i="19"/>
  <c r="J847" i="2" s="1"/>
  <c r="AJ57" i="19"/>
  <c r="I847" i="2" s="1"/>
  <c r="AI57" i="19"/>
  <c r="H847" i="2" s="1"/>
  <c r="AF57" i="19"/>
  <c r="E847" i="2" s="1"/>
  <c r="AG49" i="19"/>
  <c r="F839" i="2" s="1"/>
  <c r="AE49" i="19"/>
  <c r="D839" i="2" s="1"/>
  <c r="AD49" i="19"/>
  <c r="C839" i="2" s="1"/>
  <c r="AH49" i="19"/>
  <c r="G839" i="2" s="1"/>
  <c r="AK49" i="19"/>
  <c r="J839" i="2" s="1"/>
  <c r="AJ49" i="19"/>
  <c r="I839" i="2" s="1"/>
  <c r="AI49" i="19"/>
  <c r="H839" i="2" s="1"/>
  <c r="AF49" i="19"/>
  <c r="E839" i="2" s="1"/>
  <c r="AQ12" i="19"/>
  <c r="AQ13" i="19" s="1"/>
  <c r="AQ11" i="19"/>
  <c r="S53" i="19"/>
  <c r="C833" i="2" s="1"/>
  <c r="Y53" i="19"/>
  <c r="I833" i="2" s="1"/>
  <c r="X53" i="19"/>
  <c r="H833" i="2" s="1"/>
  <c r="Z53" i="19"/>
  <c r="J833" i="2" s="1"/>
  <c r="T53" i="19"/>
  <c r="D833" i="2" s="1"/>
  <c r="U53" i="19"/>
  <c r="E833" i="2" s="1"/>
  <c r="W53" i="19"/>
  <c r="G833" i="2" s="1"/>
  <c r="V53" i="19"/>
  <c r="F833" i="2" s="1"/>
  <c r="Z54" i="19"/>
  <c r="J834" i="2" s="1"/>
  <c r="X54" i="19"/>
  <c r="H834" i="2" s="1"/>
  <c r="W54" i="19"/>
  <c r="G834" i="2" s="1"/>
  <c r="U54" i="19"/>
  <c r="E834" i="2" s="1"/>
  <c r="S54" i="19"/>
  <c r="C834" i="2" s="1"/>
  <c r="Y54" i="19"/>
  <c r="I834" i="2" s="1"/>
  <c r="V54" i="19"/>
  <c r="F834" i="2" s="1"/>
  <c r="T54" i="19"/>
  <c r="D834" i="2" s="1"/>
  <c r="AD52" i="19"/>
  <c r="C842" i="2" s="1"/>
  <c r="AJ52" i="19"/>
  <c r="I842" i="2" s="1"/>
  <c r="AI52" i="19"/>
  <c r="H842" i="2" s="1"/>
  <c r="AG52" i="19"/>
  <c r="F842" i="2" s="1"/>
  <c r="AE52" i="19"/>
  <c r="D842" i="2" s="1"/>
  <c r="AK52" i="19"/>
  <c r="J842" i="2" s="1"/>
  <c r="AH52" i="19"/>
  <c r="G842" i="2" s="1"/>
  <c r="AF52" i="19"/>
  <c r="E842" i="2" s="1"/>
  <c r="AO25" i="19"/>
  <c r="AO26" i="19"/>
  <c r="AO27" i="19" s="1"/>
  <c r="V50" i="19"/>
  <c r="F830" i="2" s="1"/>
  <c r="T50" i="19"/>
  <c r="D830" i="2" s="1"/>
  <c r="S50" i="19"/>
  <c r="C830" i="2" s="1"/>
  <c r="Y50" i="19"/>
  <c r="I830" i="2" s="1"/>
  <c r="Z50" i="19"/>
  <c r="J830" i="2" s="1"/>
  <c r="X50" i="19"/>
  <c r="H830" i="2" s="1"/>
  <c r="W50" i="19"/>
  <c r="G830" i="2" s="1"/>
  <c r="U50" i="19"/>
  <c r="E830" i="2" s="1"/>
  <c r="U51" i="19"/>
  <c r="E831" i="2" s="1"/>
  <c r="S51" i="19"/>
  <c r="C831" i="2" s="1"/>
  <c r="Z51" i="19"/>
  <c r="J831" i="2" s="1"/>
  <c r="V51" i="19"/>
  <c r="F831" i="2" s="1"/>
  <c r="Y51" i="19"/>
  <c r="I831" i="2" s="1"/>
  <c r="X51" i="19"/>
  <c r="H831" i="2" s="1"/>
  <c r="W51" i="19"/>
  <c r="G831" i="2" s="1"/>
  <c r="T51" i="19"/>
  <c r="D831" i="2" s="1"/>
  <c r="AR38" i="19"/>
  <c r="AS35" i="19"/>
  <c r="AP24" i="19"/>
  <c r="AQ21" i="19"/>
  <c r="AQ40" i="19"/>
  <c r="AQ41" i="19" s="1"/>
  <c r="AQ39" i="19"/>
  <c r="V58" i="19"/>
  <c r="F838" i="2" s="1"/>
  <c r="T58" i="19"/>
  <c r="D838" i="2" s="1"/>
  <c r="S58" i="19"/>
  <c r="C838" i="2" s="1"/>
  <c r="AN49" i="19"/>
  <c r="U58" i="19"/>
  <c r="E838" i="2" s="1"/>
  <c r="Z58" i="19"/>
  <c r="J838" i="2" s="1"/>
  <c r="Y58" i="19"/>
  <c r="I838" i="2" s="1"/>
  <c r="X58" i="19"/>
  <c r="H838" i="2" s="1"/>
  <c r="W58" i="19"/>
  <c r="G838" i="2" s="1"/>
  <c r="W49" i="19"/>
  <c r="G829" i="2" s="1"/>
  <c r="U49" i="19"/>
  <c r="E829" i="2" s="1"/>
  <c r="T49" i="19"/>
  <c r="D829" i="2" s="1"/>
  <c r="Y49" i="19"/>
  <c r="I829" i="2" s="1"/>
  <c r="Z49" i="19"/>
  <c r="J829" i="2" s="1"/>
  <c r="X49" i="19"/>
  <c r="H829" i="2" s="1"/>
  <c r="V49" i="19"/>
  <c r="F829" i="2" s="1"/>
  <c r="S49" i="19"/>
  <c r="C829" i="2" s="1"/>
  <c r="AO36" i="19"/>
  <c r="AF50" i="19"/>
  <c r="E840" i="2" s="1"/>
  <c r="AD50" i="19"/>
  <c r="C840" i="2" s="1"/>
  <c r="AK50" i="19"/>
  <c r="J840" i="2" s="1"/>
  <c r="AH50" i="19"/>
  <c r="G840" i="2" s="1"/>
  <c r="AE50" i="19"/>
  <c r="D840" i="2" s="1"/>
  <c r="AG50" i="19"/>
  <c r="F840" i="2" s="1"/>
  <c r="AJ50" i="19"/>
  <c r="I840" i="2" s="1"/>
  <c r="AI50" i="19"/>
  <c r="H840" i="2" s="1"/>
  <c r="AS7" i="19"/>
  <c r="AR10" i="19"/>
  <c r="V58" i="18"/>
  <c r="F189" i="2" s="1"/>
  <c r="T58" i="18"/>
  <c r="D189" i="2" s="1"/>
  <c r="S58" i="18"/>
  <c r="C189" i="2" s="1"/>
  <c r="AN49" i="18"/>
  <c r="Z58" i="18"/>
  <c r="J189" i="2" s="1"/>
  <c r="X58" i="18"/>
  <c r="H189" i="2" s="1"/>
  <c r="W58" i="18"/>
  <c r="G189" i="2" s="1"/>
  <c r="Y58" i="18"/>
  <c r="I189" i="2" s="1"/>
  <c r="U58" i="18"/>
  <c r="E189" i="2" s="1"/>
  <c r="AP25" i="18"/>
  <c r="AP26" i="18"/>
  <c r="AP27" i="18" s="1"/>
  <c r="AO22" i="18"/>
  <c r="AG57" i="18"/>
  <c r="F198" i="2" s="1"/>
  <c r="AE57" i="18"/>
  <c r="D198" i="2" s="1"/>
  <c r="AD57" i="18"/>
  <c r="C198" i="2" s="1"/>
  <c r="AH57" i="18"/>
  <c r="G198" i="2" s="1"/>
  <c r="AF57" i="18"/>
  <c r="E198" i="2" s="1"/>
  <c r="AK57" i="18"/>
  <c r="J198" i="2" s="1"/>
  <c r="AJ57" i="18"/>
  <c r="I198" i="2" s="1"/>
  <c r="AI57" i="18"/>
  <c r="H198" i="2" s="1"/>
  <c r="W50" i="18"/>
  <c r="Z54" i="18"/>
  <c r="J185" i="2" s="1"/>
  <c r="X54" i="18"/>
  <c r="H185" i="2" s="1"/>
  <c r="W54" i="18"/>
  <c r="G185" i="2" s="1"/>
  <c r="U54" i="18"/>
  <c r="E185" i="2" s="1"/>
  <c r="S54" i="18"/>
  <c r="C185" i="2" s="1"/>
  <c r="Y54" i="18"/>
  <c r="I185" i="2" s="1"/>
  <c r="V54" i="18"/>
  <c r="F185" i="2" s="1"/>
  <c r="T54" i="18"/>
  <c r="D185" i="2" s="1"/>
  <c r="AO8" i="18"/>
  <c r="T52" i="18"/>
  <c r="Z52" i="18"/>
  <c r="Y52" i="18"/>
  <c r="S52" i="18"/>
  <c r="C183" i="2" s="1"/>
  <c r="X52" i="18"/>
  <c r="W52" i="18"/>
  <c r="V52" i="18"/>
  <c r="U52" i="18"/>
  <c r="Y55" i="18"/>
  <c r="I186" i="2" s="1"/>
  <c r="W55" i="18"/>
  <c r="G186" i="2" s="1"/>
  <c r="V55" i="18"/>
  <c r="F186" i="2" s="1"/>
  <c r="U55" i="18"/>
  <c r="E186" i="2" s="1"/>
  <c r="S55" i="18"/>
  <c r="C186" i="2" s="1"/>
  <c r="Z55" i="18"/>
  <c r="J186" i="2" s="1"/>
  <c r="X55" i="18"/>
  <c r="H186" i="2" s="1"/>
  <c r="T55" i="18"/>
  <c r="D186" i="2" s="1"/>
  <c r="U51" i="18"/>
  <c r="S51" i="18"/>
  <c r="C182" i="2" s="1"/>
  <c r="Z51" i="18"/>
  <c r="V51" i="18"/>
  <c r="X51" i="18"/>
  <c r="W51" i="18"/>
  <c r="T51" i="18"/>
  <c r="Y51" i="18"/>
  <c r="AS7" i="18"/>
  <c r="AR10" i="18"/>
  <c r="S53" i="18"/>
  <c r="C184" i="2" s="1"/>
  <c r="Y53" i="18"/>
  <c r="X53" i="18"/>
  <c r="T53" i="18"/>
  <c r="W53" i="18"/>
  <c r="V53" i="18"/>
  <c r="U53" i="18"/>
  <c r="Z53" i="18"/>
  <c r="AQ11" i="18"/>
  <c r="AQ12" i="18"/>
  <c r="AQ13" i="18" s="1"/>
  <c r="AF58" i="18"/>
  <c r="E199" i="2" s="1"/>
  <c r="AD58" i="18"/>
  <c r="C199" i="2" s="1"/>
  <c r="AK58" i="18"/>
  <c r="J199" i="2" s="1"/>
  <c r="AJ58" i="18"/>
  <c r="I199" i="2" s="1"/>
  <c r="AG58" i="18"/>
  <c r="F199" i="2" s="1"/>
  <c r="AE58" i="18"/>
  <c r="D199" i="2" s="1"/>
  <c r="AI58" i="18"/>
  <c r="H199" i="2" s="1"/>
  <c r="AH58" i="18"/>
  <c r="G199" i="2" s="1"/>
  <c r="AN38" i="18"/>
  <c r="AO35" i="18"/>
  <c r="AD52" i="18"/>
  <c r="C193" i="2" s="1"/>
  <c r="AJ52" i="18"/>
  <c r="I193" i="2" s="1"/>
  <c r="AI52" i="18"/>
  <c r="H193" i="2" s="1"/>
  <c r="AG52" i="18"/>
  <c r="F193" i="2" s="1"/>
  <c r="AE52" i="18"/>
  <c r="D193" i="2" s="1"/>
  <c r="AH52" i="18"/>
  <c r="G193" i="2" s="1"/>
  <c r="AF52" i="18"/>
  <c r="E193" i="2" s="1"/>
  <c r="AK52" i="18"/>
  <c r="J193" i="2" s="1"/>
  <c r="X56" i="18"/>
  <c r="H187" i="2" s="1"/>
  <c r="V56" i="18"/>
  <c r="F187" i="2" s="1"/>
  <c r="U56" i="18"/>
  <c r="E187" i="2" s="1"/>
  <c r="W56" i="18"/>
  <c r="G187" i="2" s="1"/>
  <c r="S56" i="18"/>
  <c r="C187" i="2" s="1"/>
  <c r="Y56" i="18"/>
  <c r="I187" i="2" s="1"/>
  <c r="T56" i="18"/>
  <c r="D187" i="2" s="1"/>
  <c r="Z56" i="18"/>
  <c r="J187" i="2" s="1"/>
  <c r="J41" i="2"/>
  <c r="J43" i="2"/>
  <c r="J47" i="2"/>
  <c r="K38" i="2"/>
  <c r="I41" i="2"/>
  <c r="C41" i="2"/>
  <c r="K41" i="2" s="1"/>
  <c r="G41" i="2"/>
  <c r="C43" i="2"/>
  <c r="K43" i="2" s="1"/>
  <c r="G43" i="2"/>
  <c r="C45" i="2"/>
  <c r="K45" i="2" s="1"/>
  <c r="G45" i="2"/>
  <c r="C47" i="2"/>
  <c r="K47" i="2" s="1"/>
  <c r="G47" i="2"/>
  <c r="K55" i="2"/>
  <c r="D56" i="2" s="1"/>
  <c r="K57" i="2"/>
  <c r="K59" i="2"/>
  <c r="K61" i="2"/>
  <c r="G62" i="2" s="1"/>
  <c r="K63" i="2"/>
  <c r="D41" i="2"/>
  <c r="H41" i="2"/>
  <c r="D43" i="2"/>
  <c r="H43" i="2"/>
  <c r="D45" i="2"/>
  <c r="H45" i="2"/>
  <c r="D47" i="2"/>
  <c r="H47" i="2"/>
  <c r="E41" i="2"/>
  <c r="E43" i="2"/>
  <c r="I43" i="2"/>
  <c r="E45" i="2"/>
  <c r="I45" i="2"/>
  <c r="E47" i="2"/>
  <c r="I47" i="2"/>
  <c r="F41" i="2"/>
  <c r="F43" i="2"/>
  <c r="F45" i="2"/>
  <c r="J45" i="2"/>
  <c r="F47" i="2"/>
  <c r="AQ36" i="19" l="1"/>
  <c r="AQ8" i="20"/>
  <c r="AQ8" i="19"/>
  <c r="AP22" i="20"/>
  <c r="AJ49" i="18"/>
  <c r="I190" i="2" s="1"/>
  <c r="H184" i="2"/>
  <c r="H166" i="2"/>
  <c r="I184" i="2"/>
  <c r="I166" i="2"/>
  <c r="J164" i="2"/>
  <c r="J182" i="2"/>
  <c r="I165" i="2"/>
  <c r="I183" i="2"/>
  <c r="E166" i="2"/>
  <c r="E184" i="2"/>
  <c r="E182" i="2"/>
  <c r="E164" i="2"/>
  <c r="J165" i="2"/>
  <c r="J183" i="2"/>
  <c r="F184" i="2"/>
  <c r="F166" i="2"/>
  <c r="I182" i="2"/>
  <c r="I164" i="2"/>
  <c r="D165" i="2"/>
  <c r="D183" i="2"/>
  <c r="G184" i="2"/>
  <c r="G166" i="2"/>
  <c r="D164" i="2"/>
  <c r="D182" i="2"/>
  <c r="E183" i="2"/>
  <c r="E165" i="2"/>
  <c r="D166" i="2"/>
  <c r="D184" i="2"/>
  <c r="G164" i="2"/>
  <c r="G182" i="2"/>
  <c r="F183" i="2"/>
  <c r="F165" i="2"/>
  <c r="G181" i="2"/>
  <c r="G163" i="2"/>
  <c r="J163" i="2"/>
  <c r="J181" i="2"/>
  <c r="G183" i="2"/>
  <c r="G165" i="2"/>
  <c r="E162" i="2"/>
  <c r="E180" i="2"/>
  <c r="H183" i="2"/>
  <c r="H165" i="2"/>
  <c r="H182" i="2"/>
  <c r="H164" i="2"/>
  <c r="F164" i="2"/>
  <c r="F182" i="2"/>
  <c r="J166" i="2"/>
  <c r="J184" i="2"/>
  <c r="AG49" i="18"/>
  <c r="F190" i="2" s="1"/>
  <c r="U50" i="18"/>
  <c r="AI49" i="18"/>
  <c r="H190" i="2" s="1"/>
  <c r="AK49" i="18"/>
  <c r="J190" i="2" s="1"/>
  <c r="AF49" i="18"/>
  <c r="E190" i="2" s="1"/>
  <c r="AR21" i="18"/>
  <c r="AS21" i="18" s="1"/>
  <c r="AH49" i="18"/>
  <c r="G190" i="2" s="1"/>
  <c r="AD49" i="18"/>
  <c r="C190" i="2" s="1"/>
  <c r="Y50" i="18"/>
  <c r="S50" i="18"/>
  <c r="C181" i="2" s="1"/>
  <c r="T50" i="18"/>
  <c r="V50" i="18"/>
  <c r="X50" i="18"/>
  <c r="AI50" i="18"/>
  <c r="H191" i="2" s="1"/>
  <c r="AK50" i="18"/>
  <c r="J191" i="2" s="1"/>
  <c r="Y49" i="18"/>
  <c r="Z49" i="18"/>
  <c r="W49" i="18"/>
  <c r="AJ50" i="18"/>
  <c r="I191" i="2" s="1"/>
  <c r="AD50" i="18"/>
  <c r="C191" i="2" s="1"/>
  <c r="S49" i="18"/>
  <c r="C180" i="2" s="1"/>
  <c r="V49" i="18"/>
  <c r="AF50" i="18"/>
  <c r="E191" i="2" s="1"/>
  <c r="X49" i="18"/>
  <c r="AG50" i="18"/>
  <c r="F191" i="2" s="1"/>
  <c r="T49" i="18"/>
  <c r="AE50" i="18"/>
  <c r="D191" i="2" s="1"/>
  <c r="AN22" i="18"/>
  <c r="AP35" i="20"/>
  <c r="AO38" i="20"/>
  <c r="AO49" i="20"/>
  <c r="AN52" i="20"/>
  <c r="AR11" i="20"/>
  <c r="AR12" i="20"/>
  <c r="AR13" i="20" s="1"/>
  <c r="AN40" i="20"/>
  <c r="AN41" i="20" s="1"/>
  <c r="AN39" i="20"/>
  <c r="AR24" i="20"/>
  <c r="AS21" i="20"/>
  <c r="AT7" i="20"/>
  <c r="AS10" i="20"/>
  <c r="AQ25" i="20"/>
  <c r="AQ26" i="20"/>
  <c r="AQ27" i="20" s="1"/>
  <c r="AQ24" i="19"/>
  <c r="AR21" i="19"/>
  <c r="AP25" i="19"/>
  <c r="AP26" i="19"/>
  <c r="AP27" i="19" s="1"/>
  <c r="AR11" i="19"/>
  <c r="AR12" i="19"/>
  <c r="AR13" i="19" s="1"/>
  <c r="AN52" i="19"/>
  <c r="AO49" i="19"/>
  <c r="AS38" i="19"/>
  <c r="AT35" i="19"/>
  <c r="AT7" i="19"/>
  <c r="AS10" i="19"/>
  <c r="AR39" i="19"/>
  <c r="AR40" i="19"/>
  <c r="AR41" i="19" s="1"/>
  <c r="AO22" i="19"/>
  <c r="AN52" i="18"/>
  <c r="AO49" i="18"/>
  <c r="AT7" i="18"/>
  <c r="AS10" i="18"/>
  <c r="AR12" i="18"/>
  <c r="AR13" i="18" s="1"/>
  <c r="AR11" i="18"/>
  <c r="AN40" i="18"/>
  <c r="AN41" i="18" s="1"/>
  <c r="AN39" i="18"/>
  <c r="AP35" i="18"/>
  <c r="AO38" i="18"/>
  <c r="AQ26" i="18"/>
  <c r="AQ27" i="18" s="1"/>
  <c r="AQ25" i="18"/>
  <c r="AQ8" i="18"/>
  <c r="AP22" i="18"/>
  <c r="J39" i="2"/>
  <c r="M63" i="2"/>
  <c r="M42" i="2"/>
  <c r="M38" i="2"/>
  <c r="E39" i="2"/>
  <c r="M44" i="2"/>
  <c r="M59" i="2"/>
  <c r="M40" i="2"/>
  <c r="M46" i="2"/>
  <c r="F39" i="2"/>
  <c r="H39" i="2"/>
  <c r="I39" i="2"/>
  <c r="G39" i="2"/>
  <c r="D39" i="2"/>
  <c r="C39" i="2"/>
  <c r="L45" i="2"/>
  <c r="M57" i="2"/>
  <c r="J64" i="2"/>
  <c r="J60" i="2"/>
  <c r="I62" i="2"/>
  <c r="I58" i="2"/>
  <c r="D64" i="2"/>
  <c r="D60" i="2"/>
  <c r="C64" i="2"/>
  <c r="K64" i="2" s="1"/>
  <c r="C60" i="2"/>
  <c r="K60" i="2" s="1"/>
  <c r="L41" i="2"/>
  <c r="L47" i="2"/>
  <c r="H56" i="2"/>
  <c r="G56" i="2"/>
  <c r="J56" i="2"/>
  <c r="F56" i="2"/>
  <c r="M55" i="2"/>
  <c r="I56" i="2"/>
  <c r="E56" i="2"/>
  <c r="F64" i="2"/>
  <c r="F60" i="2"/>
  <c r="E62" i="2"/>
  <c r="E58" i="2"/>
  <c r="H62" i="2"/>
  <c r="H58" i="2"/>
  <c r="G58" i="2"/>
  <c r="L43" i="2"/>
  <c r="M61" i="2"/>
  <c r="J62" i="2"/>
  <c r="J58" i="2"/>
  <c r="I64" i="2"/>
  <c r="I60" i="2"/>
  <c r="C56" i="2"/>
  <c r="D62" i="2"/>
  <c r="D58" i="2"/>
  <c r="C62" i="2"/>
  <c r="K62" i="2" s="1"/>
  <c r="C58" i="2"/>
  <c r="K58" i="2" s="1"/>
  <c r="F62" i="2"/>
  <c r="F58" i="2"/>
  <c r="E64" i="2"/>
  <c r="E60" i="2"/>
  <c r="H64" i="2"/>
  <c r="H60" i="2"/>
  <c r="G64" i="2"/>
  <c r="G60" i="2"/>
  <c r="AR8" i="20" l="1"/>
  <c r="AR8" i="18"/>
  <c r="AQ22" i="20"/>
  <c r="G162" i="2"/>
  <c r="G180" i="2"/>
  <c r="E181" i="2"/>
  <c r="E163" i="2"/>
  <c r="AR24" i="18"/>
  <c r="AR25" i="18" s="1"/>
  <c r="J162" i="2"/>
  <c r="J180" i="2"/>
  <c r="H162" i="2"/>
  <c r="H180" i="2"/>
  <c r="I162" i="2"/>
  <c r="I180" i="2"/>
  <c r="H181" i="2"/>
  <c r="H163" i="2"/>
  <c r="F162" i="2"/>
  <c r="F180" i="2"/>
  <c r="F181" i="2"/>
  <c r="F163" i="2"/>
  <c r="D163" i="2"/>
  <c r="D181" i="2"/>
  <c r="D180" i="2"/>
  <c r="D162" i="2"/>
  <c r="I181" i="2"/>
  <c r="I163" i="2"/>
  <c r="AQ22" i="18"/>
  <c r="AN36" i="18"/>
  <c r="AT10" i="20"/>
  <c r="AU7" i="20"/>
  <c r="AU10" i="20" s="1"/>
  <c r="AT21" i="20"/>
  <c r="AS24" i="20"/>
  <c r="AQ35" i="20"/>
  <c r="AP38" i="20"/>
  <c r="AN36" i="20"/>
  <c r="AO52" i="20"/>
  <c r="AP49" i="20"/>
  <c r="AR25" i="20"/>
  <c r="AR26" i="20"/>
  <c r="AR27" i="20" s="1"/>
  <c r="AO39" i="20"/>
  <c r="AO40" i="20"/>
  <c r="AO41" i="20" s="1"/>
  <c r="AS11" i="20"/>
  <c r="AS12" i="20"/>
  <c r="AS13" i="20" s="1"/>
  <c r="AN53" i="20"/>
  <c r="AN54" i="20"/>
  <c r="AN55" i="20" s="1"/>
  <c r="AS12" i="19"/>
  <c r="AS13" i="19" s="1"/>
  <c r="AS11" i="19"/>
  <c r="AS8" i="19" s="1"/>
  <c r="AT10" i="19"/>
  <c r="AU7" i="19"/>
  <c r="AU10" i="19" s="1"/>
  <c r="AP22" i="19"/>
  <c r="AU35" i="19"/>
  <c r="AU38" i="19" s="1"/>
  <c r="AT38" i="19"/>
  <c r="AS21" i="19"/>
  <c r="AR24" i="19"/>
  <c r="AS40" i="19"/>
  <c r="AS41" i="19" s="1"/>
  <c r="AS39" i="19"/>
  <c r="AQ25" i="19"/>
  <c r="AQ26" i="19"/>
  <c r="AQ27" i="19" s="1"/>
  <c r="AP49" i="19"/>
  <c r="AO52" i="19"/>
  <c r="AN53" i="19"/>
  <c r="AN54" i="19"/>
  <c r="AN55" i="19" s="1"/>
  <c r="AR36" i="19"/>
  <c r="AR8" i="19"/>
  <c r="AS11" i="18"/>
  <c r="AS12" i="18"/>
  <c r="AS13" i="18" s="1"/>
  <c r="AU7" i="18"/>
  <c r="AU10" i="18" s="1"/>
  <c r="AT10" i="18"/>
  <c r="AN54" i="18"/>
  <c r="AN55" i="18" s="1"/>
  <c r="AN53" i="18"/>
  <c r="AO40" i="18"/>
  <c r="AO41" i="18" s="1"/>
  <c r="AO39" i="18"/>
  <c r="AP49" i="18"/>
  <c r="AO52" i="18"/>
  <c r="AT21" i="18"/>
  <c r="AS24" i="18"/>
  <c r="AP38" i="18"/>
  <c r="AQ35" i="18"/>
  <c r="L39" i="2"/>
  <c r="C1487" i="2" s="1"/>
  <c r="L58" i="2"/>
  <c r="K56" i="2"/>
  <c r="L62" i="2"/>
  <c r="K39" i="2"/>
  <c r="L60" i="2"/>
  <c r="L64" i="2"/>
  <c r="L56" i="2"/>
  <c r="I1487" i="2" s="1"/>
  <c r="AS36" i="19" l="1"/>
  <c r="AQ22" i="19"/>
  <c r="AR26" i="18"/>
  <c r="AR27" i="18" s="1"/>
  <c r="AR22" i="18" s="1"/>
  <c r="AN50" i="18"/>
  <c r="AO36" i="18"/>
  <c r="AR22" i="20"/>
  <c r="AT12" i="20"/>
  <c r="AT13" i="20" s="1"/>
  <c r="AT11" i="20"/>
  <c r="AN50" i="20"/>
  <c r="AO53" i="20"/>
  <c r="AO54" i="20"/>
  <c r="AO55" i="20" s="1"/>
  <c r="AT24" i="20"/>
  <c r="AU21" i="20"/>
  <c r="AU24" i="20" s="1"/>
  <c r="AU11" i="20"/>
  <c r="AU12" i="20"/>
  <c r="AU13" i="20" s="1"/>
  <c r="AQ49" i="20"/>
  <c r="AP52" i="20"/>
  <c r="AS8" i="20"/>
  <c r="AP40" i="20"/>
  <c r="AP41" i="20" s="1"/>
  <c r="AP39" i="20"/>
  <c r="AQ38" i="20"/>
  <c r="AR35" i="20"/>
  <c r="AO36" i="20"/>
  <c r="AS26" i="20"/>
  <c r="AS27" i="20" s="1"/>
  <c r="AS25" i="20"/>
  <c r="AN50" i="19"/>
  <c r="AT21" i="19"/>
  <c r="AS24" i="19"/>
  <c r="AO53" i="19"/>
  <c r="AO54" i="19"/>
  <c r="AO55" i="19" s="1"/>
  <c r="AT39" i="19"/>
  <c r="AT40" i="19"/>
  <c r="AT41" i="19" s="1"/>
  <c r="AU11" i="19"/>
  <c r="AU12" i="19"/>
  <c r="AU13" i="19" s="1"/>
  <c r="AQ49" i="19"/>
  <c r="AP52" i="19"/>
  <c r="AU40" i="19"/>
  <c r="AU41" i="19" s="1"/>
  <c r="AU39" i="19"/>
  <c r="AT11" i="19"/>
  <c r="AT12" i="19"/>
  <c r="AT13" i="19" s="1"/>
  <c r="AR26" i="19"/>
  <c r="AR27" i="19" s="1"/>
  <c r="AR25" i="19"/>
  <c r="AT11" i="18"/>
  <c r="AT12" i="18"/>
  <c r="AT13" i="18" s="1"/>
  <c r="AU11" i="18"/>
  <c r="AU12" i="18"/>
  <c r="AU13" i="18" s="1"/>
  <c r="AS8" i="18"/>
  <c r="AQ38" i="18"/>
  <c r="AR35" i="18"/>
  <c r="AP40" i="18"/>
  <c r="AP41" i="18" s="1"/>
  <c r="AP39" i="18"/>
  <c r="AO54" i="18"/>
  <c r="AO55" i="18" s="1"/>
  <c r="AO53" i="18"/>
  <c r="AQ49" i="18"/>
  <c r="AP52" i="18"/>
  <c r="AS26" i="18"/>
  <c r="AS27" i="18" s="1"/>
  <c r="AS25" i="18"/>
  <c r="AU21" i="18"/>
  <c r="AU24" i="18" s="1"/>
  <c r="AT24" i="18"/>
  <c r="AP36" i="20" l="1"/>
  <c r="AU8" i="19"/>
  <c r="AT8" i="20"/>
  <c r="AO50" i="19"/>
  <c r="AP36" i="18"/>
  <c r="AO50" i="18"/>
  <c r="AS22" i="18"/>
  <c r="AQ40" i="20"/>
  <c r="AQ41" i="20" s="1"/>
  <c r="AQ39" i="20"/>
  <c r="AU26" i="20"/>
  <c r="AU27" i="20" s="1"/>
  <c r="AU25" i="20"/>
  <c r="AR49" i="20"/>
  <c r="AQ52" i="20"/>
  <c r="AT25" i="20"/>
  <c r="AT26" i="20"/>
  <c r="AT27" i="20" s="1"/>
  <c r="AR38" i="20"/>
  <c r="AS35" i="20"/>
  <c r="AO50" i="20"/>
  <c r="AU8" i="20"/>
  <c r="AS22" i="20"/>
  <c r="AP53" i="20"/>
  <c r="AP54" i="20"/>
  <c r="AP55" i="20" s="1"/>
  <c r="AT36" i="19"/>
  <c r="AT8" i="19"/>
  <c r="AU36" i="19"/>
  <c r="AP53" i="19"/>
  <c r="AP54" i="19"/>
  <c r="AP55" i="19" s="1"/>
  <c r="AS25" i="19"/>
  <c r="AS26" i="19"/>
  <c r="AS27" i="19" s="1"/>
  <c r="AQ52" i="19"/>
  <c r="AR49" i="19"/>
  <c r="AU21" i="19"/>
  <c r="AU24" i="19" s="1"/>
  <c r="AT24" i="19"/>
  <c r="AR22" i="19"/>
  <c r="AU8" i="18"/>
  <c r="AT26" i="18"/>
  <c r="AT27" i="18" s="1"/>
  <c r="AT25" i="18"/>
  <c r="AU26" i="18"/>
  <c r="AU27" i="18" s="1"/>
  <c r="AU25" i="18"/>
  <c r="AR38" i="18"/>
  <c r="AS35" i="18"/>
  <c r="AQ40" i="18"/>
  <c r="AQ41" i="18" s="1"/>
  <c r="AQ39" i="18"/>
  <c r="AQ52" i="18"/>
  <c r="AR49" i="18"/>
  <c r="AT8" i="18"/>
  <c r="AP54" i="18"/>
  <c r="AP55" i="18" s="1"/>
  <c r="AP53" i="18"/>
  <c r="AQ36" i="20" l="1"/>
  <c r="AT22" i="20"/>
  <c r="AP50" i="19"/>
  <c r="AT22" i="18"/>
  <c r="AP50" i="18"/>
  <c r="AS38" i="20"/>
  <c r="AT35" i="20"/>
  <c r="AQ54" i="20"/>
  <c r="AQ55" i="20" s="1"/>
  <c r="AQ53" i="20"/>
  <c r="AR40" i="20"/>
  <c r="AR41" i="20" s="1"/>
  <c r="AR39" i="20"/>
  <c r="AP50" i="20"/>
  <c r="AR52" i="20"/>
  <c r="AS49" i="20"/>
  <c r="AU22" i="20"/>
  <c r="AQ54" i="19"/>
  <c r="AQ55" i="19" s="1"/>
  <c r="AQ53" i="19"/>
  <c r="AS22" i="19"/>
  <c r="AT26" i="19"/>
  <c r="AT27" i="19" s="1"/>
  <c r="AT25" i="19"/>
  <c r="AU26" i="19"/>
  <c r="AU27" i="19" s="1"/>
  <c r="AU25" i="19"/>
  <c r="AR52" i="19"/>
  <c r="AS49" i="19"/>
  <c r="AR52" i="18"/>
  <c r="AS49" i="18"/>
  <c r="AS38" i="18"/>
  <c r="AT35" i="18"/>
  <c r="AR39" i="18"/>
  <c r="AR40" i="18"/>
  <c r="AR41" i="18" s="1"/>
  <c r="AU22" i="18"/>
  <c r="AQ54" i="18"/>
  <c r="AQ55" i="18" s="1"/>
  <c r="AQ53" i="18"/>
  <c r="AQ36" i="18"/>
  <c r="AC50" i="17"/>
  <c r="AD50" i="17" s="1"/>
  <c r="AD50" i="16"/>
  <c r="AE50" i="16" s="1"/>
  <c r="AF50" i="16" s="1"/>
  <c r="AG68" i="17"/>
  <c r="AC57" i="17"/>
  <c r="AB55" i="17" s="1"/>
  <c r="BK44" i="17"/>
  <c r="BK58" i="17" s="1"/>
  <c r="BJ44" i="17"/>
  <c r="BJ58" i="17" s="1"/>
  <c r="BI44" i="17"/>
  <c r="BI58" i="17" s="1"/>
  <c r="BH44" i="17"/>
  <c r="BH58" i="17" s="1"/>
  <c r="BG44" i="17"/>
  <c r="BG58" i="17" s="1"/>
  <c r="BF44" i="17"/>
  <c r="BF58" i="17" s="1"/>
  <c r="BE44" i="17"/>
  <c r="BE58" i="17" s="1"/>
  <c r="BD44" i="17"/>
  <c r="BD58" i="17" s="1"/>
  <c r="BC44" i="17"/>
  <c r="BB44" i="17"/>
  <c r="BB58" i="17" s="1"/>
  <c r="BA44" i="17"/>
  <c r="BA58" i="17" s="1"/>
  <c r="AZ44" i="17"/>
  <c r="AZ58" i="17" s="1"/>
  <c r="AY44" i="17"/>
  <c r="AY58" i="17" s="1"/>
  <c r="AX44" i="17"/>
  <c r="AX58" i="17" s="1"/>
  <c r="AW44" i="17"/>
  <c r="AW58" i="17" s="1"/>
  <c r="AV44" i="17"/>
  <c r="AV58" i="17" s="1"/>
  <c r="AU44" i="17"/>
  <c r="AI64" i="17" s="1"/>
  <c r="AT44" i="17"/>
  <c r="AS44" i="17"/>
  <c r="AR44" i="17"/>
  <c r="AQ44" i="17"/>
  <c r="AP44" i="17"/>
  <c r="AO44" i="17"/>
  <c r="AN44" i="17"/>
  <c r="AM44" i="17"/>
  <c r="AL44" i="17"/>
  <c r="AK44" i="17"/>
  <c r="BK42" i="17"/>
  <c r="BJ42" i="17"/>
  <c r="BI42" i="17"/>
  <c r="BH42" i="17"/>
  <c r="BG42" i="17"/>
  <c r="BF42" i="17"/>
  <c r="BE42" i="17"/>
  <c r="BD42" i="17"/>
  <c r="BB42" i="17"/>
  <c r="BA42" i="17"/>
  <c r="AZ42" i="17"/>
  <c r="AY42" i="17"/>
  <c r="AX42" i="17"/>
  <c r="AW42" i="17"/>
  <c r="AV42" i="17"/>
  <c r="AU42" i="17"/>
  <c r="AC42" i="17"/>
  <c r="AA42" i="17"/>
  <c r="Z42" i="17"/>
  <c r="Y42" i="17"/>
  <c r="X42" i="17"/>
  <c r="W42" i="17"/>
  <c r="V42" i="17"/>
  <c r="U42" i="17"/>
  <c r="T42" i="17"/>
  <c r="R42" i="17"/>
  <c r="Q42" i="17"/>
  <c r="P42" i="17"/>
  <c r="O42" i="17"/>
  <c r="N42" i="17"/>
  <c r="M42" i="17"/>
  <c r="L42" i="17"/>
  <c r="K42" i="17"/>
  <c r="I42" i="17"/>
  <c r="H42" i="17"/>
  <c r="G42" i="17"/>
  <c r="F42" i="17"/>
  <c r="E42" i="17"/>
  <c r="D42" i="17"/>
  <c r="C42" i="17"/>
  <c r="B42" i="17"/>
  <c r="AJ41" i="17"/>
  <c r="AI41" i="17"/>
  <c r="AH41" i="17"/>
  <c r="AG41" i="17"/>
  <c r="AF41" i="17"/>
  <c r="AE41" i="17"/>
  <c r="AD41" i="17"/>
  <c r="AC41" i="17"/>
  <c r="BD40" i="17"/>
  <c r="AC40" i="17"/>
  <c r="W40" i="17"/>
  <c r="N40" i="17"/>
  <c r="AH39" i="17"/>
  <c r="F38" i="17"/>
  <c r="AG33" i="17"/>
  <c r="B29" i="17"/>
  <c r="B64" i="17" s="1"/>
  <c r="B21" i="17"/>
  <c r="B56" i="17" s="1"/>
  <c r="AB20" i="17"/>
  <c r="BK17" i="17"/>
  <c r="BJ17" i="17"/>
  <c r="BI17" i="17"/>
  <c r="BH17" i="17"/>
  <c r="BG17" i="17"/>
  <c r="BF17" i="17"/>
  <c r="BE17" i="17"/>
  <c r="BD17" i="17"/>
  <c r="BB17" i="17"/>
  <c r="BA17" i="17"/>
  <c r="AZ17" i="17"/>
  <c r="AY17" i="17"/>
  <c r="AX17" i="17"/>
  <c r="AW17" i="17"/>
  <c r="AV17" i="17"/>
  <c r="AU17" i="17"/>
  <c r="AA17" i="17"/>
  <c r="Z17" i="17"/>
  <c r="Y17" i="17"/>
  <c r="X17" i="17"/>
  <c r="W17" i="17"/>
  <c r="V17" i="17"/>
  <c r="U17" i="17"/>
  <c r="T17" i="17"/>
  <c r="R17" i="17"/>
  <c r="Q17" i="17"/>
  <c r="P17" i="17"/>
  <c r="O17" i="17"/>
  <c r="N17" i="17"/>
  <c r="M17" i="17"/>
  <c r="L17" i="17"/>
  <c r="K17" i="17"/>
  <c r="I17" i="17"/>
  <c r="H17" i="17"/>
  <c r="G17" i="17"/>
  <c r="F17" i="17"/>
  <c r="E17" i="17"/>
  <c r="D17" i="17"/>
  <c r="C17" i="17"/>
  <c r="B17" i="17"/>
  <c r="BK16" i="17"/>
  <c r="BJ16" i="17"/>
  <c r="BI16" i="17"/>
  <c r="BH16" i="17"/>
  <c r="BG16" i="17"/>
  <c r="BF16" i="17"/>
  <c r="BE16" i="17"/>
  <c r="BD16" i="17"/>
  <c r="BB16" i="17"/>
  <c r="BA16" i="17"/>
  <c r="AZ16" i="17"/>
  <c r="AY16" i="17"/>
  <c r="AX16" i="17"/>
  <c r="AW16" i="17"/>
  <c r="AV16" i="17"/>
  <c r="AU16" i="17"/>
  <c r="AA16" i="17"/>
  <c r="Z16" i="17"/>
  <c r="Y16" i="17"/>
  <c r="X16" i="17"/>
  <c r="W16" i="17"/>
  <c r="V16" i="17"/>
  <c r="U16" i="17"/>
  <c r="T16" i="17"/>
  <c r="R16" i="17"/>
  <c r="Q16" i="17"/>
  <c r="P16" i="17"/>
  <c r="O16" i="17"/>
  <c r="N16" i="17"/>
  <c r="M16" i="17"/>
  <c r="L16" i="17"/>
  <c r="K16" i="17"/>
  <c r="I16" i="17"/>
  <c r="H16" i="17"/>
  <c r="G16" i="17"/>
  <c r="F16" i="17"/>
  <c r="E16" i="17"/>
  <c r="D16" i="17"/>
  <c r="C16" i="17"/>
  <c r="B16" i="17"/>
  <c r="AD15" i="17"/>
  <c r="AE15" i="17" s="1"/>
  <c r="BK14" i="17"/>
  <c r="BJ14" i="17"/>
  <c r="BI14" i="17"/>
  <c r="BH14" i="17"/>
  <c r="BG14" i="17"/>
  <c r="BF14" i="17"/>
  <c r="BE14" i="17"/>
  <c r="BD14" i="17"/>
  <c r="BB14" i="17"/>
  <c r="BA14" i="17"/>
  <c r="AZ14" i="17"/>
  <c r="AY14" i="17"/>
  <c r="AX14" i="17"/>
  <c r="AW14" i="17"/>
  <c r="AV14" i="17"/>
  <c r="AU14" i="17"/>
  <c r="AA14" i="17"/>
  <c r="Z14" i="17"/>
  <c r="Y14" i="17"/>
  <c r="X14" i="17"/>
  <c r="W14" i="17"/>
  <c r="V14" i="17"/>
  <c r="U14" i="17"/>
  <c r="T14" i="17"/>
  <c r="R14" i="17"/>
  <c r="Q14" i="17"/>
  <c r="P14" i="17"/>
  <c r="O14" i="17"/>
  <c r="N14" i="17"/>
  <c r="M14" i="17"/>
  <c r="L14" i="17"/>
  <c r="K14" i="17"/>
  <c r="I14" i="17"/>
  <c r="H14" i="17"/>
  <c r="G14" i="17"/>
  <c r="F14" i="17"/>
  <c r="E14" i="17"/>
  <c r="D14" i="17"/>
  <c r="C14" i="17"/>
  <c r="B14" i="17"/>
  <c r="BK10" i="17"/>
  <c r="BJ10" i="17"/>
  <c r="BI10" i="17"/>
  <c r="BH10" i="17"/>
  <c r="BG10" i="17"/>
  <c r="BF10" i="17"/>
  <c r="BE10" i="17"/>
  <c r="BD10" i="17"/>
  <c r="BD45" i="17" s="1"/>
  <c r="BE45" i="17" s="1"/>
  <c r="BF45" i="17" s="1"/>
  <c r="BG45" i="17" s="1"/>
  <c r="BH45" i="17" s="1"/>
  <c r="BI45" i="17" s="1"/>
  <c r="BJ45" i="17" s="1"/>
  <c r="BK45" i="17" s="1"/>
  <c r="BB10" i="17"/>
  <c r="BA10" i="17"/>
  <c r="AZ10" i="17"/>
  <c r="AY10" i="17"/>
  <c r="AX10" i="17"/>
  <c r="AW10" i="17"/>
  <c r="AV10" i="17"/>
  <c r="AU10" i="17"/>
  <c r="AU45" i="17" s="1"/>
  <c r="AV45" i="17" s="1"/>
  <c r="AW45" i="17" s="1"/>
  <c r="AX45" i="17" s="1"/>
  <c r="AY45" i="17" s="1"/>
  <c r="AZ45" i="17" s="1"/>
  <c r="BA45" i="17" s="1"/>
  <c r="BB45" i="17" s="1"/>
  <c r="AA10" i="17"/>
  <c r="Z10" i="17"/>
  <c r="Y10" i="17"/>
  <c r="X10" i="17"/>
  <c r="W10" i="17"/>
  <c r="V10" i="17"/>
  <c r="U10" i="17"/>
  <c r="T10" i="17"/>
  <c r="T45" i="17" s="1"/>
  <c r="U45" i="17" s="1"/>
  <c r="V45" i="17" s="1"/>
  <c r="W45" i="17" s="1"/>
  <c r="X45" i="17" s="1"/>
  <c r="Y45" i="17" s="1"/>
  <c r="Z45" i="17" s="1"/>
  <c r="AA45" i="17" s="1"/>
  <c r="R10" i="17"/>
  <c r="Q10" i="17"/>
  <c r="P10" i="17"/>
  <c r="O10" i="17"/>
  <c r="N10" i="17"/>
  <c r="M10" i="17"/>
  <c r="L10" i="17"/>
  <c r="K10" i="17"/>
  <c r="K45" i="17" s="1"/>
  <c r="L45" i="17" s="1"/>
  <c r="M45" i="17" s="1"/>
  <c r="N45" i="17" s="1"/>
  <c r="O45" i="17" s="1"/>
  <c r="P45" i="17" s="1"/>
  <c r="Q45" i="17" s="1"/>
  <c r="R45" i="17" s="1"/>
  <c r="I10" i="17"/>
  <c r="H10" i="17"/>
  <c r="G10" i="17"/>
  <c r="F10" i="17"/>
  <c r="E10" i="17"/>
  <c r="D10" i="17"/>
  <c r="C10" i="17"/>
  <c r="B10" i="17"/>
  <c r="BK7" i="17"/>
  <c r="BJ7" i="17"/>
  <c r="BI7" i="17"/>
  <c r="BH7" i="17"/>
  <c r="BG7" i="17"/>
  <c r="BF7" i="17"/>
  <c r="BE7" i="17"/>
  <c r="BD7" i="17"/>
  <c r="BB7" i="17"/>
  <c r="BA7" i="17"/>
  <c r="AZ7" i="17"/>
  <c r="AY7" i="17"/>
  <c r="AX7" i="17"/>
  <c r="AW7" i="17"/>
  <c r="AV7" i="17"/>
  <c r="AU7" i="17"/>
  <c r="AD7" i="17"/>
  <c r="AE7" i="17" s="1"/>
  <c r="AA7" i="17"/>
  <c r="Z7" i="17"/>
  <c r="Y7" i="17"/>
  <c r="X7" i="17"/>
  <c r="W7" i="17"/>
  <c r="V7" i="17"/>
  <c r="U7" i="17"/>
  <c r="T7" i="17"/>
  <c r="R7" i="17"/>
  <c r="Q7" i="17"/>
  <c r="P7" i="17"/>
  <c r="O7" i="17"/>
  <c r="N7" i="17"/>
  <c r="M7" i="17"/>
  <c r="L7" i="17"/>
  <c r="K7" i="17"/>
  <c r="I7" i="17"/>
  <c r="H7" i="17"/>
  <c r="G7" i="17"/>
  <c r="F7" i="17"/>
  <c r="E7" i="17"/>
  <c r="D7" i="17"/>
  <c r="C7" i="17"/>
  <c r="B7" i="17"/>
  <c r="AJ6" i="17"/>
  <c r="AI6" i="17"/>
  <c r="AH6" i="17"/>
  <c r="AG6" i="17"/>
  <c r="AF6" i="17"/>
  <c r="AE6" i="17"/>
  <c r="AD6" i="17"/>
  <c r="AC6" i="17"/>
  <c r="AH4" i="17"/>
  <c r="F4" i="17"/>
  <c r="AP4" i="17" s="1"/>
  <c r="AY4" i="17" s="1"/>
  <c r="BH4" i="17" s="1"/>
  <c r="E4" i="17"/>
  <c r="AF4" i="17" s="1"/>
  <c r="D4" i="17"/>
  <c r="M4" i="17" s="1"/>
  <c r="V4" i="17" s="1"/>
  <c r="C3" i="17"/>
  <c r="BG20" i="17" s="1"/>
  <c r="B1" i="17"/>
  <c r="AD38" i="17" s="1"/>
  <c r="AR36" i="20" l="1"/>
  <c r="AU22" i="19"/>
  <c r="AQ50" i="19"/>
  <c r="AR54" i="20"/>
  <c r="AR55" i="20" s="1"/>
  <c r="AR53" i="20"/>
  <c r="AQ50" i="20"/>
  <c r="AT38" i="20"/>
  <c r="AU35" i="20"/>
  <c r="AU38" i="20" s="1"/>
  <c r="AS52" i="20"/>
  <c r="AT49" i="20"/>
  <c r="AS39" i="20"/>
  <c r="AS40" i="20"/>
  <c r="AS41" i="20" s="1"/>
  <c r="AR54" i="19"/>
  <c r="AR55" i="19" s="1"/>
  <c r="AR53" i="19"/>
  <c r="AT22" i="19"/>
  <c r="AS52" i="19"/>
  <c r="AT49" i="19"/>
  <c r="AR36" i="18"/>
  <c r="AS40" i="18"/>
  <c r="AS41" i="18" s="1"/>
  <c r="AS39" i="18"/>
  <c r="AS52" i="18"/>
  <c r="AT49" i="18"/>
  <c r="AU35" i="18"/>
  <c r="AU38" i="18" s="1"/>
  <c r="AT38" i="18"/>
  <c r="AQ50" i="18"/>
  <c r="AR54" i="18"/>
  <c r="AR55" i="18" s="1"/>
  <c r="AR53" i="18"/>
  <c r="C29" i="17"/>
  <c r="D29" i="17" s="1"/>
  <c r="AW29" i="17" s="1"/>
  <c r="AU29" i="17"/>
  <c r="O4" i="17"/>
  <c r="X4" i="17" s="1"/>
  <c r="AE4" i="17"/>
  <c r="AN4" i="17"/>
  <c r="AW4" i="17" s="1"/>
  <c r="BF4" i="17" s="1"/>
  <c r="K1" i="17"/>
  <c r="T1" i="17" s="1"/>
  <c r="AD3" i="17"/>
  <c r="AE50" i="17"/>
  <c r="AF15" i="17"/>
  <c r="AG50" i="16"/>
  <c r="AF7" i="17"/>
  <c r="N4" i="17"/>
  <c r="W4" i="17" s="1"/>
  <c r="B20" i="17"/>
  <c r="T20" i="17"/>
  <c r="BB20" i="17"/>
  <c r="F20" i="17"/>
  <c r="X20" i="17"/>
  <c r="BK55" i="17"/>
  <c r="BG55" i="17"/>
  <c r="BB55" i="17"/>
  <c r="AX55" i="17"/>
  <c r="BH55" i="17"/>
  <c r="BJ55" i="17"/>
  <c r="BA55" i="17"/>
  <c r="AV55" i="17"/>
  <c r="X55" i="17"/>
  <c r="T55" i="17"/>
  <c r="O55" i="17"/>
  <c r="K55" i="17"/>
  <c r="BD55" i="17" s="1"/>
  <c r="F55" i="17"/>
  <c r="B55" i="17"/>
  <c r="AU55" i="17" s="1"/>
  <c r="BI55" i="17"/>
  <c r="AZ55" i="17"/>
  <c r="AA55" i="17"/>
  <c r="W55" i="17"/>
  <c r="R55" i="17"/>
  <c r="N55" i="17"/>
  <c r="I55" i="17"/>
  <c r="E55" i="17"/>
  <c r="BE55" i="17"/>
  <c r="AW55" i="17"/>
  <c r="Y55" i="17"/>
  <c r="U55" i="17"/>
  <c r="P55" i="17"/>
  <c r="L55" i="17"/>
  <c r="G55" i="17"/>
  <c r="C55" i="17"/>
  <c r="Z55" i="17"/>
  <c r="H55" i="17"/>
  <c r="BF55" i="17"/>
  <c r="V55" i="17"/>
  <c r="D55" i="17"/>
  <c r="C38" i="17"/>
  <c r="AD60" i="17" s="1"/>
  <c r="AY55" i="17"/>
  <c r="Q55" i="17"/>
  <c r="M55" i="17"/>
  <c r="BI20" i="17"/>
  <c r="BE20" i="17"/>
  <c r="AZ20" i="17"/>
  <c r="AV20" i="17"/>
  <c r="Z20" i="17"/>
  <c r="V20" i="17"/>
  <c r="Q20" i="17"/>
  <c r="M20" i="17"/>
  <c r="H20" i="17"/>
  <c r="D20" i="17"/>
  <c r="AD25" i="17"/>
  <c r="BH20" i="17"/>
  <c r="BD20" i="17"/>
  <c r="AY20" i="17"/>
  <c r="AU20" i="17"/>
  <c r="Y20" i="17"/>
  <c r="U20" i="17"/>
  <c r="P20" i="17"/>
  <c r="L20" i="17"/>
  <c r="G20" i="17"/>
  <c r="C20" i="17"/>
  <c r="U38" i="17"/>
  <c r="BJ20" i="17"/>
  <c r="BF20" i="17"/>
  <c r="BA20" i="17"/>
  <c r="AW20" i="17"/>
  <c r="AA20" i="17"/>
  <c r="W20" i="17"/>
  <c r="R20" i="17"/>
  <c r="N20" i="17"/>
  <c r="I20" i="17"/>
  <c r="E20" i="17"/>
  <c r="AV3" i="17"/>
  <c r="AV38" i="17" s="1"/>
  <c r="AO4" i="17"/>
  <c r="AX4" i="17" s="1"/>
  <c r="BG4" i="17" s="1"/>
  <c r="K20" i="17"/>
  <c r="BK20" i="17"/>
  <c r="L3" i="17"/>
  <c r="AG4" i="17"/>
  <c r="O20" i="17"/>
  <c r="AX20" i="17"/>
  <c r="AU64" i="17"/>
  <c r="AV64" i="17" s="1"/>
  <c r="AW64" i="17" s="1"/>
  <c r="AX64" i="17" s="1"/>
  <c r="AY64" i="17" s="1"/>
  <c r="AZ64" i="17" s="1"/>
  <c r="BA64" i="17" s="1"/>
  <c r="BB64" i="17" s="1"/>
  <c r="T64" i="17"/>
  <c r="U64" i="17" s="1"/>
  <c r="V64" i="17" s="1"/>
  <c r="W64" i="17" s="1"/>
  <c r="X64" i="17" s="1"/>
  <c r="Y64" i="17" s="1"/>
  <c r="Z64" i="17" s="1"/>
  <c r="AA64" i="17" s="1"/>
  <c r="K64" i="17"/>
  <c r="C64" i="17"/>
  <c r="D64" i="17" s="1"/>
  <c r="E64" i="17" s="1"/>
  <c r="F64" i="17" s="1"/>
  <c r="G64" i="17" s="1"/>
  <c r="H64" i="17" s="1"/>
  <c r="I64" i="17" s="1"/>
  <c r="K29" i="17"/>
  <c r="T29" i="17"/>
  <c r="U29" i="17" s="1"/>
  <c r="V29" i="17" s="1"/>
  <c r="W29" i="17" s="1"/>
  <c r="X29" i="17" s="1"/>
  <c r="Y29" i="17" s="1"/>
  <c r="Z29" i="17" s="1"/>
  <c r="AA29" i="17" s="1"/>
  <c r="AU56" i="17"/>
  <c r="AV56" i="17" s="1"/>
  <c r="AW56" i="17" s="1"/>
  <c r="AX56" i="17" s="1"/>
  <c r="AY56" i="17" s="1"/>
  <c r="AZ56" i="17" s="1"/>
  <c r="BA56" i="17" s="1"/>
  <c r="BB56" i="17" s="1"/>
  <c r="K56" i="17"/>
  <c r="C56" i="17"/>
  <c r="D56" i="17" s="1"/>
  <c r="E56" i="17" s="1"/>
  <c r="F56" i="17" s="1"/>
  <c r="G56" i="17" s="1"/>
  <c r="H56" i="17" s="1"/>
  <c r="I56" i="17" s="1"/>
  <c r="K21" i="17"/>
  <c r="AU21" i="17"/>
  <c r="AV21" i="17" s="1"/>
  <c r="AW21" i="17" s="1"/>
  <c r="AX21" i="17" s="1"/>
  <c r="AY21" i="17" s="1"/>
  <c r="AZ21" i="17" s="1"/>
  <c r="BA21" i="17" s="1"/>
  <c r="BB21" i="17" s="1"/>
  <c r="C21" i="17"/>
  <c r="D21" i="17" s="1"/>
  <c r="E21" i="17" s="1"/>
  <c r="F21" i="17" s="1"/>
  <c r="G21" i="17" s="1"/>
  <c r="H21" i="17" s="1"/>
  <c r="I21" i="17" s="1"/>
  <c r="AD42" i="17"/>
  <c r="AE42" i="17" s="1"/>
  <c r="AF42" i="17" s="1"/>
  <c r="AG42" i="17" s="1"/>
  <c r="AH42" i="17" s="1"/>
  <c r="AI42" i="17" s="1"/>
  <c r="AJ42" i="17" s="1"/>
  <c r="AU58" i="17"/>
  <c r="AR50" i="20" l="1"/>
  <c r="AS36" i="20"/>
  <c r="AR50" i="19"/>
  <c r="AR50" i="18"/>
  <c r="AS36" i="18"/>
  <c r="AT52" i="20"/>
  <c r="AU49" i="20"/>
  <c r="AU52" i="20" s="1"/>
  <c r="AS54" i="20"/>
  <c r="AS55" i="20" s="1"/>
  <c r="AS53" i="20"/>
  <c r="AU39" i="20"/>
  <c r="AU40" i="20"/>
  <c r="AU41" i="20" s="1"/>
  <c r="AT40" i="20"/>
  <c r="AT41" i="20" s="1"/>
  <c r="AT39" i="20"/>
  <c r="AS53" i="19"/>
  <c r="AS54" i="19"/>
  <c r="AS55" i="19" s="1"/>
  <c r="AT52" i="19"/>
  <c r="AU49" i="19"/>
  <c r="AU52" i="19" s="1"/>
  <c r="AT39" i="18"/>
  <c r="AT40" i="18"/>
  <c r="AT41" i="18" s="1"/>
  <c r="AU40" i="18"/>
  <c r="AU41" i="18" s="1"/>
  <c r="AU39" i="18"/>
  <c r="AT52" i="18"/>
  <c r="AU49" i="18"/>
  <c r="AU52" i="18" s="1"/>
  <c r="AS53" i="18"/>
  <c r="AS54" i="18"/>
  <c r="AS55" i="18" s="1"/>
  <c r="E29" i="17"/>
  <c r="F29" i="17" s="1"/>
  <c r="AV29" i="17"/>
  <c r="AF50" i="17"/>
  <c r="AG15" i="17"/>
  <c r="AH50" i="16"/>
  <c r="BD29" i="17"/>
  <c r="L29" i="17"/>
  <c r="L38" i="17"/>
  <c r="BE3" i="17"/>
  <c r="BE38" i="17" s="1"/>
  <c r="U3" i="17"/>
  <c r="BD56" i="17"/>
  <c r="BE56" i="17" s="1"/>
  <c r="BF56" i="17" s="1"/>
  <c r="BG56" i="17" s="1"/>
  <c r="BH56" i="17" s="1"/>
  <c r="BI56" i="17" s="1"/>
  <c r="BJ56" i="17" s="1"/>
  <c r="BK56" i="17" s="1"/>
  <c r="T56" i="17"/>
  <c r="U56" i="17" s="1"/>
  <c r="V56" i="17" s="1"/>
  <c r="W56" i="17" s="1"/>
  <c r="X56" i="17" s="1"/>
  <c r="Y56" i="17" s="1"/>
  <c r="Z56" i="17" s="1"/>
  <c r="AA56" i="17" s="1"/>
  <c r="L56" i="17"/>
  <c r="M56" i="17" s="1"/>
  <c r="N56" i="17" s="1"/>
  <c r="O56" i="17" s="1"/>
  <c r="P56" i="17" s="1"/>
  <c r="Q56" i="17" s="1"/>
  <c r="R56" i="17" s="1"/>
  <c r="AG7" i="17"/>
  <c r="L21" i="17"/>
  <c r="M21" i="17" s="1"/>
  <c r="N21" i="17" s="1"/>
  <c r="O21" i="17" s="1"/>
  <c r="P21" i="17" s="1"/>
  <c r="Q21" i="17" s="1"/>
  <c r="R21" i="17" s="1"/>
  <c r="BD21" i="17"/>
  <c r="BE21" i="17" s="1"/>
  <c r="BF21" i="17" s="1"/>
  <c r="BG21" i="17" s="1"/>
  <c r="BH21" i="17" s="1"/>
  <c r="BI21" i="17" s="1"/>
  <c r="BJ21" i="17" s="1"/>
  <c r="BK21" i="17" s="1"/>
  <c r="T21" i="17"/>
  <c r="U21" i="17" s="1"/>
  <c r="V21" i="17" s="1"/>
  <c r="W21" i="17" s="1"/>
  <c r="X21" i="17" s="1"/>
  <c r="Y21" i="17" s="1"/>
  <c r="Z21" i="17" s="1"/>
  <c r="AA21" i="17" s="1"/>
  <c r="BD64" i="17"/>
  <c r="BE64" i="17" s="1"/>
  <c r="BF64" i="17" s="1"/>
  <c r="BG64" i="17" s="1"/>
  <c r="BH64" i="17" s="1"/>
  <c r="BI64" i="17" s="1"/>
  <c r="BJ64" i="17" s="1"/>
  <c r="BK64" i="17" s="1"/>
  <c r="L64" i="17"/>
  <c r="M64" i="17" s="1"/>
  <c r="N64" i="17" s="1"/>
  <c r="O64" i="17" s="1"/>
  <c r="P64" i="17" s="1"/>
  <c r="Q64" i="17" s="1"/>
  <c r="R64" i="17" s="1"/>
  <c r="AT36" i="20" l="1"/>
  <c r="AS50" i="20"/>
  <c r="AS50" i="18"/>
  <c r="AU36" i="18"/>
  <c r="AU36" i="20"/>
  <c r="AU54" i="20"/>
  <c r="AU55" i="20" s="1"/>
  <c r="AU53" i="20"/>
  <c r="AT53" i="20"/>
  <c r="AT54" i="20"/>
  <c r="AT55" i="20" s="1"/>
  <c r="AU53" i="19"/>
  <c r="AU54" i="19"/>
  <c r="AU55" i="19" s="1"/>
  <c r="AT54" i="19"/>
  <c r="AT55" i="19" s="1"/>
  <c r="AT53" i="19"/>
  <c r="AS50" i="19"/>
  <c r="AU53" i="18"/>
  <c r="AU54" i="18"/>
  <c r="AU55" i="18" s="1"/>
  <c r="AT54" i="18"/>
  <c r="AT55" i="18" s="1"/>
  <c r="AT53" i="18"/>
  <c r="AT36" i="18"/>
  <c r="AX29" i="17"/>
  <c r="AG50" i="17"/>
  <c r="AH15" i="17"/>
  <c r="AI50" i="16"/>
  <c r="G29" i="17"/>
  <c r="AY29" i="17"/>
  <c r="AH7" i="17"/>
  <c r="M29" i="17"/>
  <c r="BE29" i="17"/>
  <c r="AU50" i="20" l="1"/>
  <c r="AT50" i="19"/>
  <c r="AT50" i="18"/>
  <c r="AT50" i="20"/>
  <c r="AU50" i="19"/>
  <c r="AU50" i="18"/>
  <c r="AH50" i="17"/>
  <c r="AI15" i="17"/>
  <c r="AJ50" i="16"/>
  <c r="BF29" i="17"/>
  <c r="N29" i="17"/>
  <c r="AI7" i="17"/>
  <c r="H29" i="17"/>
  <c r="AZ29" i="17"/>
  <c r="AI50" i="17" l="1"/>
  <c r="AJ15" i="17"/>
  <c r="AJ7" i="17"/>
  <c r="BG29" i="17"/>
  <c r="O29" i="17"/>
  <c r="BA29" i="17"/>
  <c r="I29" i="17"/>
  <c r="AJ50" i="17" l="1"/>
  <c r="P29" i="17"/>
  <c r="BH29" i="17"/>
  <c r="BB29" i="17"/>
  <c r="Q29" i="17" l="1"/>
  <c r="BI29" i="17"/>
  <c r="BJ29" i="17" l="1"/>
  <c r="R29" i="17"/>
  <c r="BK29" i="17" l="1"/>
  <c r="AD15" i="16" l="1"/>
  <c r="AG68" i="16"/>
  <c r="AC57" i="16"/>
  <c r="AB55" i="16" s="1"/>
  <c r="BK44" i="16"/>
  <c r="BK58" i="16" s="1"/>
  <c r="BJ44" i="16"/>
  <c r="BJ58" i="16" s="1"/>
  <c r="BI44" i="16"/>
  <c r="BI58" i="16" s="1"/>
  <c r="BH44" i="16"/>
  <c r="BH58" i="16" s="1"/>
  <c r="BG44" i="16"/>
  <c r="BG58" i="16" s="1"/>
  <c r="BF44" i="16"/>
  <c r="BF58" i="16" s="1"/>
  <c r="BE44" i="16"/>
  <c r="BE58" i="16" s="1"/>
  <c r="BD44" i="16"/>
  <c r="BD58" i="16" s="1"/>
  <c r="BC44" i="16"/>
  <c r="BB44" i="16"/>
  <c r="BB58" i="16" s="1"/>
  <c r="BA44" i="16"/>
  <c r="BA58" i="16" s="1"/>
  <c r="AZ44" i="16"/>
  <c r="AZ58" i="16" s="1"/>
  <c r="AY44" i="16"/>
  <c r="AY58" i="16" s="1"/>
  <c r="AX44" i="16"/>
  <c r="AX58" i="16" s="1"/>
  <c r="AW44" i="16"/>
  <c r="AW58" i="16" s="1"/>
  <c r="AV44" i="16"/>
  <c r="AV58" i="16" s="1"/>
  <c r="AU44" i="16"/>
  <c r="AT44" i="16"/>
  <c r="AS44" i="16"/>
  <c r="AR44" i="16"/>
  <c r="AQ44" i="16"/>
  <c r="AP44" i="16"/>
  <c r="AO44" i="16"/>
  <c r="AN44" i="16"/>
  <c r="AM44" i="16"/>
  <c r="AL44" i="16"/>
  <c r="AK44" i="16"/>
  <c r="BK42" i="16"/>
  <c r="BJ42" i="16"/>
  <c r="BI42" i="16"/>
  <c r="BH42" i="16"/>
  <c r="BG42" i="16"/>
  <c r="BF42" i="16"/>
  <c r="BE42" i="16"/>
  <c r="BD42" i="16"/>
  <c r="BB42" i="16"/>
  <c r="BA42" i="16"/>
  <c r="AZ42" i="16"/>
  <c r="AY42" i="16"/>
  <c r="AX42" i="16"/>
  <c r="AW42" i="16"/>
  <c r="AV42" i="16"/>
  <c r="AU42" i="16"/>
  <c r="AC42" i="16"/>
  <c r="AA42" i="16"/>
  <c r="Z42" i="16"/>
  <c r="Y42" i="16"/>
  <c r="X42" i="16"/>
  <c r="W42" i="16"/>
  <c r="V42" i="16"/>
  <c r="U42" i="16"/>
  <c r="T42" i="16"/>
  <c r="R42" i="16"/>
  <c r="Q42" i="16"/>
  <c r="P42" i="16"/>
  <c r="O42" i="16"/>
  <c r="N42" i="16"/>
  <c r="M42" i="16"/>
  <c r="L42" i="16"/>
  <c r="K42" i="16"/>
  <c r="I42" i="16"/>
  <c r="H42" i="16"/>
  <c r="G42" i="16"/>
  <c r="F42" i="16"/>
  <c r="E42" i="16"/>
  <c r="D42" i="16"/>
  <c r="C42" i="16"/>
  <c r="B42" i="16"/>
  <c r="AJ41" i="16"/>
  <c r="AI41" i="16"/>
  <c r="AH41" i="16"/>
  <c r="AG41" i="16"/>
  <c r="AF41" i="16"/>
  <c r="AE41" i="16"/>
  <c r="AD41" i="16"/>
  <c r="AC41" i="16"/>
  <c r="BD40" i="16"/>
  <c r="AC40" i="16"/>
  <c r="W40" i="16"/>
  <c r="N40" i="16"/>
  <c r="AH39" i="16"/>
  <c r="F38" i="16"/>
  <c r="AG33" i="16"/>
  <c r="B29" i="16"/>
  <c r="B64" i="16" s="1"/>
  <c r="B21" i="16"/>
  <c r="AB20" i="16"/>
  <c r="BK17" i="16"/>
  <c r="BJ17" i="16"/>
  <c r="BI17" i="16"/>
  <c r="BH17" i="16"/>
  <c r="BG17" i="16"/>
  <c r="BF17" i="16"/>
  <c r="BE17" i="16"/>
  <c r="BD17" i="16"/>
  <c r="BB17" i="16"/>
  <c r="BA17" i="16"/>
  <c r="AZ17" i="16"/>
  <c r="AY17" i="16"/>
  <c r="AX17" i="16"/>
  <c r="AW17" i="16"/>
  <c r="AV17" i="16"/>
  <c r="AU17" i="16"/>
  <c r="AA17" i="16"/>
  <c r="Z17" i="16"/>
  <c r="Y17" i="16"/>
  <c r="X17" i="16"/>
  <c r="W17" i="16"/>
  <c r="V17" i="16"/>
  <c r="U17" i="16"/>
  <c r="T17" i="16"/>
  <c r="R17" i="16"/>
  <c r="Q17" i="16"/>
  <c r="P17" i="16"/>
  <c r="O17" i="16"/>
  <c r="N17" i="16"/>
  <c r="M17" i="16"/>
  <c r="L17" i="16"/>
  <c r="K17" i="16"/>
  <c r="I17" i="16"/>
  <c r="H17" i="16"/>
  <c r="G17" i="16"/>
  <c r="F17" i="16"/>
  <c r="E17" i="16"/>
  <c r="D17" i="16"/>
  <c r="C17" i="16"/>
  <c r="B17" i="16"/>
  <c r="BK16" i="16"/>
  <c r="BJ16" i="16"/>
  <c r="BI16" i="16"/>
  <c r="BH16" i="16"/>
  <c r="BG16" i="16"/>
  <c r="BF16" i="16"/>
  <c r="BE16" i="16"/>
  <c r="BD16" i="16"/>
  <c r="BB16" i="16"/>
  <c r="BA16" i="16"/>
  <c r="AZ16" i="16"/>
  <c r="AY16" i="16"/>
  <c r="AX16" i="16"/>
  <c r="AW16" i="16"/>
  <c r="AV16" i="16"/>
  <c r="AU16" i="16"/>
  <c r="AA16" i="16"/>
  <c r="Z16" i="16"/>
  <c r="Y16" i="16"/>
  <c r="X16" i="16"/>
  <c r="W16" i="16"/>
  <c r="V16" i="16"/>
  <c r="U16" i="16"/>
  <c r="T16" i="16"/>
  <c r="R16" i="16"/>
  <c r="Q16" i="16"/>
  <c r="P16" i="16"/>
  <c r="O16" i="16"/>
  <c r="N16" i="16"/>
  <c r="M16" i="16"/>
  <c r="L16" i="16"/>
  <c r="K16" i="16"/>
  <c r="I16" i="16"/>
  <c r="H16" i="16"/>
  <c r="G16" i="16"/>
  <c r="F16" i="16"/>
  <c r="E16" i="16"/>
  <c r="D16" i="16"/>
  <c r="C16" i="16"/>
  <c r="B16" i="16"/>
  <c r="BK14" i="16"/>
  <c r="BJ14" i="16"/>
  <c r="BI14" i="16"/>
  <c r="BH14" i="16"/>
  <c r="BG14" i="16"/>
  <c r="BF14" i="16"/>
  <c r="BE14" i="16"/>
  <c r="BD14" i="16"/>
  <c r="BB14" i="16"/>
  <c r="BA14" i="16"/>
  <c r="AZ14" i="16"/>
  <c r="AY14" i="16"/>
  <c r="AX14" i="16"/>
  <c r="AW14" i="16"/>
  <c r="AV14" i="16"/>
  <c r="AU14" i="16"/>
  <c r="AA14" i="16"/>
  <c r="Z14" i="16"/>
  <c r="Y14" i="16"/>
  <c r="X14" i="16"/>
  <c r="W14" i="16"/>
  <c r="V14" i="16"/>
  <c r="U14" i="16"/>
  <c r="T14" i="16"/>
  <c r="R14" i="16"/>
  <c r="Q14" i="16"/>
  <c r="P14" i="16"/>
  <c r="O14" i="16"/>
  <c r="N14" i="16"/>
  <c r="M14" i="16"/>
  <c r="L14" i="16"/>
  <c r="K14" i="16"/>
  <c r="I14" i="16"/>
  <c r="H14" i="16"/>
  <c r="G14" i="16"/>
  <c r="F14" i="16"/>
  <c r="E14" i="16"/>
  <c r="D14" i="16"/>
  <c r="C14" i="16"/>
  <c r="B14" i="16"/>
  <c r="BK10" i="16"/>
  <c r="BJ10" i="16"/>
  <c r="BI10" i="16"/>
  <c r="BH10" i="16"/>
  <c r="BG10" i="16"/>
  <c r="BF10" i="16"/>
  <c r="BE10" i="16"/>
  <c r="BD10" i="16"/>
  <c r="BD45" i="16" s="1"/>
  <c r="BE45" i="16" s="1"/>
  <c r="BF45" i="16" s="1"/>
  <c r="BG45" i="16" s="1"/>
  <c r="BH45" i="16" s="1"/>
  <c r="BI45" i="16" s="1"/>
  <c r="BJ45" i="16" s="1"/>
  <c r="BK45" i="16" s="1"/>
  <c r="BB10" i="16"/>
  <c r="BA10" i="16"/>
  <c r="AZ10" i="16"/>
  <c r="AY10" i="16"/>
  <c r="AX10" i="16"/>
  <c r="AW10" i="16"/>
  <c r="AV10" i="16"/>
  <c r="AU10" i="16"/>
  <c r="AU45" i="16" s="1"/>
  <c r="AV45" i="16" s="1"/>
  <c r="AW45" i="16" s="1"/>
  <c r="AX45" i="16" s="1"/>
  <c r="AY45" i="16" s="1"/>
  <c r="AZ45" i="16" s="1"/>
  <c r="BA45" i="16" s="1"/>
  <c r="BB45" i="16" s="1"/>
  <c r="AA10" i="16"/>
  <c r="Z10" i="16"/>
  <c r="Y10" i="16"/>
  <c r="X10" i="16"/>
  <c r="W10" i="16"/>
  <c r="V10" i="16"/>
  <c r="U10" i="16"/>
  <c r="T10" i="16"/>
  <c r="T45" i="16" s="1"/>
  <c r="U45" i="16" s="1"/>
  <c r="V45" i="16" s="1"/>
  <c r="W45" i="16" s="1"/>
  <c r="X45" i="16" s="1"/>
  <c r="Y45" i="16" s="1"/>
  <c r="Z45" i="16" s="1"/>
  <c r="AA45" i="16" s="1"/>
  <c r="R10" i="16"/>
  <c r="Q10" i="16"/>
  <c r="P10" i="16"/>
  <c r="O10" i="16"/>
  <c r="N10" i="16"/>
  <c r="M10" i="16"/>
  <c r="L10" i="16"/>
  <c r="K10" i="16"/>
  <c r="K45" i="16" s="1"/>
  <c r="L45" i="16" s="1"/>
  <c r="M45" i="16" s="1"/>
  <c r="N45" i="16" s="1"/>
  <c r="O45" i="16" s="1"/>
  <c r="P45" i="16" s="1"/>
  <c r="Q45" i="16" s="1"/>
  <c r="R45" i="16" s="1"/>
  <c r="I10" i="16"/>
  <c r="H10" i="16"/>
  <c r="G10" i="16"/>
  <c r="F10" i="16"/>
  <c r="E10" i="16"/>
  <c r="D10" i="16"/>
  <c r="C10" i="16"/>
  <c r="B10" i="16"/>
  <c r="BK7" i="16"/>
  <c r="BJ7" i="16"/>
  <c r="BI7" i="16"/>
  <c r="BH7" i="16"/>
  <c r="BG7" i="16"/>
  <c r="BF7" i="16"/>
  <c r="BE7" i="16"/>
  <c r="BD7" i="16"/>
  <c r="BB7" i="16"/>
  <c r="BA7" i="16"/>
  <c r="AZ7" i="16"/>
  <c r="AY7" i="16"/>
  <c r="AX7" i="16"/>
  <c r="AW7" i="16"/>
  <c r="AV7" i="16"/>
  <c r="AU7" i="16"/>
  <c r="AD7" i="16"/>
  <c r="AE7" i="16" s="1"/>
  <c r="AA7" i="16"/>
  <c r="Z7" i="16"/>
  <c r="Y7" i="16"/>
  <c r="X7" i="16"/>
  <c r="W7" i="16"/>
  <c r="V7" i="16"/>
  <c r="U7" i="16"/>
  <c r="T7" i="16"/>
  <c r="R7" i="16"/>
  <c r="Q7" i="16"/>
  <c r="P7" i="16"/>
  <c r="O7" i="16"/>
  <c r="N7" i="16"/>
  <c r="M7" i="16"/>
  <c r="L7" i="16"/>
  <c r="K7" i="16"/>
  <c r="I7" i="16"/>
  <c r="H7" i="16"/>
  <c r="G7" i="16"/>
  <c r="F7" i="16"/>
  <c r="E7" i="16"/>
  <c r="D7" i="16"/>
  <c r="C7" i="16"/>
  <c r="B7" i="16"/>
  <c r="AJ6" i="16"/>
  <c r="AI6" i="16"/>
  <c r="AH6" i="16"/>
  <c r="AG6" i="16"/>
  <c r="AF6" i="16"/>
  <c r="AE6" i="16"/>
  <c r="AD6" i="16"/>
  <c r="AC6" i="16"/>
  <c r="AH4" i="16"/>
  <c r="F4" i="16"/>
  <c r="AP4" i="16" s="1"/>
  <c r="AY4" i="16" s="1"/>
  <c r="BH4" i="16" s="1"/>
  <c r="E4" i="16"/>
  <c r="N4" i="16" s="1"/>
  <c r="W4" i="16" s="1"/>
  <c r="D4" i="16"/>
  <c r="M4" i="16" s="1"/>
  <c r="V4" i="16" s="1"/>
  <c r="C3" i="16"/>
  <c r="AV3" i="16" s="1"/>
  <c r="AV38" i="16" s="1"/>
  <c r="B1" i="16"/>
  <c r="AE4" i="16" l="1"/>
  <c r="AN4" i="16"/>
  <c r="AW4" i="16" s="1"/>
  <c r="BF4" i="16" s="1"/>
  <c r="AE15" i="16"/>
  <c r="AF4" i="16"/>
  <c r="O4" i="16"/>
  <c r="X4" i="16" s="1"/>
  <c r="K29" i="16"/>
  <c r="BD29" i="16" s="1"/>
  <c r="AO4" i="16"/>
  <c r="AX4" i="16" s="1"/>
  <c r="BG4" i="16" s="1"/>
  <c r="AG4" i="16"/>
  <c r="BJ55" i="16"/>
  <c r="BF55" i="16"/>
  <c r="BA55" i="16"/>
  <c r="AW55" i="16"/>
  <c r="AA55" i="16"/>
  <c r="W55" i="16"/>
  <c r="R55" i="16"/>
  <c r="N55" i="16"/>
  <c r="I55" i="16"/>
  <c r="E55" i="16"/>
  <c r="BK55" i="16"/>
  <c r="BG55" i="16"/>
  <c r="BB55" i="16"/>
  <c r="AX55" i="16"/>
  <c r="X55" i="16"/>
  <c r="T55" i="16"/>
  <c r="O55" i="16"/>
  <c r="K55" i="16"/>
  <c r="BD55" i="16" s="1"/>
  <c r="F55" i="16"/>
  <c r="B55" i="16"/>
  <c r="AU55" i="16" s="1"/>
  <c r="U55" i="16"/>
  <c r="L55" i="16"/>
  <c r="C55" i="16"/>
  <c r="BI55" i="16"/>
  <c r="AZ55" i="16"/>
  <c r="Z55" i="16"/>
  <c r="Q55" i="16"/>
  <c r="H55" i="16"/>
  <c r="BH55" i="16"/>
  <c r="BE55" i="16"/>
  <c r="AV55" i="16"/>
  <c r="V55" i="16"/>
  <c r="M55" i="16"/>
  <c r="D55" i="16"/>
  <c r="Y55" i="16"/>
  <c r="AY55" i="16"/>
  <c r="P55" i="16"/>
  <c r="G55" i="16"/>
  <c r="AD25" i="16"/>
  <c r="C38" i="16"/>
  <c r="AD60" i="16" s="1"/>
  <c r="U38" i="16"/>
  <c r="BJ20" i="16"/>
  <c r="BF20" i="16"/>
  <c r="BA20" i="16"/>
  <c r="AW20" i="16"/>
  <c r="AA20" i="16"/>
  <c r="W20" i="16"/>
  <c r="R20" i="16"/>
  <c r="N20" i="16"/>
  <c r="I20" i="16"/>
  <c r="E20" i="16"/>
  <c r="BI20" i="16"/>
  <c r="BE20" i="16"/>
  <c r="AZ20" i="16"/>
  <c r="AV20" i="16"/>
  <c r="Z20" i="16"/>
  <c r="V20" i="16"/>
  <c r="Q20" i="16"/>
  <c r="M20" i="16"/>
  <c r="H20" i="16"/>
  <c r="D20" i="16"/>
  <c r="BH20" i="16"/>
  <c r="BD20" i="16"/>
  <c r="AY20" i="16"/>
  <c r="AU20" i="16"/>
  <c r="Y20" i="16"/>
  <c r="U20" i="16"/>
  <c r="P20" i="16"/>
  <c r="L20" i="16"/>
  <c r="G20" i="16"/>
  <c r="C20" i="16"/>
  <c r="BK20" i="16"/>
  <c r="BG20" i="16"/>
  <c r="BB20" i="16"/>
  <c r="AX20" i="16"/>
  <c r="X20" i="16"/>
  <c r="T20" i="16"/>
  <c r="O20" i="16"/>
  <c r="K20" i="16"/>
  <c r="F20" i="16"/>
  <c r="B20" i="16"/>
  <c r="AF7" i="16"/>
  <c r="L3" i="16"/>
  <c r="AD38" i="16"/>
  <c r="K1" i="16"/>
  <c r="T1" i="16" s="1"/>
  <c r="AD3" i="16"/>
  <c r="C29" i="16"/>
  <c r="AU29" i="16"/>
  <c r="B56" i="16"/>
  <c r="AU21" i="16"/>
  <c r="AV21" i="16" s="1"/>
  <c r="AW21" i="16" s="1"/>
  <c r="AX21" i="16" s="1"/>
  <c r="AY21" i="16" s="1"/>
  <c r="AZ21" i="16" s="1"/>
  <c r="BA21" i="16" s="1"/>
  <c r="BB21" i="16" s="1"/>
  <c r="K21" i="16"/>
  <c r="C21" i="16"/>
  <c r="D21" i="16" s="1"/>
  <c r="E21" i="16" s="1"/>
  <c r="F21" i="16" s="1"/>
  <c r="G21" i="16" s="1"/>
  <c r="H21" i="16" s="1"/>
  <c r="I21" i="16" s="1"/>
  <c r="AU64" i="16"/>
  <c r="AV64" i="16" s="1"/>
  <c r="AW64" i="16" s="1"/>
  <c r="AX64" i="16" s="1"/>
  <c r="AY64" i="16" s="1"/>
  <c r="AZ64" i="16" s="1"/>
  <c r="BA64" i="16" s="1"/>
  <c r="BB64" i="16" s="1"/>
  <c r="T64" i="16"/>
  <c r="U64" i="16" s="1"/>
  <c r="V64" i="16" s="1"/>
  <c r="W64" i="16" s="1"/>
  <c r="X64" i="16" s="1"/>
  <c r="Y64" i="16" s="1"/>
  <c r="Z64" i="16" s="1"/>
  <c r="AA64" i="16" s="1"/>
  <c r="K64" i="16"/>
  <c r="C64" i="16"/>
  <c r="D64" i="16" s="1"/>
  <c r="E64" i="16" s="1"/>
  <c r="F64" i="16" s="1"/>
  <c r="G64" i="16" s="1"/>
  <c r="H64" i="16" s="1"/>
  <c r="I64" i="16" s="1"/>
  <c r="T29" i="16"/>
  <c r="U29" i="16" s="1"/>
  <c r="V29" i="16" s="1"/>
  <c r="W29" i="16" s="1"/>
  <c r="X29" i="16" s="1"/>
  <c r="Y29" i="16" s="1"/>
  <c r="Z29" i="16" s="1"/>
  <c r="AA29" i="16" s="1"/>
  <c r="AD42" i="16"/>
  <c r="AI64" i="16"/>
  <c r="AU58" i="16"/>
  <c r="C3" i="14"/>
  <c r="B28" i="14"/>
  <c r="L29" i="16" l="1"/>
  <c r="BE29" i="16" s="1"/>
  <c r="AF15" i="16"/>
  <c r="AE42" i="16"/>
  <c r="BD21" i="16"/>
  <c r="L21" i="16"/>
  <c r="T21" i="16"/>
  <c r="U21" i="16" s="1"/>
  <c r="V21" i="16" s="1"/>
  <c r="BD64" i="16"/>
  <c r="BE64" i="16" s="1"/>
  <c r="BF64" i="16" s="1"/>
  <c r="BG64" i="16" s="1"/>
  <c r="BH64" i="16" s="1"/>
  <c r="BI64" i="16" s="1"/>
  <c r="BJ64" i="16" s="1"/>
  <c r="BK64" i="16" s="1"/>
  <c r="L64" i="16"/>
  <c r="M64" i="16" s="1"/>
  <c r="N64" i="16" s="1"/>
  <c r="O64" i="16" s="1"/>
  <c r="P64" i="16" s="1"/>
  <c r="Q64" i="16" s="1"/>
  <c r="R64" i="16" s="1"/>
  <c r="AV29" i="16"/>
  <c r="D29" i="16"/>
  <c r="AU56" i="16"/>
  <c r="AV56" i="16" s="1"/>
  <c r="AW56" i="16" s="1"/>
  <c r="AX56" i="16" s="1"/>
  <c r="AY56" i="16" s="1"/>
  <c r="AZ56" i="16" s="1"/>
  <c r="BA56" i="16" s="1"/>
  <c r="BB56" i="16" s="1"/>
  <c r="K56" i="16"/>
  <c r="C56" i="16"/>
  <c r="L38" i="16"/>
  <c r="U3" i="16"/>
  <c r="BE3" i="16"/>
  <c r="BE38" i="16" s="1"/>
  <c r="AG7" i="16"/>
  <c r="AC41" i="14"/>
  <c r="D25" i="2"/>
  <c r="D23" i="2"/>
  <c r="AI2" i="17"/>
  <c r="M29" i="16" l="1"/>
  <c r="E39" i="17"/>
  <c r="E39" i="16"/>
  <c r="D39" i="17"/>
  <c r="D39" i="16"/>
  <c r="F39" i="17"/>
  <c r="F39" i="16"/>
  <c r="AG15" i="16"/>
  <c r="D56" i="16"/>
  <c r="W21" i="16"/>
  <c r="AH7" i="16"/>
  <c r="N29" i="16"/>
  <c r="BF29" i="16"/>
  <c r="BD56" i="16"/>
  <c r="BE56" i="16" s="1"/>
  <c r="BF56" i="16" s="1"/>
  <c r="BG56" i="16" s="1"/>
  <c r="BH56" i="16" s="1"/>
  <c r="BI56" i="16" s="1"/>
  <c r="BJ56" i="16" s="1"/>
  <c r="BK56" i="16" s="1"/>
  <c r="T56" i="16"/>
  <c r="U56" i="16" s="1"/>
  <c r="V56" i="16" s="1"/>
  <c r="W56" i="16" s="1"/>
  <c r="X56" i="16" s="1"/>
  <c r="Y56" i="16" s="1"/>
  <c r="Z56" i="16" s="1"/>
  <c r="AA56" i="16" s="1"/>
  <c r="L56" i="16"/>
  <c r="M56" i="16" s="1"/>
  <c r="N56" i="16" s="1"/>
  <c r="O56" i="16" s="1"/>
  <c r="P56" i="16" s="1"/>
  <c r="Q56" i="16" s="1"/>
  <c r="R56" i="16" s="1"/>
  <c r="M21" i="16"/>
  <c r="AF42" i="16"/>
  <c r="E29" i="16"/>
  <c r="AW29" i="16"/>
  <c r="BE21" i="16"/>
  <c r="B30" i="2"/>
  <c r="AO39" i="16" l="1"/>
  <c r="AX39" i="16" s="1"/>
  <c r="BG39" i="16" s="1"/>
  <c r="AF39" i="16"/>
  <c r="N39" i="16"/>
  <c r="W39" i="16" s="1"/>
  <c r="AO39" i="17"/>
  <c r="AX39" i="17" s="1"/>
  <c r="BG39" i="17" s="1"/>
  <c r="N39" i="17"/>
  <c r="W39" i="17" s="1"/>
  <c r="AF39" i="17"/>
  <c r="M39" i="16"/>
  <c r="V39" i="16" s="1"/>
  <c r="AN39" i="16"/>
  <c r="AW39" i="16" s="1"/>
  <c r="BF39" i="16" s="1"/>
  <c r="AE39" i="16"/>
  <c r="M39" i="17"/>
  <c r="V39" i="17" s="1"/>
  <c r="AN39" i="17"/>
  <c r="AW39" i="17" s="1"/>
  <c r="BF39" i="17" s="1"/>
  <c r="AE39" i="17"/>
  <c r="AP39" i="17"/>
  <c r="AY39" i="17" s="1"/>
  <c r="BH39" i="17" s="1"/>
  <c r="O39" i="17"/>
  <c r="X39" i="17" s="1"/>
  <c r="AG39" i="17"/>
  <c r="AP39" i="16"/>
  <c r="AY39" i="16" s="1"/>
  <c r="BH39" i="16" s="1"/>
  <c r="AG39" i="16"/>
  <c r="O39" i="16"/>
  <c r="X39" i="16" s="1"/>
  <c r="AH15" i="16"/>
  <c r="BF21" i="16"/>
  <c r="N21" i="16"/>
  <c r="AI7" i="16"/>
  <c r="X21" i="16"/>
  <c r="AG42" i="16"/>
  <c r="BG29" i="16"/>
  <c r="O29" i="16"/>
  <c r="AX29" i="16"/>
  <c r="F29" i="16"/>
  <c r="E56" i="16"/>
  <c r="P185" i="15"/>
  <c r="N185" i="15"/>
  <c r="AI15" i="16" l="1"/>
  <c r="Y21" i="16"/>
  <c r="AH42" i="16"/>
  <c r="O21" i="16"/>
  <c r="BG21" i="16"/>
  <c r="F56" i="16"/>
  <c r="AJ7" i="16"/>
  <c r="AY29" i="16"/>
  <c r="G29" i="16"/>
  <c r="BH29" i="16"/>
  <c r="P29" i="16"/>
  <c r="C19" i="15"/>
  <c r="B35" i="15"/>
  <c r="B33" i="15"/>
  <c r="B31" i="15"/>
  <c r="B19" i="15"/>
  <c r="G2" i="15"/>
  <c r="E2" i="15"/>
  <c r="AJ15" i="16" l="1"/>
  <c r="BI29" i="16"/>
  <c r="Q29" i="16"/>
  <c r="G56" i="16"/>
  <c r="AZ29" i="16"/>
  <c r="H29" i="16"/>
  <c r="Z21" i="16"/>
  <c r="BH21" i="16"/>
  <c r="P21" i="16"/>
  <c r="AI42" i="16"/>
  <c r="Q349" i="15"/>
  <c r="P349" i="15"/>
  <c r="O349" i="15"/>
  <c r="G349" i="15"/>
  <c r="F349" i="15"/>
  <c r="E349" i="15"/>
  <c r="Q348" i="15"/>
  <c r="P348" i="15"/>
  <c r="O348" i="15"/>
  <c r="G348" i="15"/>
  <c r="F348" i="15"/>
  <c r="E348" i="15"/>
  <c r="Q347" i="15"/>
  <c r="P347" i="15"/>
  <c r="O347" i="15"/>
  <c r="G347" i="15"/>
  <c r="F347" i="15"/>
  <c r="E347" i="15"/>
  <c r="Q346" i="15"/>
  <c r="P346" i="15"/>
  <c r="O346" i="15"/>
  <c r="G346" i="15"/>
  <c r="F346" i="15"/>
  <c r="E346" i="15"/>
  <c r="Q345" i="15"/>
  <c r="P345" i="15"/>
  <c r="O345" i="15"/>
  <c r="G345" i="15"/>
  <c r="F345" i="15"/>
  <c r="E345" i="15"/>
  <c r="Q344" i="15"/>
  <c r="P344" i="15"/>
  <c r="O344" i="15"/>
  <c r="G344" i="15"/>
  <c r="F344" i="15"/>
  <c r="E344" i="15"/>
  <c r="Q340" i="15"/>
  <c r="P340" i="15"/>
  <c r="O340" i="15"/>
  <c r="G340" i="15"/>
  <c r="F340" i="15"/>
  <c r="E340" i="15"/>
  <c r="Q339" i="15"/>
  <c r="P339" i="15"/>
  <c r="O339" i="15"/>
  <c r="G339" i="15"/>
  <c r="F339" i="15"/>
  <c r="E339" i="15"/>
  <c r="Q338" i="15"/>
  <c r="P338" i="15"/>
  <c r="O338" i="15"/>
  <c r="G338" i="15"/>
  <c r="F338" i="15"/>
  <c r="E338" i="15"/>
  <c r="Q337" i="15"/>
  <c r="P337" i="15"/>
  <c r="O337" i="15"/>
  <c r="G337" i="15"/>
  <c r="F337" i="15"/>
  <c r="E337" i="15"/>
  <c r="Q336" i="15"/>
  <c r="P336" i="15"/>
  <c r="O336" i="15"/>
  <c r="G336" i="15"/>
  <c r="F336" i="15"/>
  <c r="E336" i="15"/>
  <c r="Q335" i="15"/>
  <c r="P335" i="15"/>
  <c r="O335" i="15"/>
  <c r="G335" i="15"/>
  <c r="F335" i="15"/>
  <c r="E335" i="15"/>
  <c r="Q331" i="15"/>
  <c r="P331" i="15"/>
  <c r="O331" i="15"/>
  <c r="G331" i="15"/>
  <c r="F331" i="15"/>
  <c r="E331" i="15"/>
  <c r="Q330" i="15"/>
  <c r="P330" i="15"/>
  <c r="O330" i="15"/>
  <c r="G330" i="15"/>
  <c r="F330" i="15"/>
  <c r="E330" i="15"/>
  <c r="Q329" i="15"/>
  <c r="P329" i="15"/>
  <c r="O329" i="15"/>
  <c r="G329" i="15"/>
  <c r="F329" i="15"/>
  <c r="E329" i="15"/>
  <c r="Q328" i="15"/>
  <c r="P328" i="15"/>
  <c r="O328" i="15"/>
  <c r="G328" i="15"/>
  <c r="F328" i="15"/>
  <c r="E328" i="15"/>
  <c r="Q327" i="15"/>
  <c r="P327" i="15"/>
  <c r="O327" i="15"/>
  <c r="G327" i="15"/>
  <c r="F327" i="15"/>
  <c r="E327" i="15"/>
  <c r="Q326" i="15"/>
  <c r="P326" i="15"/>
  <c r="O326" i="15"/>
  <c r="G326" i="15"/>
  <c r="F326" i="15"/>
  <c r="E326" i="15"/>
  <c r="Q322" i="15"/>
  <c r="P322" i="15"/>
  <c r="O322" i="15"/>
  <c r="G322" i="15"/>
  <c r="F322" i="15"/>
  <c r="E322" i="15"/>
  <c r="Q321" i="15"/>
  <c r="P321" i="15"/>
  <c r="O321" i="15"/>
  <c r="G321" i="15"/>
  <c r="F321" i="15"/>
  <c r="E321" i="15"/>
  <c r="Q320" i="15"/>
  <c r="P320" i="15"/>
  <c r="O320" i="15"/>
  <c r="G320" i="15"/>
  <c r="F320" i="15"/>
  <c r="E320" i="15"/>
  <c r="Q319" i="15"/>
  <c r="P319" i="15"/>
  <c r="O319" i="15"/>
  <c r="G319" i="15"/>
  <c r="F319" i="15"/>
  <c r="E319" i="15"/>
  <c r="Q318" i="15"/>
  <c r="P318" i="15"/>
  <c r="O318" i="15"/>
  <c r="G318" i="15"/>
  <c r="F318" i="15"/>
  <c r="E318" i="15"/>
  <c r="Q317" i="15"/>
  <c r="P317" i="15"/>
  <c r="O317" i="15"/>
  <c r="G317" i="15"/>
  <c r="F317" i="15"/>
  <c r="E317" i="15"/>
  <c r="Q313" i="15"/>
  <c r="P313" i="15"/>
  <c r="O313" i="15"/>
  <c r="G313" i="15"/>
  <c r="F313" i="15"/>
  <c r="E313" i="15"/>
  <c r="Q312" i="15"/>
  <c r="P312" i="15"/>
  <c r="O312" i="15"/>
  <c r="G312" i="15"/>
  <c r="F312" i="15"/>
  <c r="E312" i="15"/>
  <c r="Q311" i="15"/>
  <c r="P311" i="15"/>
  <c r="O311" i="15"/>
  <c r="G311" i="15"/>
  <c r="F311" i="15"/>
  <c r="E311" i="15"/>
  <c r="Q310" i="15"/>
  <c r="P310" i="15"/>
  <c r="O310" i="15"/>
  <c r="G310" i="15"/>
  <c r="F310" i="15"/>
  <c r="E310" i="15"/>
  <c r="Q309" i="15"/>
  <c r="P309" i="15"/>
  <c r="O309" i="15"/>
  <c r="G309" i="15"/>
  <c r="F309" i="15"/>
  <c r="E309" i="15"/>
  <c r="Q308" i="15"/>
  <c r="P308" i="15"/>
  <c r="O308" i="15"/>
  <c r="G308" i="15"/>
  <c r="F308" i="15"/>
  <c r="E308" i="15"/>
  <c r="Q304" i="15"/>
  <c r="P304" i="15"/>
  <c r="O304" i="15"/>
  <c r="G304" i="15"/>
  <c r="F304" i="15"/>
  <c r="E304" i="15"/>
  <c r="Q303" i="15"/>
  <c r="P303" i="15"/>
  <c r="O303" i="15"/>
  <c r="G303" i="15"/>
  <c r="F303" i="15"/>
  <c r="E303" i="15"/>
  <c r="Q302" i="15"/>
  <c r="P302" i="15"/>
  <c r="O302" i="15"/>
  <c r="G302" i="15"/>
  <c r="F302" i="15"/>
  <c r="E302" i="15"/>
  <c r="Q301" i="15"/>
  <c r="P301" i="15"/>
  <c r="O301" i="15"/>
  <c r="G301" i="15"/>
  <c r="F301" i="15"/>
  <c r="E301" i="15"/>
  <c r="Q300" i="15"/>
  <c r="P300" i="15"/>
  <c r="O300" i="15"/>
  <c r="G300" i="15"/>
  <c r="F300" i="15"/>
  <c r="E300" i="15"/>
  <c r="Q299" i="15"/>
  <c r="P299" i="15"/>
  <c r="O299" i="15"/>
  <c r="G299" i="15"/>
  <c r="F299" i="15"/>
  <c r="E299" i="15"/>
  <c r="Q295" i="15"/>
  <c r="P295" i="15"/>
  <c r="O295" i="15"/>
  <c r="G295" i="15"/>
  <c r="F295" i="15"/>
  <c r="E295" i="15"/>
  <c r="Q294" i="15"/>
  <c r="P294" i="15"/>
  <c r="O294" i="15"/>
  <c r="G294" i="15"/>
  <c r="F294" i="15"/>
  <c r="E294" i="15"/>
  <c r="Q293" i="15"/>
  <c r="P293" i="15"/>
  <c r="O293" i="15"/>
  <c r="G293" i="15"/>
  <c r="F293" i="15"/>
  <c r="E293" i="15"/>
  <c r="Q292" i="15"/>
  <c r="P292" i="15"/>
  <c r="O292" i="15"/>
  <c r="G292" i="15"/>
  <c r="F292" i="15"/>
  <c r="E292" i="15"/>
  <c r="Q291" i="15"/>
  <c r="P291" i="15"/>
  <c r="O291" i="15"/>
  <c r="G291" i="15"/>
  <c r="F291" i="15"/>
  <c r="E291" i="15"/>
  <c r="Q290" i="15"/>
  <c r="P290" i="15"/>
  <c r="O290" i="15"/>
  <c r="G290" i="15"/>
  <c r="F290" i="15"/>
  <c r="E290" i="15"/>
  <c r="Q286" i="15"/>
  <c r="P286" i="15"/>
  <c r="O286" i="15"/>
  <c r="G286" i="15"/>
  <c r="F286" i="15"/>
  <c r="E286" i="15"/>
  <c r="Q285" i="15"/>
  <c r="P285" i="15"/>
  <c r="O285" i="15"/>
  <c r="G285" i="15"/>
  <c r="F285" i="15"/>
  <c r="E285" i="15"/>
  <c r="Q284" i="15"/>
  <c r="P284" i="15"/>
  <c r="O284" i="15"/>
  <c r="G284" i="15"/>
  <c r="F284" i="15"/>
  <c r="E284" i="15"/>
  <c r="Q283" i="15"/>
  <c r="P283" i="15"/>
  <c r="O283" i="15"/>
  <c r="G283" i="15"/>
  <c r="F283" i="15"/>
  <c r="E283" i="15"/>
  <c r="Q282" i="15"/>
  <c r="P282" i="15"/>
  <c r="O282" i="15"/>
  <c r="G282" i="15"/>
  <c r="F282" i="15"/>
  <c r="E282" i="15"/>
  <c r="Q281" i="15"/>
  <c r="P281" i="15"/>
  <c r="O281" i="15"/>
  <c r="G281" i="15"/>
  <c r="F281" i="15"/>
  <c r="E281" i="15"/>
  <c r="B276" i="15"/>
  <c r="B277" i="15" s="1"/>
  <c r="L261" i="15"/>
  <c r="B261" i="15"/>
  <c r="M258" i="15"/>
  <c r="N258" i="15" s="1"/>
  <c r="O258" i="15" s="1"/>
  <c r="P258" i="15" s="1"/>
  <c r="Q258" i="15" s="1"/>
  <c r="R258" i="15" s="1"/>
  <c r="S258" i="15" s="1"/>
  <c r="T258" i="15" s="1"/>
  <c r="C258" i="15"/>
  <c r="D258" i="15" s="1"/>
  <c r="E258" i="15" s="1"/>
  <c r="F258" i="15" s="1"/>
  <c r="G258" i="15" s="1"/>
  <c r="H258" i="15" s="1"/>
  <c r="I258" i="15" s="1"/>
  <c r="J258" i="15" s="1"/>
  <c r="M257" i="15"/>
  <c r="N257" i="15" s="1"/>
  <c r="O257" i="15" s="1"/>
  <c r="P257" i="15" s="1"/>
  <c r="Q257" i="15" s="1"/>
  <c r="R257" i="15" s="1"/>
  <c r="S257" i="15" s="1"/>
  <c r="T257" i="15" s="1"/>
  <c r="C257" i="15"/>
  <c r="D257" i="15" s="1"/>
  <c r="E257" i="15" s="1"/>
  <c r="F257" i="15" s="1"/>
  <c r="G257" i="15" s="1"/>
  <c r="H257" i="15" s="1"/>
  <c r="I257" i="15" s="1"/>
  <c r="J257" i="15" s="1"/>
  <c r="M256" i="15"/>
  <c r="N256" i="15" s="1"/>
  <c r="O256" i="15" s="1"/>
  <c r="P256" i="15" s="1"/>
  <c r="Q256" i="15" s="1"/>
  <c r="R256" i="15" s="1"/>
  <c r="S256" i="15" s="1"/>
  <c r="T256" i="15" s="1"/>
  <c r="C256" i="15"/>
  <c r="D256" i="15" s="1"/>
  <c r="E256" i="15" s="1"/>
  <c r="F256" i="15" s="1"/>
  <c r="G256" i="15" s="1"/>
  <c r="H256" i="15" s="1"/>
  <c r="I256" i="15" s="1"/>
  <c r="J256" i="15" s="1"/>
  <c r="M255" i="15"/>
  <c r="N255" i="15" s="1"/>
  <c r="O255" i="15" s="1"/>
  <c r="P255" i="15" s="1"/>
  <c r="Q255" i="15" s="1"/>
  <c r="R255" i="15" s="1"/>
  <c r="S255" i="15" s="1"/>
  <c r="T255" i="15" s="1"/>
  <c r="C255" i="15"/>
  <c r="D255" i="15" s="1"/>
  <c r="E255" i="15" s="1"/>
  <c r="F255" i="15" s="1"/>
  <c r="G255" i="15" s="1"/>
  <c r="H255" i="15" s="1"/>
  <c r="I255" i="15" s="1"/>
  <c r="J255" i="15" s="1"/>
  <c r="M254" i="15"/>
  <c r="N254" i="15" s="1"/>
  <c r="O254" i="15" s="1"/>
  <c r="P254" i="15" s="1"/>
  <c r="Q254" i="15" s="1"/>
  <c r="R254" i="15" s="1"/>
  <c r="S254" i="15" s="1"/>
  <c r="T254" i="15" s="1"/>
  <c r="C254" i="15"/>
  <c r="D254" i="15" s="1"/>
  <c r="E254" i="15" s="1"/>
  <c r="F254" i="15" s="1"/>
  <c r="G254" i="15" s="1"/>
  <c r="H254" i="15" s="1"/>
  <c r="I254" i="15" s="1"/>
  <c r="J254" i="15" s="1"/>
  <c r="M253" i="15"/>
  <c r="N253" i="15" s="1"/>
  <c r="O253" i="15" s="1"/>
  <c r="P253" i="15" s="1"/>
  <c r="Q253" i="15" s="1"/>
  <c r="R253" i="15" s="1"/>
  <c r="S253" i="15" s="1"/>
  <c r="T253" i="15" s="1"/>
  <c r="C253" i="15"/>
  <c r="D253" i="15" s="1"/>
  <c r="E253" i="15" s="1"/>
  <c r="F253" i="15" s="1"/>
  <c r="G253" i="15" s="1"/>
  <c r="H253" i="15" s="1"/>
  <c r="I253" i="15" s="1"/>
  <c r="J253" i="15" s="1"/>
  <c r="M235" i="15"/>
  <c r="M261" i="15" s="1"/>
  <c r="C235" i="15"/>
  <c r="C261" i="15" s="1"/>
  <c r="T234" i="15"/>
  <c r="S234" i="15"/>
  <c r="R234" i="15"/>
  <c r="Q234" i="15"/>
  <c r="P234" i="15"/>
  <c r="O234" i="15"/>
  <c r="N234" i="15"/>
  <c r="M234" i="15"/>
  <c r="L234" i="15"/>
  <c r="J234" i="15"/>
  <c r="I234" i="15"/>
  <c r="H234" i="15"/>
  <c r="G234" i="15"/>
  <c r="F234" i="15"/>
  <c r="E234" i="15"/>
  <c r="D234" i="15"/>
  <c r="C234" i="15"/>
  <c r="B234" i="15"/>
  <c r="Q232" i="15"/>
  <c r="O232" i="15"/>
  <c r="G232" i="15"/>
  <c r="E232" i="15"/>
  <c r="M202" i="15"/>
  <c r="P219" i="15" s="1"/>
  <c r="C202" i="15"/>
  <c r="M193" i="15"/>
  <c r="N193" i="15" s="1"/>
  <c r="O193" i="15" s="1"/>
  <c r="P193" i="15" s="1"/>
  <c r="Q193" i="15" s="1"/>
  <c r="R193" i="15" s="1"/>
  <c r="S193" i="15" s="1"/>
  <c r="T193" i="15" s="1"/>
  <c r="J193" i="15"/>
  <c r="C193" i="15"/>
  <c r="O190" i="15"/>
  <c r="E190" i="15"/>
  <c r="B190" i="15"/>
  <c r="T185" i="15"/>
  <c r="S185" i="15"/>
  <c r="R185" i="15"/>
  <c r="Q185" i="15"/>
  <c r="O185" i="15"/>
  <c r="M185" i="15"/>
  <c r="E185" i="15"/>
  <c r="D185" i="15"/>
  <c r="C185" i="15"/>
  <c r="T183" i="15"/>
  <c r="S183" i="15"/>
  <c r="R183" i="15"/>
  <c r="Q183" i="15"/>
  <c r="M183" i="15"/>
  <c r="G183" i="15"/>
  <c r="C183" i="15"/>
  <c r="M180" i="15"/>
  <c r="N180" i="15" s="1"/>
  <c r="O180" i="15" s="1"/>
  <c r="P180" i="15" s="1"/>
  <c r="Q180" i="15" s="1"/>
  <c r="R180" i="15" s="1"/>
  <c r="S180" i="15" s="1"/>
  <c r="T180" i="15" s="1"/>
  <c r="C180" i="15"/>
  <c r="D180" i="15" s="1"/>
  <c r="E180" i="15" s="1"/>
  <c r="F180" i="15" s="1"/>
  <c r="G180" i="15" s="1"/>
  <c r="H180" i="15" s="1"/>
  <c r="I180" i="15" s="1"/>
  <c r="J180" i="15" s="1"/>
  <c r="M179" i="15"/>
  <c r="N179" i="15" s="1"/>
  <c r="O179" i="15" s="1"/>
  <c r="P179" i="15" s="1"/>
  <c r="Q179" i="15" s="1"/>
  <c r="R179" i="15" s="1"/>
  <c r="S179" i="15" s="1"/>
  <c r="T179" i="15" s="1"/>
  <c r="D179" i="15"/>
  <c r="E179" i="15" s="1"/>
  <c r="F179" i="15" s="1"/>
  <c r="G179" i="15" s="1"/>
  <c r="H179" i="15" s="1"/>
  <c r="I179" i="15" s="1"/>
  <c r="J179" i="15" s="1"/>
  <c r="L177" i="15"/>
  <c r="B177" i="15"/>
  <c r="L176" i="15"/>
  <c r="B176" i="15"/>
  <c r="L175" i="15"/>
  <c r="B175" i="15"/>
  <c r="M173" i="15"/>
  <c r="N173" i="15" s="1"/>
  <c r="O173" i="15" s="1"/>
  <c r="P173" i="15" s="1"/>
  <c r="Q173" i="15" s="1"/>
  <c r="R173" i="15" s="1"/>
  <c r="S173" i="15" s="1"/>
  <c r="T173" i="15" s="1"/>
  <c r="C173" i="15"/>
  <c r="D173" i="15" s="1"/>
  <c r="E173" i="15" s="1"/>
  <c r="F173" i="15" s="1"/>
  <c r="G173" i="15" s="1"/>
  <c r="H173" i="15" s="1"/>
  <c r="I173" i="15" s="1"/>
  <c r="J173" i="15" s="1"/>
  <c r="M172" i="15"/>
  <c r="M176" i="15" s="1"/>
  <c r="C172" i="15"/>
  <c r="C175" i="15" s="1"/>
  <c r="L115" i="15"/>
  <c r="B115" i="15"/>
  <c r="B98" i="15" s="1"/>
  <c r="L112" i="15"/>
  <c r="M112" i="15" s="1"/>
  <c r="B112" i="15"/>
  <c r="C112" i="15" s="1"/>
  <c r="L111" i="15"/>
  <c r="B111" i="15"/>
  <c r="B94" i="15" s="1"/>
  <c r="L110" i="15"/>
  <c r="L93" i="15" s="1"/>
  <c r="B110" i="15"/>
  <c r="C110" i="15" s="1"/>
  <c r="L107" i="15"/>
  <c r="C107" i="15"/>
  <c r="B107" i="15"/>
  <c r="L106" i="15"/>
  <c r="C106" i="15"/>
  <c r="B106" i="15"/>
  <c r="L105" i="15"/>
  <c r="C105" i="15"/>
  <c r="B105" i="15"/>
  <c r="M102" i="15"/>
  <c r="N102" i="15" s="1"/>
  <c r="O102" i="15" s="1"/>
  <c r="P102" i="15" s="1"/>
  <c r="Q102" i="15" s="1"/>
  <c r="R102" i="15" s="1"/>
  <c r="S102" i="15" s="1"/>
  <c r="T102" i="15" s="1"/>
  <c r="C102" i="15"/>
  <c r="D102" i="15" s="1"/>
  <c r="E102" i="15" s="1"/>
  <c r="F102" i="15" s="1"/>
  <c r="G102" i="15" s="1"/>
  <c r="H102" i="15" s="1"/>
  <c r="I102" i="15" s="1"/>
  <c r="J102" i="15" s="1"/>
  <c r="N100" i="15"/>
  <c r="O100" i="15" s="1"/>
  <c r="P100" i="15" s="1"/>
  <c r="Q100" i="15" s="1"/>
  <c r="R100" i="15" s="1"/>
  <c r="S100" i="15" s="1"/>
  <c r="T100" i="15" s="1"/>
  <c r="M100" i="15"/>
  <c r="C100" i="15"/>
  <c r="D100" i="15" s="1"/>
  <c r="E100" i="15" s="1"/>
  <c r="F100" i="15" s="1"/>
  <c r="G100" i="15" s="1"/>
  <c r="H100" i="15" s="1"/>
  <c r="I100" i="15" s="1"/>
  <c r="J100" i="15" s="1"/>
  <c r="B95" i="15"/>
  <c r="L41" i="15"/>
  <c r="L29" i="15"/>
  <c r="B29" i="15"/>
  <c r="C29" i="15" s="1"/>
  <c r="L28" i="15"/>
  <c r="M28" i="15" s="1"/>
  <c r="B28" i="15"/>
  <c r="B55" i="15" s="1"/>
  <c r="L27" i="15"/>
  <c r="B27" i="15"/>
  <c r="C27" i="15" s="1"/>
  <c r="D19" i="15"/>
  <c r="E19" i="15" s="1"/>
  <c r="F19" i="15" s="1"/>
  <c r="G19" i="15" s="1"/>
  <c r="H19" i="15" s="1"/>
  <c r="I19" i="15" s="1"/>
  <c r="J19" i="15" s="1"/>
  <c r="T5" i="15"/>
  <c r="S5" i="15"/>
  <c r="R5" i="15"/>
  <c r="Q5" i="15"/>
  <c r="P5" i="15"/>
  <c r="O5" i="15"/>
  <c r="N5" i="15"/>
  <c r="M5" i="15"/>
  <c r="L5" i="15"/>
  <c r="J5" i="15"/>
  <c r="I5" i="15"/>
  <c r="H5" i="15"/>
  <c r="G5" i="15"/>
  <c r="F5" i="15"/>
  <c r="E5" i="15"/>
  <c r="D5" i="15"/>
  <c r="C5" i="15"/>
  <c r="B5" i="15"/>
  <c r="F232" i="15"/>
  <c r="D232" i="15"/>
  <c r="Q1" i="15"/>
  <c r="L190" i="15" s="1"/>
  <c r="N1" i="15"/>
  <c r="M231" i="15" s="1"/>
  <c r="C231" i="15"/>
  <c r="I29" i="16" l="1"/>
  <c r="BA29" i="16"/>
  <c r="BI21" i="16"/>
  <c r="Q21" i="16"/>
  <c r="AJ42" i="16"/>
  <c r="H56" i="16"/>
  <c r="R29" i="16"/>
  <c r="BK29" i="16" s="1"/>
  <c r="BJ29" i="16"/>
  <c r="AA21" i="16"/>
  <c r="L95" i="15"/>
  <c r="M105" i="15"/>
  <c r="M106" i="15"/>
  <c r="M107" i="15"/>
  <c r="D112" i="15"/>
  <c r="C95" i="15"/>
  <c r="M95" i="15"/>
  <c r="N112" i="15"/>
  <c r="M204" i="15"/>
  <c r="T219" i="15"/>
  <c r="D235" i="15"/>
  <c r="N235" i="15"/>
  <c r="C176" i="15"/>
  <c r="L205" i="15"/>
  <c r="D172" i="15"/>
  <c r="D177" i="15" s="1"/>
  <c r="N172" i="15"/>
  <c r="M175" i="15"/>
  <c r="T205" i="15"/>
  <c r="C115" i="15"/>
  <c r="D115" i="15" s="1"/>
  <c r="R206" i="15"/>
  <c r="B114" i="15"/>
  <c r="B97" i="15" s="1"/>
  <c r="B219" i="15"/>
  <c r="C205" i="15"/>
  <c r="C204" i="15"/>
  <c r="L55" i="15"/>
  <c r="N204" i="15"/>
  <c r="O205" i="15"/>
  <c r="M206" i="15"/>
  <c r="N219" i="15"/>
  <c r="Q204" i="15"/>
  <c r="P205" i="15"/>
  <c r="N206" i="15"/>
  <c r="O219" i="15"/>
  <c r="R204" i="15"/>
  <c r="S205" i="15"/>
  <c r="Q206" i="15"/>
  <c r="S219" i="15"/>
  <c r="L114" i="15"/>
  <c r="L97" i="15" s="1"/>
  <c r="L113" i="15"/>
  <c r="M113" i="15" s="1"/>
  <c r="L87" i="15"/>
  <c r="M110" i="15"/>
  <c r="B205" i="15"/>
  <c r="E206" i="15"/>
  <c r="I219" i="15"/>
  <c r="H206" i="15"/>
  <c r="D204" i="15"/>
  <c r="G205" i="15"/>
  <c r="C219" i="15"/>
  <c r="E204" i="15"/>
  <c r="G219" i="15"/>
  <c r="I204" i="15"/>
  <c r="J205" i="15"/>
  <c r="I206" i="15"/>
  <c r="H204" i="15"/>
  <c r="F205" i="15"/>
  <c r="D206" i="15"/>
  <c r="B113" i="15"/>
  <c r="C113" i="15" s="1"/>
  <c r="B93" i="15"/>
  <c r="C111" i="15"/>
  <c r="D111" i="15" s="1"/>
  <c r="C28" i="15"/>
  <c r="D28" i="15" s="1"/>
  <c r="E28" i="15" s="1"/>
  <c r="F28" i="15" s="1"/>
  <c r="L82" i="15"/>
  <c r="L68" i="15"/>
  <c r="L74" i="15"/>
  <c r="L80" i="15"/>
  <c r="L83" i="15"/>
  <c r="L89" i="15"/>
  <c r="C56" i="15"/>
  <c r="D29" i="15"/>
  <c r="B221" i="15"/>
  <c r="B250" i="15"/>
  <c r="B130" i="15"/>
  <c r="N28" i="15"/>
  <c r="L56" i="15"/>
  <c r="M29" i="15"/>
  <c r="B56" i="15"/>
  <c r="L260" i="15"/>
  <c r="L250" i="15"/>
  <c r="L221" i="15"/>
  <c r="C98" i="15"/>
  <c r="D27" i="15"/>
  <c r="L54" i="15"/>
  <c r="M27" i="15"/>
  <c r="B260" i="15"/>
  <c r="C93" i="15"/>
  <c r="D110" i="15"/>
  <c r="N95" i="15"/>
  <c r="O112" i="15"/>
  <c r="L98" i="15"/>
  <c r="M115" i="15"/>
  <c r="L67" i="15"/>
  <c r="L69" i="15"/>
  <c r="L73" i="15"/>
  <c r="L75" i="15"/>
  <c r="L81" i="15"/>
  <c r="L94" i="15"/>
  <c r="L88" i="15" s="1"/>
  <c r="M111" i="15"/>
  <c r="C177" i="15"/>
  <c r="N176" i="15"/>
  <c r="M177" i="15"/>
  <c r="H219" i="15"/>
  <c r="D219" i="15"/>
  <c r="B204" i="15"/>
  <c r="F204" i="15"/>
  <c r="J204" i="15"/>
  <c r="O204" i="15"/>
  <c r="S204" i="15"/>
  <c r="D205" i="15"/>
  <c r="H205" i="15"/>
  <c r="M205" i="15"/>
  <c r="Q205" i="15"/>
  <c r="B206" i="15"/>
  <c r="F206" i="15"/>
  <c r="J206" i="15"/>
  <c r="O206" i="15"/>
  <c r="S206" i="15"/>
  <c r="E219" i="15"/>
  <c r="J219" i="15"/>
  <c r="Q219" i="15"/>
  <c r="M219" i="15"/>
  <c r="G204" i="15"/>
  <c r="L204" i="15"/>
  <c r="P204" i="15"/>
  <c r="T204" i="15"/>
  <c r="E205" i="15"/>
  <c r="I205" i="15"/>
  <c r="N205" i="15"/>
  <c r="R205" i="15"/>
  <c r="C206" i="15"/>
  <c r="G206" i="15"/>
  <c r="L206" i="15"/>
  <c r="P206" i="15"/>
  <c r="T206" i="15"/>
  <c r="F219" i="15"/>
  <c r="L219" i="15"/>
  <c r="R219" i="15"/>
  <c r="F872" i="2"/>
  <c r="E872" i="2"/>
  <c r="F871" i="2"/>
  <c r="E871" i="2"/>
  <c r="F870" i="2"/>
  <c r="E870" i="2"/>
  <c r="F869" i="2"/>
  <c r="E869" i="2"/>
  <c r="F868" i="2"/>
  <c r="E868" i="2"/>
  <c r="F867" i="2"/>
  <c r="E867" i="2"/>
  <c r="F866" i="2"/>
  <c r="E866" i="2"/>
  <c r="F865" i="2"/>
  <c r="E865" i="2"/>
  <c r="F864" i="2"/>
  <c r="E864" i="2"/>
  <c r="F863" i="2"/>
  <c r="E863" i="2"/>
  <c r="F862" i="2"/>
  <c r="E862" i="2"/>
  <c r="F861" i="2"/>
  <c r="E861" i="2"/>
  <c r="F860" i="2"/>
  <c r="E860" i="2"/>
  <c r="F859" i="2"/>
  <c r="E859" i="2"/>
  <c r="F858" i="2"/>
  <c r="E858" i="2"/>
  <c r="B15" i="13"/>
  <c r="C15" i="13" s="1"/>
  <c r="D15" i="13" s="1"/>
  <c r="E15" i="13" s="1"/>
  <c r="F15" i="13" s="1"/>
  <c r="G15" i="13" s="1"/>
  <c r="H15" i="13" s="1"/>
  <c r="I15" i="13" s="1"/>
  <c r="B6" i="13"/>
  <c r="C6" i="13" s="1"/>
  <c r="D6" i="13" s="1"/>
  <c r="E6" i="13" s="1"/>
  <c r="F6" i="13" s="1"/>
  <c r="G6" i="13" s="1"/>
  <c r="H6" i="13" s="1"/>
  <c r="I6" i="13" s="1"/>
  <c r="R37" i="2"/>
  <c r="BB53" i="14"/>
  <c r="E215" i="2"/>
  <c r="C215" i="2"/>
  <c r="AK43" i="14"/>
  <c r="AL43" i="14"/>
  <c r="AM43" i="14"/>
  <c r="AN43" i="14"/>
  <c r="AO43" i="14"/>
  <c r="AP43" i="14"/>
  <c r="AQ43" i="14"/>
  <c r="AR43" i="14"/>
  <c r="AS43" i="14"/>
  <c r="AT43" i="14"/>
  <c r="AU43" i="14"/>
  <c r="AU56" i="14" s="1"/>
  <c r="AV43" i="14"/>
  <c r="AW43" i="14"/>
  <c r="AW56" i="14" s="1"/>
  <c r="AX43" i="14"/>
  <c r="AY43" i="14"/>
  <c r="AZ43" i="14"/>
  <c r="BA43" i="14"/>
  <c r="BA56" i="14" s="1"/>
  <c r="BB43" i="14"/>
  <c r="BC43" i="14"/>
  <c r="BD43" i="14"/>
  <c r="BE43" i="14"/>
  <c r="BE56" i="14" s="1"/>
  <c r="BF43" i="14"/>
  <c r="BG43" i="14"/>
  <c r="BH43" i="14"/>
  <c r="BI43" i="14"/>
  <c r="BI56" i="14" s="1"/>
  <c r="BJ43" i="14"/>
  <c r="BK43" i="14"/>
  <c r="BK56" i="14" s="1"/>
  <c r="AG66" i="14"/>
  <c r="B62" i="14"/>
  <c r="C62" i="14" s="1"/>
  <c r="D62" i="14" s="1"/>
  <c r="E62" i="14" s="1"/>
  <c r="F62" i="14" s="1"/>
  <c r="G62" i="14" s="1"/>
  <c r="H62" i="14" s="1"/>
  <c r="I62" i="14" s="1"/>
  <c r="AC55" i="14"/>
  <c r="Q53" i="14"/>
  <c r="AB53" i="14"/>
  <c r="BK41" i="14"/>
  <c r="BJ41" i="14"/>
  <c r="BI41" i="14"/>
  <c r="BH41" i="14"/>
  <c r="BG41" i="14"/>
  <c r="BF41" i="14"/>
  <c r="BE41" i="14"/>
  <c r="BD41" i="14"/>
  <c r="BB41" i="14"/>
  <c r="BA41" i="14"/>
  <c r="AZ41" i="14"/>
  <c r="AY41" i="14"/>
  <c r="AX41" i="14"/>
  <c r="AW41" i="14"/>
  <c r="AV41" i="14"/>
  <c r="AU41" i="14"/>
  <c r="AD41" i="14"/>
  <c r="AE41" i="14" s="1"/>
  <c r="AF41" i="14" s="1"/>
  <c r="AG41" i="14" s="1"/>
  <c r="AH41" i="14" s="1"/>
  <c r="AI41" i="14" s="1"/>
  <c r="AJ41" i="14" s="1"/>
  <c r="AA41" i="14"/>
  <c r="Z41" i="14"/>
  <c r="Y41" i="14"/>
  <c r="X41" i="14"/>
  <c r="W41" i="14"/>
  <c r="V41" i="14"/>
  <c r="U41" i="14"/>
  <c r="T41" i="14"/>
  <c r="R41" i="14"/>
  <c r="Q41" i="14"/>
  <c r="P41" i="14"/>
  <c r="O41" i="14"/>
  <c r="N41" i="14"/>
  <c r="M41" i="14"/>
  <c r="L41" i="14"/>
  <c r="K41" i="14"/>
  <c r="I41" i="14"/>
  <c r="H41" i="14"/>
  <c r="G41" i="14"/>
  <c r="F41" i="14"/>
  <c r="E41" i="14"/>
  <c r="D41" i="14"/>
  <c r="C41" i="14"/>
  <c r="B41" i="14"/>
  <c r="AJ40" i="14"/>
  <c r="AI40" i="14"/>
  <c r="AH40" i="14"/>
  <c r="AG40" i="14"/>
  <c r="AF40" i="14"/>
  <c r="AE40" i="14"/>
  <c r="AD40" i="14"/>
  <c r="AC40" i="14"/>
  <c r="BD39" i="14"/>
  <c r="AC39" i="14"/>
  <c r="W39" i="14"/>
  <c r="N39" i="14"/>
  <c r="AH38" i="14"/>
  <c r="F37" i="14"/>
  <c r="AG32" i="14"/>
  <c r="AU28" i="14"/>
  <c r="T28" i="14"/>
  <c r="U28" i="14" s="1"/>
  <c r="V28" i="14" s="1"/>
  <c r="W28" i="14" s="1"/>
  <c r="X28" i="14" s="1"/>
  <c r="Y28" i="14" s="1"/>
  <c r="Z28" i="14" s="1"/>
  <c r="AA28" i="14" s="1"/>
  <c r="K28" i="14"/>
  <c r="BD28" i="14" s="1"/>
  <c r="C28" i="14"/>
  <c r="AV28" i="14" s="1"/>
  <c r="B20" i="14"/>
  <c r="B54" i="14" s="1"/>
  <c r="BK19" i="14"/>
  <c r="BI19" i="14"/>
  <c r="AV19" i="14"/>
  <c r="U19" i="14"/>
  <c r="R19" i="14"/>
  <c r="G19" i="14"/>
  <c r="AB19" i="14"/>
  <c r="BK16" i="14"/>
  <c r="BJ16" i="14"/>
  <c r="BI16" i="14"/>
  <c r="BH16" i="14"/>
  <c r="BG16" i="14"/>
  <c r="BF16" i="14"/>
  <c r="BE16" i="14"/>
  <c r="BD16" i="14"/>
  <c r="BB16" i="14"/>
  <c r="BA16" i="14"/>
  <c r="AZ16" i="14"/>
  <c r="AY16" i="14"/>
  <c r="AX16" i="14"/>
  <c r="AW16" i="14"/>
  <c r="AV16" i="14"/>
  <c r="AU16" i="14"/>
  <c r="AA16" i="14"/>
  <c r="Z16" i="14"/>
  <c r="Y16" i="14"/>
  <c r="X16" i="14"/>
  <c r="W16" i="14"/>
  <c r="V16" i="14"/>
  <c r="U16" i="14"/>
  <c r="T16" i="14"/>
  <c r="R16" i="14"/>
  <c r="Q16" i="14"/>
  <c r="P16" i="14"/>
  <c r="O16" i="14"/>
  <c r="N16" i="14"/>
  <c r="M16" i="14"/>
  <c r="L16" i="14"/>
  <c r="K16" i="14"/>
  <c r="I16" i="14"/>
  <c r="H16" i="14"/>
  <c r="G16" i="14"/>
  <c r="F16" i="14"/>
  <c r="E16" i="14"/>
  <c r="D16" i="14"/>
  <c r="C16" i="14"/>
  <c r="B16" i="14"/>
  <c r="BK15" i="14"/>
  <c r="BJ15" i="14"/>
  <c r="BI15" i="14"/>
  <c r="BH15" i="14"/>
  <c r="BG15" i="14"/>
  <c r="BF15" i="14"/>
  <c r="BE15" i="14"/>
  <c r="BD15" i="14"/>
  <c r="BB15" i="14"/>
  <c r="BA15" i="14"/>
  <c r="AZ15" i="14"/>
  <c r="AY15" i="14"/>
  <c r="AX15" i="14"/>
  <c r="AW15" i="14"/>
  <c r="AV15" i="14"/>
  <c r="AU15" i="14"/>
  <c r="AA15" i="14"/>
  <c r="Z15" i="14"/>
  <c r="Y15" i="14"/>
  <c r="X15" i="14"/>
  <c r="W15" i="14"/>
  <c r="V15" i="14"/>
  <c r="U15" i="14"/>
  <c r="T15" i="14"/>
  <c r="R15" i="14"/>
  <c r="Q15" i="14"/>
  <c r="P15" i="14"/>
  <c r="O15" i="14"/>
  <c r="N15" i="14"/>
  <c r="M15" i="14"/>
  <c r="L15" i="14"/>
  <c r="K15" i="14"/>
  <c r="I15" i="14"/>
  <c r="H15" i="14"/>
  <c r="G15" i="14"/>
  <c r="F15" i="14"/>
  <c r="E15" i="14"/>
  <c r="D15" i="14"/>
  <c r="C15" i="14"/>
  <c r="B15" i="14"/>
  <c r="BK14" i="14"/>
  <c r="BJ14" i="14"/>
  <c r="BI14" i="14"/>
  <c r="BH14" i="14"/>
  <c r="BG14" i="14"/>
  <c r="BF14" i="14"/>
  <c r="BE14" i="14"/>
  <c r="BD14" i="14"/>
  <c r="BB14" i="14"/>
  <c r="BA14" i="14"/>
  <c r="AZ14" i="14"/>
  <c r="AY14" i="14"/>
  <c r="AX14" i="14"/>
  <c r="AW14" i="14"/>
  <c r="AV14" i="14"/>
  <c r="AU14" i="14"/>
  <c r="AA14" i="14"/>
  <c r="Z14" i="14"/>
  <c r="Y14" i="14"/>
  <c r="X14" i="14"/>
  <c r="W14" i="14"/>
  <c r="V14" i="14"/>
  <c r="U14" i="14"/>
  <c r="T14" i="14"/>
  <c r="R14" i="14"/>
  <c r="Q14" i="14"/>
  <c r="P14" i="14"/>
  <c r="O14" i="14"/>
  <c r="N14" i="14"/>
  <c r="M14" i="14"/>
  <c r="L14" i="14"/>
  <c r="K14" i="14"/>
  <c r="I14" i="14"/>
  <c r="H14" i="14"/>
  <c r="G14" i="14"/>
  <c r="F14" i="14"/>
  <c r="E14" i="14"/>
  <c r="D14" i="14"/>
  <c r="C14" i="14"/>
  <c r="B14" i="14"/>
  <c r="BK10" i="14"/>
  <c r="BJ10" i="14"/>
  <c r="BI10" i="14"/>
  <c r="BH10" i="14"/>
  <c r="BG10" i="14"/>
  <c r="BF10" i="14"/>
  <c r="BE10" i="14"/>
  <c r="BD10" i="14"/>
  <c r="BD44" i="14" s="1"/>
  <c r="BE44" i="14" s="1"/>
  <c r="BF44" i="14" s="1"/>
  <c r="BG44" i="14" s="1"/>
  <c r="BH44" i="14" s="1"/>
  <c r="BI44" i="14" s="1"/>
  <c r="BJ44" i="14" s="1"/>
  <c r="BK44" i="14" s="1"/>
  <c r="BB10" i="14"/>
  <c r="BA10" i="14"/>
  <c r="AZ10" i="14"/>
  <c r="AY10" i="14"/>
  <c r="AX10" i="14"/>
  <c r="AW10" i="14"/>
  <c r="AV10" i="14"/>
  <c r="AU10" i="14"/>
  <c r="AU44" i="14" s="1"/>
  <c r="AV44" i="14" s="1"/>
  <c r="AW44" i="14" s="1"/>
  <c r="AX44" i="14" s="1"/>
  <c r="AY44" i="14" s="1"/>
  <c r="AZ44" i="14" s="1"/>
  <c r="BA44" i="14" s="1"/>
  <c r="BB44" i="14" s="1"/>
  <c r="AA10" i="14"/>
  <c r="Z10" i="14"/>
  <c r="Y10" i="14"/>
  <c r="X10" i="14"/>
  <c r="W10" i="14"/>
  <c r="V10" i="14"/>
  <c r="U10" i="14"/>
  <c r="T10" i="14"/>
  <c r="T44" i="14" s="1"/>
  <c r="U44" i="14" s="1"/>
  <c r="V44" i="14" s="1"/>
  <c r="W44" i="14" s="1"/>
  <c r="X44" i="14" s="1"/>
  <c r="Y44" i="14" s="1"/>
  <c r="Z44" i="14" s="1"/>
  <c r="AA44" i="14" s="1"/>
  <c r="R10" i="14"/>
  <c r="Q10" i="14"/>
  <c r="P10" i="14"/>
  <c r="O10" i="14"/>
  <c r="N10" i="14"/>
  <c r="M10" i="14"/>
  <c r="L10" i="14"/>
  <c r="K10" i="14"/>
  <c r="K44" i="14" s="1"/>
  <c r="L44" i="14" s="1"/>
  <c r="M44" i="14" s="1"/>
  <c r="N44" i="14" s="1"/>
  <c r="O44" i="14" s="1"/>
  <c r="P44" i="14" s="1"/>
  <c r="Q44" i="14" s="1"/>
  <c r="R44" i="14" s="1"/>
  <c r="I10" i="14"/>
  <c r="H10" i="14"/>
  <c r="G10" i="14"/>
  <c r="F10" i="14"/>
  <c r="E10" i="14"/>
  <c r="D10" i="14"/>
  <c r="C10" i="14"/>
  <c r="B10" i="14"/>
  <c r="BK7" i="14"/>
  <c r="BJ7" i="14"/>
  <c r="BI7" i="14"/>
  <c r="BH7" i="14"/>
  <c r="BG7" i="14"/>
  <c r="BF7" i="14"/>
  <c r="BE7" i="14"/>
  <c r="BD7" i="14"/>
  <c r="BB7" i="14"/>
  <c r="BA7" i="14"/>
  <c r="AZ7" i="14"/>
  <c r="AY7" i="14"/>
  <c r="AX7" i="14"/>
  <c r="AW7" i="14"/>
  <c r="AV7" i="14"/>
  <c r="AU7" i="14"/>
  <c r="AD7" i="14"/>
  <c r="AE7" i="14" s="1"/>
  <c r="AF7" i="14" s="1"/>
  <c r="AG7" i="14" s="1"/>
  <c r="AH7" i="14" s="1"/>
  <c r="AI7" i="14" s="1"/>
  <c r="AJ7" i="14" s="1"/>
  <c r="AA7" i="14"/>
  <c r="Z7" i="14"/>
  <c r="Y7" i="14"/>
  <c r="X7" i="14"/>
  <c r="W7" i="14"/>
  <c r="V7" i="14"/>
  <c r="U7" i="14"/>
  <c r="T7" i="14"/>
  <c r="R7" i="14"/>
  <c r="Q7" i="14"/>
  <c r="P7" i="14"/>
  <c r="O7" i="14"/>
  <c r="N7" i="14"/>
  <c r="M7" i="14"/>
  <c r="L7" i="14"/>
  <c r="K7" i="14"/>
  <c r="I7" i="14"/>
  <c r="H7" i="14"/>
  <c r="G7" i="14"/>
  <c r="F7" i="14"/>
  <c r="E7" i="14"/>
  <c r="D7" i="14"/>
  <c r="C7" i="14"/>
  <c r="B7" i="14"/>
  <c r="AJ6" i="14"/>
  <c r="AI6" i="14"/>
  <c r="AH6" i="14"/>
  <c r="AG6" i="14"/>
  <c r="AF6" i="14"/>
  <c r="AE6" i="14"/>
  <c r="AD6" i="14"/>
  <c r="AC6" i="14"/>
  <c r="AH4" i="14"/>
  <c r="F4" i="14"/>
  <c r="O4" i="14" s="1"/>
  <c r="X4" i="14" s="1"/>
  <c r="E4" i="14"/>
  <c r="N4" i="14" s="1"/>
  <c r="W4" i="14" s="1"/>
  <c r="D4" i="14"/>
  <c r="B1" i="14"/>
  <c r="AD37" i="14" s="1"/>
  <c r="B22" i="13"/>
  <c r="C22" i="13"/>
  <c r="D22" i="13"/>
  <c r="E22" i="13"/>
  <c r="F22" i="13"/>
  <c r="G22" i="13"/>
  <c r="H22" i="13"/>
  <c r="I22" i="13"/>
  <c r="C1489" i="2"/>
  <c r="D1541" i="2"/>
  <c r="D1546" i="2" s="1"/>
  <c r="N34" i="2"/>
  <c r="O34" i="2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G5" i="10"/>
  <c r="G6" i="10" s="1"/>
  <c r="G7" i="10" s="1"/>
  <c r="G8" i="10"/>
  <c r="G9" i="10" s="1"/>
  <c r="G10" i="10" s="1"/>
  <c r="G11" i="10"/>
  <c r="G12" i="10" s="1"/>
  <c r="G13" i="10" s="1"/>
  <c r="G14" i="10"/>
  <c r="G15" i="10" s="1"/>
  <c r="G16" i="10" s="1"/>
  <c r="G17" i="10"/>
  <c r="G18" i="10" s="1"/>
  <c r="G19" i="10" s="1"/>
  <c r="G20" i="10"/>
  <c r="G21" i="10" s="1"/>
  <c r="G22" i="10" s="1"/>
  <c r="G23" i="10"/>
  <c r="G24" i="10" s="1"/>
  <c r="G25" i="10" s="1"/>
  <c r="G26" i="10"/>
  <c r="G27" i="10" s="1"/>
  <c r="G28" i="10" s="1"/>
  <c r="C7" i="11"/>
  <c r="D7" i="11"/>
  <c r="E7" i="11"/>
  <c r="F7" i="11"/>
  <c r="G7" i="11"/>
  <c r="H7" i="11"/>
  <c r="I7" i="11"/>
  <c r="B1" i="5"/>
  <c r="C1" i="5"/>
  <c r="D1" i="5"/>
  <c r="E1" i="5"/>
  <c r="B1" i="3"/>
  <c r="AD3" i="3" s="1"/>
  <c r="L3" i="3"/>
  <c r="AV3" i="3"/>
  <c r="AV37" i="3" s="1"/>
  <c r="D4" i="3"/>
  <c r="AN4" i="3" s="1"/>
  <c r="D1" i="8" s="1"/>
  <c r="E4" i="3"/>
  <c r="N4" i="3" s="1"/>
  <c r="W4" i="3" s="1"/>
  <c r="F4" i="3"/>
  <c r="AG4" i="3" s="1"/>
  <c r="D2" i="13" s="1"/>
  <c r="AH4" i="3"/>
  <c r="AC6" i="3"/>
  <c r="AD6" i="3"/>
  <c r="AE6" i="3"/>
  <c r="AF6" i="3"/>
  <c r="AG6" i="3"/>
  <c r="AH6" i="3"/>
  <c r="AI6" i="3"/>
  <c r="AJ6" i="3"/>
  <c r="B7" i="3"/>
  <c r="C7" i="3"/>
  <c r="D7" i="3"/>
  <c r="E7" i="3"/>
  <c r="F7" i="3"/>
  <c r="G7" i="3"/>
  <c r="H7" i="3"/>
  <c r="I7" i="3"/>
  <c r="K7" i="3"/>
  <c r="L7" i="3"/>
  <c r="M7" i="3"/>
  <c r="N7" i="3"/>
  <c r="O7" i="3"/>
  <c r="P7" i="3"/>
  <c r="Q7" i="3"/>
  <c r="R7" i="3"/>
  <c r="T7" i="3"/>
  <c r="U7" i="3"/>
  <c r="V7" i="3"/>
  <c r="W7" i="3"/>
  <c r="X7" i="3"/>
  <c r="Y7" i="3"/>
  <c r="Z7" i="3"/>
  <c r="AA7" i="3"/>
  <c r="AD7" i="3"/>
  <c r="AE7" i="3" s="1"/>
  <c r="AF7" i="3" s="1"/>
  <c r="AG7" i="3" s="1"/>
  <c r="AH7" i="3" s="1"/>
  <c r="AI7" i="3" s="1"/>
  <c r="AJ7" i="3" s="1"/>
  <c r="AU7" i="3"/>
  <c r="AV7" i="3"/>
  <c r="AW7" i="3"/>
  <c r="AX7" i="3"/>
  <c r="AY7" i="3"/>
  <c r="AZ7" i="3"/>
  <c r="BA7" i="3"/>
  <c r="BB7" i="3"/>
  <c r="BD7" i="3"/>
  <c r="BE7" i="3"/>
  <c r="BF7" i="3"/>
  <c r="BG7" i="3"/>
  <c r="BH7" i="3"/>
  <c r="BI7" i="3"/>
  <c r="BJ7" i="3"/>
  <c r="BK7" i="3"/>
  <c r="B10" i="3"/>
  <c r="C10" i="3"/>
  <c r="D10" i="3"/>
  <c r="E10" i="3"/>
  <c r="F10" i="3"/>
  <c r="G10" i="3"/>
  <c r="H10" i="3"/>
  <c r="I10" i="3"/>
  <c r="K10" i="3"/>
  <c r="K44" i="3" s="1"/>
  <c r="L44" i="3" s="1"/>
  <c r="M44" i="3" s="1"/>
  <c r="N44" i="3" s="1"/>
  <c r="O44" i="3" s="1"/>
  <c r="P44" i="3" s="1"/>
  <c r="Q44" i="3" s="1"/>
  <c r="R44" i="3" s="1"/>
  <c r="L10" i="3"/>
  <c r="M10" i="3"/>
  <c r="N10" i="3"/>
  <c r="O10" i="3"/>
  <c r="P10" i="3"/>
  <c r="Q10" i="3"/>
  <c r="R10" i="3"/>
  <c r="T10" i="3"/>
  <c r="T44" i="3" s="1"/>
  <c r="U44" i="3" s="1"/>
  <c r="V44" i="3" s="1"/>
  <c r="W44" i="3" s="1"/>
  <c r="X44" i="3" s="1"/>
  <c r="Y44" i="3" s="1"/>
  <c r="Z44" i="3" s="1"/>
  <c r="AA44" i="3" s="1"/>
  <c r="U10" i="3"/>
  <c r="V10" i="3"/>
  <c r="W10" i="3"/>
  <c r="X10" i="3"/>
  <c r="Y10" i="3"/>
  <c r="Z10" i="3"/>
  <c r="AA10" i="3"/>
  <c r="AU10" i="3"/>
  <c r="AU44" i="3" s="1"/>
  <c r="AV44" i="3" s="1"/>
  <c r="AW44" i="3" s="1"/>
  <c r="AX44" i="3" s="1"/>
  <c r="AY44" i="3" s="1"/>
  <c r="AZ44" i="3" s="1"/>
  <c r="BA44" i="3" s="1"/>
  <c r="BB44" i="3" s="1"/>
  <c r="AV10" i="3"/>
  <c r="AW10" i="3"/>
  <c r="AX10" i="3"/>
  <c r="AY10" i="3"/>
  <c r="AZ10" i="3"/>
  <c r="BA10" i="3"/>
  <c r="BB10" i="3"/>
  <c r="BD10" i="3"/>
  <c r="BD44" i="3" s="1"/>
  <c r="BE44" i="3" s="1"/>
  <c r="BF44" i="3" s="1"/>
  <c r="BG44" i="3" s="1"/>
  <c r="BH44" i="3" s="1"/>
  <c r="BI44" i="3" s="1"/>
  <c r="BJ44" i="3" s="1"/>
  <c r="BK44" i="3" s="1"/>
  <c r="BE10" i="3"/>
  <c r="BF10" i="3"/>
  <c r="BG10" i="3"/>
  <c r="BH10" i="3"/>
  <c r="BI10" i="3"/>
  <c r="BJ10" i="3"/>
  <c r="BK10" i="3"/>
  <c r="B14" i="3"/>
  <c r="C31" i="15" s="1"/>
  <c r="C14" i="3"/>
  <c r="D14" i="3"/>
  <c r="E14" i="3"/>
  <c r="F14" i="3"/>
  <c r="G14" i="3"/>
  <c r="H14" i="3"/>
  <c r="I14" i="3"/>
  <c r="K14" i="3"/>
  <c r="L14" i="3"/>
  <c r="M14" i="3"/>
  <c r="N14" i="3"/>
  <c r="O14" i="3"/>
  <c r="P14" i="3"/>
  <c r="Q14" i="3"/>
  <c r="R14" i="3"/>
  <c r="T14" i="3"/>
  <c r="U14" i="3"/>
  <c r="V14" i="3"/>
  <c r="W14" i="3"/>
  <c r="X14" i="3"/>
  <c r="Y14" i="3"/>
  <c r="Z14" i="3"/>
  <c r="AA14" i="3"/>
  <c r="AU14" i="3"/>
  <c r="AV14" i="3"/>
  <c r="AW14" i="3"/>
  <c r="AX14" i="3"/>
  <c r="AY14" i="3"/>
  <c r="AZ14" i="3"/>
  <c r="BA14" i="3"/>
  <c r="BB14" i="3"/>
  <c r="BD14" i="3"/>
  <c r="BE14" i="3"/>
  <c r="BF14" i="3"/>
  <c r="BG14" i="3"/>
  <c r="BH14" i="3"/>
  <c r="BI14" i="3"/>
  <c r="BJ14" i="3"/>
  <c r="BK14" i="3"/>
  <c r="B15" i="3"/>
  <c r="C33" i="15" s="1"/>
  <c r="D33" i="15" s="1"/>
  <c r="E33" i="15" s="1"/>
  <c r="F33" i="15" s="1"/>
  <c r="G33" i="15" s="1"/>
  <c r="H33" i="15" s="1"/>
  <c r="I33" i="15" s="1"/>
  <c r="J33" i="15" s="1"/>
  <c r="C15" i="3"/>
  <c r="D15" i="3"/>
  <c r="E15" i="3"/>
  <c r="F15" i="3"/>
  <c r="G15" i="3"/>
  <c r="H15" i="3"/>
  <c r="I15" i="3"/>
  <c r="K15" i="3"/>
  <c r="L15" i="3"/>
  <c r="M15" i="3"/>
  <c r="N15" i="3"/>
  <c r="O15" i="3"/>
  <c r="P15" i="3"/>
  <c r="Q15" i="3"/>
  <c r="R15" i="3"/>
  <c r="T15" i="3"/>
  <c r="U15" i="3"/>
  <c r="V15" i="3"/>
  <c r="W15" i="3"/>
  <c r="X15" i="3"/>
  <c r="Y15" i="3"/>
  <c r="Z15" i="3"/>
  <c r="AA15" i="3"/>
  <c r="AU15" i="3"/>
  <c r="AV15" i="3"/>
  <c r="AW15" i="3"/>
  <c r="AX15" i="3"/>
  <c r="AY15" i="3"/>
  <c r="AZ15" i="3"/>
  <c r="BA15" i="3"/>
  <c r="BB15" i="3"/>
  <c r="BD15" i="3"/>
  <c r="BE15" i="3"/>
  <c r="BF15" i="3"/>
  <c r="BG15" i="3"/>
  <c r="BH15" i="3"/>
  <c r="BI15" i="3"/>
  <c r="BJ15" i="3"/>
  <c r="BK15" i="3"/>
  <c r="B16" i="3"/>
  <c r="C35" i="15" s="1"/>
  <c r="D35" i="15" s="1"/>
  <c r="E35" i="15" s="1"/>
  <c r="F35" i="15" s="1"/>
  <c r="G35" i="15" s="1"/>
  <c r="H35" i="15" s="1"/>
  <c r="I35" i="15" s="1"/>
  <c r="J35" i="15" s="1"/>
  <c r="C16" i="3"/>
  <c r="D16" i="3"/>
  <c r="E16" i="3"/>
  <c r="F16" i="3"/>
  <c r="G16" i="3"/>
  <c r="H16" i="3"/>
  <c r="I16" i="3"/>
  <c r="K16" i="3"/>
  <c r="L16" i="3"/>
  <c r="M16" i="3"/>
  <c r="N16" i="3"/>
  <c r="O16" i="3"/>
  <c r="P16" i="3"/>
  <c r="Q16" i="3"/>
  <c r="R16" i="3"/>
  <c r="T16" i="3"/>
  <c r="U16" i="3"/>
  <c r="V16" i="3"/>
  <c r="W16" i="3"/>
  <c r="X16" i="3"/>
  <c r="Y16" i="3"/>
  <c r="Z16" i="3"/>
  <c r="AA16" i="3"/>
  <c r="AU16" i="3"/>
  <c r="AV16" i="3"/>
  <c r="AW16" i="3"/>
  <c r="AX16" i="3"/>
  <c r="AY16" i="3"/>
  <c r="AZ16" i="3"/>
  <c r="BA16" i="3"/>
  <c r="BB16" i="3"/>
  <c r="BD16" i="3"/>
  <c r="BE16" i="3"/>
  <c r="BF16" i="3"/>
  <c r="BG16" i="3"/>
  <c r="BH16" i="3"/>
  <c r="BI16" i="3"/>
  <c r="BJ16" i="3"/>
  <c r="BK16" i="3"/>
  <c r="AB18" i="3"/>
  <c r="B19" i="3"/>
  <c r="C19" i="3"/>
  <c r="D41" i="15" s="1"/>
  <c r="D19" i="3"/>
  <c r="E41" i="15" s="1"/>
  <c r="E19" i="3"/>
  <c r="F41" i="15" s="1"/>
  <c r="F19" i="3"/>
  <c r="G41" i="15" s="1"/>
  <c r="G19" i="3"/>
  <c r="H41" i="15" s="1"/>
  <c r="H19" i="3"/>
  <c r="I41" i="15" s="1"/>
  <c r="I19" i="3"/>
  <c r="J41" i="15" s="1"/>
  <c r="K19" i="3"/>
  <c r="L19" i="3"/>
  <c r="M19" i="3"/>
  <c r="N19" i="3"/>
  <c r="O19" i="3"/>
  <c r="P19" i="3"/>
  <c r="Q19" i="3"/>
  <c r="R19" i="3"/>
  <c r="T19" i="3"/>
  <c r="U19" i="3"/>
  <c r="V19" i="3"/>
  <c r="W19" i="3"/>
  <c r="X19" i="3"/>
  <c r="Y19" i="3"/>
  <c r="Z19" i="3"/>
  <c r="AA19" i="3"/>
  <c r="AU19" i="3"/>
  <c r="AV19" i="3"/>
  <c r="AW19" i="3"/>
  <c r="AX19" i="3"/>
  <c r="AY19" i="3"/>
  <c r="AZ19" i="3"/>
  <c r="BA19" i="3"/>
  <c r="BB19" i="3"/>
  <c r="BD19" i="3"/>
  <c r="BE19" i="3"/>
  <c r="BF19" i="3"/>
  <c r="BG19" i="3"/>
  <c r="BH19" i="3"/>
  <c r="BI19" i="3"/>
  <c r="BJ19" i="3"/>
  <c r="BK19" i="3"/>
  <c r="B20" i="3"/>
  <c r="C43" i="15" s="1"/>
  <c r="D43" i="15" s="1"/>
  <c r="E43" i="15" s="1"/>
  <c r="F43" i="15" s="1"/>
  <c r="G43" i="15" s="1"/>
  <c r="H43" i="15" s="1"/>
  <c r="I43" i="15" s="1"/>
  <c r="L43" i="15" s="1"/>
  <c r="AD24" i="3"/>
  <c r="C28" i="3"/>
  <c r="D28" i="3" s="1"/>
  <c r="K28" i="3"/>
  <c r="L28" i="3" s="1"/>
  <c r="T28" i="3"/>
  <c r="U28" i="3" s="1"/>
  <c r="V28" i="3" s="1"/>
  <c r="W28" i="3" s="1"/>
  <c r="X28" i="3" s="1"/>
  <c r="Y28" i="3" s="1"/>
  <c r="Z28" i="3" s="1"/>
  <c r="AA28" i="3" s="1"/>
  <c r="AU28" i="3"/>
  <c r="AG32" i="3"/>
  <c r="C37" i="3"/>
  <c r="AD58" i="3" s="1"/>
  <c r="F37" i="3"/>
  <c r="U37" i="3"/>
  <c r="AH38" i="3"/>
  <c r="N39" i="3"/>
  <c r="W39" i="3"/>
  <c r="AC39" i="3"/>
  <c r="BD39" i="3"/>
  <c r="AC40" i="3"/>
  <c r="AD40" i="3"/>
  <c r="AE40" i="3"/>
  <c r="AF40" i="3"/>
  <c r="AG40" i="3"/>
  <c r="AH40" i="3"/>
  <c r="AI40" i="3"/>
  <c r="AJ40" i="3"/>
  <c r="B41" i="3"/>
  <c r="C41" i="3"/>
  <c r="D41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T41" i="3"/>
  <c r="U41" i="3"/>
  <c r="V41" i="3"/>
  <c r="W41" i="3"/>
  <c r="X41" i="3"/>
  <c r="Y41" i="3"/>
  <c r="Z41" i="3"/>
  <c r="AA41" i="3"/>
  <c r="AC41" i="3"/>
  <c r="AD41" i="3" s="1"/>
  <c r="AE41" i="3" s="1"/>
  <c r="AF41" i="3" s="1"/>
  <c r="AG41" i="3" s="1"/>
  <c r="AH41" i="3" s="1"/>
  <c r="AI41" i="3" s="1"/>
  <c r="AJ41" i="3" s="1"/>
  <c r="AU41" i="3"/>
  <c r="AV41" i="3"/>
  <c r="AW41" i="3"/>
  <c r="AX41" i="3"/>
  <c r="AY41" i="3"/>
  <c r="AZ41" i="3"/>
  <c r="BA41" i="3"/>
  <c r="BB41" i="3"/>
  <c r="BD41" i="3"/>
  <c r="BE41" i="3"/>
  <c r="BF41" i="3"/>
  <c r="BG41" i="3"/>
  <c r="BH41" i="3"/>
  <c r="BI41" i="3"/>
  <c r="BJ41" i="3"/>
  <c r="BK41" i="3"/>
  <c r="B53" i="3"/>
  <c r="M41" i="15" s="1"/>
  <c r="C53" i="3"/>
  <c r="N41" i="15" s="1"/>
  <c r="D53" i="3"/>
  <c r="O41" i="15" s="1"/>
  <c r="E53" i="3"/>
  <c r="P41" i="15" s="1"/>
  <c r="F53" i="3"/>
  <c r="Q41" i="15" s="1"/>
  <c r="G53" i="3"/>
  <c r="R41" i="15" s="1"/>
  <c r="H53" i="3"/>
  <c r="S41" i="15" s="1"/>
  <c r="I53" i="3"/>
  <c r="T41" i="15" s="1"/>
  <c r="K53" i="3"/>
  <c r="BD53" i="3" s="1"/>
  <c r="L53" i="3"/>
  <c r="M53" i="3"/>
  <c r="N53" i="3"/>
  <c r="O53" i="3"/>
  <c r="P53" i="3"/>
  <c r="Q53" i="3"/>
  <c r="R53" i="3"/>
  <c r="T53" i="3"/>
  <c r="U53" i="3"/>
  <c r="V53" i="3"/>
  <c r="W53" i="3"/>
  <c r="X53" i="3"/>
  <c r="Y53" i="3"/>
  <c r="Z53" i="3"/>
  <c r="AA53" i="3"/>
  <c r="AV53" i="3"/>
  <c r="AW53" i="3"/>
  <c r="AX53" i="3"/>
  <c r="AY53" i="3"/>
  <c r="AZ53" i="3"/>
  <c r="BA53" i="3"/>
  <c r="BB53" i="3"/>
  <c r="BE53" i="3"/>
  <c r="BF53" i="3"/>
  <c r="BG53" i="3"/>
  <c r="BH53" i="3"/>
  <c r="BI53" i="3"/>
  <c r="BJ53" i="3"/>
  <c r="BK53" i="3"/>
  <c r="AC54" i="3"/>
  <c r="AB52" i="3" s="1"/>
  <c r="B62" i="3"/>
  <c r="T62" i="3" s="1"/>
  <c r="U62" i="3" s="1"/>
  <c r="V62" i="3" s="1"/>
  <c r="W62" i="3" s="1"/>
  <c r="X62" i="3" s="1"/>
  <c r="Y62" i="3" s="1"/>
  <c r="Z62" i="3" s="1"/>
  <c r="AA62" i="3" s="1"/>
  <c r="AG66" i="3"/>
  <c r="E38" i="14"/>
  <c r="N38" i="14" s="1"/>
  <c r="W38" i="14" s="1"/>
  <c r="C1494" i="2"/>
  <c r="F1541" i="2"/>
  <c r="D215" i="2"/>
  <c r="C2" i="5"/>
  <c r="B2" i="5"/>
  <c r="E346" i="2"/>
  <c r="F361" i="2" s="1"/>
  <c r="B223" i="2"/>
  <c r="C223" i="2"/>
  <c r="D223" i="2"/>
  <c r="F223" i="2"/>
  <c r="G352" i="2"/>
  <c r="H365" i="2" s="1"/>
  <c r="E352" i="2"/>
  <c r="F365" i="2" s="1"/>
  <c r="D100" i="2"/>
  <c r="J513" i="2"/>
  <c r="A111" i="2"/>
  <c r="B111" i="2"/>
  <c r="D5" i="10"/>
  <c r="D6" i="10" s="1"/>
  <c r="D7" i="10" s="1"/>
  <c r="D8" i="10" s="1"/>
  <c r="A112" i="2"/>
  <c r="B112" i="2"/>
  <c r="B113" i="2"/>
  <c r="B114" i="2"/>
  <c r="B115" i="2"/>
  <c r="B116" i="2"/>
  <c r="B117" i="2"/>
  <c r="B118" i="2"/>
  <c r="B119" i="2"/>
  <c r="B120" i="2"/>
  <c r="A122" i="2"/>
  <c r="A202" i="2"/>
  <c r="B202" i="2"/>
  <c r="B204" i="2" s="1"/>
  <c r="C202" i="2"/>
  <c r="C204" i="2" s="1"/>
  <c r="D202" i="2"/>
  <c r="D204" i="2" s="1"/>
  <c r="E202" i="2"/>
  <c r="E204" i="2" s="1"/>
  <c r="F202" i="2"/>
  <c r="F204" i="2" s="1"/>
  <c r="G202" i="2"/>
  <c r="G204" i="2" s="1"/>
  <c r="H202" i="2"/>
  <c r="H204" i="2" s="1"/>
  <c r="I202" i="2"/>
  <c r="I204" i="2" s="1"/>
  <c r="J202" i="2"/>
  <c r="J204" i="2" s="1"/>
  <c r="K202" i="2"/>
  <c r="K204" i="2" s="1"/>
  <c r="D852" i="2"/>
  <c r="E852" i="2"/>
  <c r="F852" i="2"/>
  <c r="G852" i="2"/>
  <c r="C853" i="2"/>
  <c r="D853" i="2"/>
  <c r="E853" i="2"/>
  <c r="F853" i="2"/>
  <c r="G853" i="2"/>
  <c r="B208" i="2"/>
  <c r="E217" i="2"/>
  <c r="F232" i="2" s="1"/>
  <c r="F876" i="2" s="1"/>
  <c r="F1254" i="2" s="1"/>
  <c r="I224" i="2"/>
  <c r="J7" i="11" s="1"/>
  <c r="B227" i="2"/>
  <c r="A235" i="2" s="1"/>
  <c r="C682" i="2" s="1"/>
  <c r="D227" i="2"/>
  <c r="A237" i="2" s="1"/>
  <c r="D682" i="2" s="1"/>
  <c r="E227" i="2"/>
  <c r="A239" i="2" s="1"/>
  <c r="E682" i="2" s="1"/>
  <c r="F227" i="2"/>
  <c r="A241" i="2" s="1"/>
  <c r="F682" i="2" s="1"/>
  <c r="G227" i="2"/>
  <c r="A243" i="2" s="1"/>
  <c r="G682" i="2" s="1"/>
  <c r="H227" i="2"/>
  <c r="A245" i="2" s="1"/>
  <c r="H682" i="2" s="1"/>
  <c r="I227" i="2"/>
  <c r="A247" i="2" s="1"/>
  <c r="I682" i="2" s="1"/>
  <c r="J227" i="2"/>
  <c r="A249" i="2" s="1"/>
  <c r="J682" i="2" s="1"/>
  <c r="B234" i="2"/>
  <c r="C254" i="2" s="1"/>
  <c r="D234" i="2"/>
  <c r="E254" i="2" s="1"/>
  <c r="E234" i="2"/>
  <c r="F254" i="2" s="1"/>
  <c r="F234" i="2"/>
  <c r="G254" i="2" s="1"/>
  <c r="G234" i="2"/>
  <c r="H254" i="2" s="1"/>
  <c r="H234" i="2"/>
  <c r="I254" i="2" s="1"/>
  <c r="I234" i="2"/>
  <c r="J254" i="2" s="1"/>
  <c r="D254" i="2"/>
  <c r="B255" i="2"/>
  <c r="B266" i="2" s="1"/>
  <c r="B277" i="2" s="1"/>
  <c r="B288" i="2" s="1"/>
  <c r="B299" i="2" s="1"/>
  <c r="B310" i="2" s="1"/>
  <c r="B321" i="2" s="1"/>
  <c r="B332" i="2" s="1"/>
  <c r="B256" i="2"/>
  <c r="B267" i="2" s="1"/>
  <c r="B278" i="2" s="1"/>
  <c r="B289" i="2" s="1"/>
  <c r="B300" i="2" s="1"/>
  <c r="B311" i="2" s="1"/>
  <c r="B322" i="2" s="1"/>
  <c r="B333" i="2" s="1"/>
  <c r="B257" i="2"/>
  <c r="B268" i="2" s="1"/>
  <c r="B279" i="2" s="1"/>
  <c r="B290" i="2" s="1"/>
  <c r="B301" i="2" s="1"/>
  <c r="B312" i="2" s="1"/>
  <c r="B323" i="2" s="1"/>
  <c r="B334" i="2" s="1"/>
  <c r="B258" i="2"/>
  <c r="B269" i="2" s="1"/>
  <c r="B280" i="2" s="1"/>
  <c r="B291" i="2" s="1"/>
  <c r="B302" i="2" s="1"/>
  <c r="B313" i="2" s="1"/>
  <c r="B324" i="2" s="1"/>
  <c r="B335" i="2" s="1"/>
  <c r="B259" i="2"/>
  <c r="B270" i="2" s="1"/>
  <c r="B281" i="2" s="1"/>
  <c r="B292" i="2" s="1"/>
  <c r="B303" i="2" s="1"/>
  <c r="B314" i="2" s="1"/>
  <c r="B325" i="2" s="1"/>
  <c r="B336" i="2" s="1"/>
  <c r="B260" i="2"/>
  <c r="B271" i="2" s="1"/>
  <c r="B282" i="2" s="1"/>
  <c r="B293" i="2" s="1"/>
  <c r="B304" i="2" s="1"/>
  <c r="B315" i="2" s="1"/>
  <c r="B326" i="2" s="1"/>
  <c r="B337" i="2" s="1"/>
  <c r="B261" i="2"/>
  <c r="B272" i="2" s="1"/>
  <c r="B283" i="2" s="1"/>
  <c r="B294" i="2" s="1"/>
  <c r="B305" i="2" s="1"/>
  <c r="B316" i="2" s="1"/>
  <c r="B327" i="2" s="1"/>
  <c r="B338" i="2" s="1"/>
  <c r="B262" i="2"/>
  <c r="B273" i="2" s="1"/>
  <c r="B284" i="2" s="1"/>
  <c r="B295" i="2" s="1"/>
  <c r="B306" i="2" s="1"/>
  <c r="B317" i="2" s="1"/>
  <c r="B328" i="2" s="1"/>
  <c r="B339" i="2" s="1"/>
  <c r="B263" i="2"/>
  <c r="B274" i="2" s="1"/>
  <c r="B285" i="2" s="1"/>
  <c r="B296" i="2" s="1"/>
  <c r="B307" i="2" s="1"/>
  <c r="B318" i="2" s="1"/>
  <c r="B329" i="2" s="1"/>
  <c r="B340" i="2" s="1"/>
  <c r="B264" i="2"/>
  <c r="B275" i="2" s="1"/>
  <c r="B286" i="2" s="1"/>
  <c r="B297" i="2" s="1"/>
  <c r="B308" i="2" s="1"/>
  <c r="B319" i="2" s="1"/>
  <c r="B330" i="2" s="1"/>
  <c r="B341" i="2" s="1"/>
  <c r="B342" i="2"/>
  <c r="D352" i="2"/>
  <c r="E365" i="2" s="1"/>
  <c r="I353" i="2"/>
  <c r="B356" i="2"/>
  <c r="A364" i="2" s="1"/>
  <c r="D356" i="2"/>
  <c r="A367" i="2" s="1"/>
  <c r="E356" i="2"/>
  <c r="A370" i="2" s="1"/>
  <c r="F356" i="2"/>
  <c r="A373" i="2" s="1"/>
  <c r="G356" i="2"/>
  <c r="A376" i="2" s="1"/>
  <c r="H356" i="2"/>
  <c r="A379" i="2" s="1"/>
  <c r="I356" i="2"/>
  <c r="A382" i="2" s="1"/>
  <c r="J356" i="2"/>
  <c r="A385" i="2" s="1"/>
  <c r="B363" i="2"/>
  <c r="C391" i="2" s="1"/>
  <c r="D363" i="2"/>
  <c r="E391" i="2" s="1"/>
  <c r="E363" i="2"/>
  <c r="F391" i="2" s="1"/>
  <c r="F363" i="2"/>
  <c r="G391" i="2" s="1"/>
  <c r="G363" i="2"/>
  <c r="H391" i="2" s="1"/>
  <c r="H363" i="2"/>
  <c r="I391" i="2" s="1"/>
  <c r="I363" i="2"/>
  <c r="J391" i="2" s="1"/>
  <c r="D391" i="2"/>
  <c r="B392" i="2"/>
  <c r="B403" i="2" s="1"/>
  <c r="B414" i="2" s="1"/>
  <c r="B425" i="2" s="1"/>
  <c r="B436" i="2" s="1"/>
  <c r="B447" i="2" s="1"/>
  <c r="B458" i="2" s="1"/>
  <c r="B469" i="2" s="1"/>
  <c r="B393" i="2"/>
  <c r="B404" i="2" s="1"/>
  <c r="B415" i="2" s="1"/>
  <c r="B426" i="2" s="1"/>
  <c r="B437" i="2" s="1"/>
  <c r="B448" i="2" s="1"/>
  <c r="B459" i="2" s="1"/>
  <c r="B470" i="2" s="1"/>
  <c r="B394" i="2"/>
  <c r="B405" i="2" s="1"/>
  <c r="B416" i="2" s="1"/>
  <c r="B427" i="2" s="1"/>
  <c r="B438" i="2" s="1"/>
  <c r="B449" i="2" s="1"/>
  <c r="B460" i="2" s="1"/>
  <c r="B471" i="2" s="1"/>
  <c r="B395" i="2"/>
  <c r="B406" i="2" s="1"/>
  <c r="B417" i="2" s="1"/>
  <c r="B428" i="2" s="1"/>
  <c r="B439" i="2" s="1"/>
  <c r="B450" i="2" s="1"/>
  <c r="B461" i="2" s="1"/>
  <c r="B472" i="2" s="1"/>
  <c r="B396" i="2"/>
  <c r="B407" i="2" s="1"/>
  <c r="B418" i="2" s="1"/>
  <c r="B429" i="2" s="1"/>
  <c r="B440" i="2" s="1"/>
  <c r="B451" i="2" s="1"/>
  <c r="B462" i="2" s="1"/>
  <c r="B473" i="2" s="1"/>
  <c r="B397" i="2"/>
  <c r="B408" i="2" s="1"/>
  <c r="B419" i="2" s="1"/>
  <c r="B430" i="2" s="1"/>
  <c r="B441" i="2" s="1"/>
  <c r="B452" i="2" s="1"/>
  <c r="B463" i="2" s="1"/>
  <c r="B474" i="2" s="1"/>
  <c r="B398" i="2"/>
  <c r="B409" i="2" s="1"/>
  <c r="B420" i="2" s="1"/>
  <c r="B431" i="2" s="1"/>
  <c r="B442" i="2" s="1"/>
  <c r="B453" i="2" s="1"/>
  <c r="B464" i="2" s="1"/>
  <c r="B475" i="2" s="1"/>
  <c r="B399" i="2"/>
  <c r="B410" i="2" s="1"/>
  <c r="B421" i="2" s="1"/>
  <c r="B432" i="2" s="1"/>
  <c r="B443" i="2" s="1"/>
  <c r="B454" i="2" s="1"/>
  <c r="B465" i="2" s="1"/>
  <c r="B476" i="2" s="1"/>
  <c r="B400" i="2"/>
  <c r="B411" i="2" s="1"/>
  <c r="B422" i="2" s="1"/>
  <c r="B433" i="2" s="1"/>
  <c r="B444" i="2" s="1"/>
  <c r="B455" i="2" s="1"/>
  <c r="B466" i="2" s="1"/>
  <c r="B477" i="2" s="1"/>
  <c r="B401" i="2"/>
  <c r="B412" i="2" s="1"/>
  <c r="B423" i="2" s="1"/>
  <c r="B434" i="2" s="1"/>
  <c r="B445" i="2" s="1"/>
  <c r="B456" i="2" s="1"/>
  <c r="B467" i="2" s="1"/>
  <c r="B478" i="2" s="1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A511" i="2"/>
  <c r="E513" i="2"/>
  <c r="B524" i="2"/>
  <c r="B534" i="2" s="1"/>
  <c r="B544" i="2" s="1"/>
  <c r="B554" i="2" s="1"/>
  <c r="B564" i="2" s="1"/>
  <c r="B574" i="2" s="1"/>
  <c r="B584" i="2" s="1"/>
  <c r="B525" i="2"/>
  <c r="B535" i="2" s="1"/>
  <c r="B545" i="2" s="1"/>
  <c r="B555" i="2" s="1"/>
  <c r="B565" i="2" s="1"/>
  <c r="B575" i="2" s="1"/>
  <c r="B585" i="2" s="1"/>
  <c r="B526" i="2"/>
  <c r="B536" i="2" s="1"/>
  <c r="B546" i="2" s="1"/>
  <c r="B556" i="2" s="1"/>
  <c r="B566" i="2" s="1"/>
  <c r="B576" i="2" s="1"/>
  <c r="B586" i="2" s="1"/>
  <c r="B527" i="2"/>
  <c r="B537" i="2" s="1"/>
  <c r="B547" i="2" s="1"/>
  <c r="B557" i="2" s="1"/>
  <c r="B567" i="2" s="1"/>
  <c r="B577" i="2" s="1"/>
  <c r="B587" i="2" s="1"/>
  <c r="B528" i="2"/>
  <c r="B538" i="2" s="1"/>
  <c r="B548" i="2" s="1"/>
  <c r="B558" i="2" s="1"/>
  <c r="B568" i="2" s="1"/>
  <c r="B578" i="2" s="1"/>
  <c r="B588" i="2" s="1"/>
  <c r="B529" i="2"/>
  <c r="B539" i="2" s="1"/>
  <c r="B549" i="2" s="1"/>
  <c r="B559" i="2" s="1"/>
  <c r="B569" i="2" s="1"/>
  <c r="B579" i="2" s="1"/>
  <c r="B589" i="2" s="1"/>
  <c r="B530" i="2"/>
  <c r="B540" i="2" s="1"/>
  <c r="B550" i="2" s="1"/>
  <c r="B560" i="2" s="1"/>
  <c r="B570" i="2" s="1"/>
  <c r="B580" i="2" s="1"/>
  <c r="B590" i="2" s="1"/>
  <c r="B531" i="2"/>
  <c r="B541" i="2" s="1"/>
  <c r="B551" i="2" s="1"/>
  <c r="B561" i="2" s="1"/>
  <c r="B571" i="2" s="1"/>
  <c r="B581" i="2" s="1"/>
  <c r="B591" i="2" s="1"/>
  <c r="B532" i="2"/>
  <c r="B542" i="2" s="1"/>
  <c r="B552" i="2" s="1"/>
  <c r="B562" i="2" s="1"/>
  <c r="B572" i="2" s="1"/>
  <c r="B582" i="2" s="1"/>
  <c r="B592" i="2" s="1"/>
  <c r="B533" i="2"/>
  <c r="B543" i="2" s="1"/>
  <c r="B553" i="2" s="1"/>
  <c r="B563" i="2" s="1"/>
  <c r="B573" i="2" s="1"/>
  <c r="B583" i="2" s="1"/>
  <c r="B593" i="2" s="1"/>
  <c r="C683" i="2"/>
  <c r="D683" i="2"/>
  <c r="E683" i="2"/>
  <c r="F683" i="2"/>
  <c r="G683" i="2"/>
  <c r="H683" i="2"/>
  <c r="I683" i="2"/>
  <c r="J683" i="2"/>
  <c r="A684" i="2"/>
  <c r="B684" i="2"/>
  <c r="B705" i="2" s="1"/>
  <c r="A686" i="2"/>
  <c r="B686" i="2"/>
  <c r="B707" i="2" s="1"/>
  <c r="B688" i="2"/>
  <c r="B709" i="2" s="1"/>
  <c r="B690" i="2"/>
  <c r="B711" i="2" s="1"/>
  <c r="B692" i="2"/>
  <c r="B713" i="2" s="1"/>
  <c r="B694" i="2"/>
  <c r="B715" i="2" s="1"/>
  <c r="B696" i="2"/>
  <c r="B717" i="2" s="1"/>
  <c r="B698" i="2"/>
  <c r="B719" i="2" s="1"/>
  <c r="B700" i="2"/>
  <c r="B721" i="2" s="1"/>
  <c r="B702" i="2"/>
  <c r="B723" i="2" s="1"/>
  <c r="A707" i="2"/>
  <c r="C880" i="2"/>
  <c r="D880" i="2"/>
  <c r="E880" i="2"/>
  <c r="G880" i="2"/>
  <c r="H880" i="2"/>
  <c r="F880" i="2"/>
  <c r="I880" i="2"/>
  <c r="D749" i="2"/>
  <c r="J880" i="2"/>
  <c r="C1227" i="2"/>
  <c r="D1227" i="2"/>
  <c r="E1227" i="2"/>
  <c r="F1227" i="2"/>
  <c r="G1227" i="2"/>
  <c r="A878" i="2"/>
  <c r="B891" i="2"/>
  <c r="B901" i="2" s="1"/>
  <c r="B911" i="2" s="1"/>
  <c r="B921" i="2" s="1"/>
  <c r="B931" i="2" s="1"/>
  <c r="B941" i="2" s="1"/>
  <c r="B951" i="2" s="1"/>
  <c r="B892" i="2"/>
  <c r="B902" i="2" s="1"/>
  <c r="B912" i="2" s="1"/>
  <c r="B922" i="2" s="1"/>
  <c r="B932" i="2" s="1"/>
  <c r="B942" i="2" s="1"/>
  <c r="B952" i="2" s="1"/>
  <c r="B893" i="2"/>
  <c r="B903" i="2" s="1"/>
  <c r="B913" i="2" s="1"/>
  <c r="B923" i="2" s="1"/>
  <c r="B933" i="2" s="1"/>
  <c r="B943" i="2" s="1"/>
  <c r="B953" i="2" s="1"/>
  <c r="B894" i="2"/>
  <c r="B904" i="2" s="1"/>
  <c r="B914" i="2" s="1"/>
  <c r="B924" i="2" s="1"/>
  <c r="B934" i="2" s="1"/>
  <c r="B944" i="2" s="1"/>
  <c r="B954" i="2" s="1"/>
  <c r="B895" i="2"/>
  <c r="B905" i="2" s="1"/>
  <c r="B915" i="2" s="1"/>
  <c r="B925" i="2" s="1"/>
  <c r="B935" i="2" s="1"/>
  <c r="B945" i="2" s="1"/>
  <c r="B955" i="2" s="1"/>
  <c r="B896" i="2"/>
  <c r="B906" i="2" s="1"/>
  <c r="B916" i="2" s="1"/>
  <c r="B926" i="2" s="1"/>
  <c r="B936" i="2" s="1"/>
  <c r="B946" i="2" s="1"/>
  <c r="B956" i="2" s="1"/>
  <c r="B897" i="2"/>
  <c r="B907" i="2" s="1"/>
  <c r="B917" i="2" s="1"/>
  <c r="B927" i="2" s="1"/>
  <c r="B937" i="2" s="1"/>
  <c r="B947" i="2" s="1"/>
  <c r="B957" i="2" s="1"/>
  <c r="B898" i="2"/>
  <c r="B908" i="2" s="1"/>
  <c r="B918" i="2" s="1"/>
  <c r="B928" i="2" s="1"/>
  <c r="B938" i="2" s="1"/>
  <c r="B948" i="2" s="1"/>
  <c r="B958" i="2" s="1"/>
  <c r="B899" i="2"/>
  <c r="B909" i="2" s="1"/>
  <c r="B919" i="2" s="1"/>
  <c r="B929" i="2" s="1"/>
  <c r="B939" i="2" s="1"/>
  <c r="B949" i="2" s="1"/>
  <c r="B959" i="2" s="1"/>
  <c r="B900" i="2"/>
  <c r="B910" i="2" s="1"/>
  <c r="B920" i="2" s="1"/>
  <c r="B930" i="2" s="1"/>
  <c r="B940" i="2" s="1"/>
  <c r="B950" i="2" s="1"/>
  <c r="B960" i="2" s="1"/>
  <c r="B976" i="2"/>
  <c r="B986" i="2" s="1"/>
  <c r="B996" i="2" s="1"/>
  <c r="B1006" i="2" s="1"/>
  <c r="B1016" i="2" s="1"/>
  <c r="B1026" i="2" s="1"/>
  <c r="B1036" i="2" s="1"/>
  <c r="B977" i="2"/>
  <c r="B987" i="2" s="1"/>
  <c r="B997" i="2" s="1"/>
  <c r="B1007" i="2" s="1"/>
  <c r="B1017" i="2" s="1"/>
  <c r="B1027" i="2" s="1"/>
  <c r="B1037" i="2" s="1"/>
  <c r="B978" i="2"/>
  <c r="B988" i="2" s="1"/>
  <c r="B998" i="2" s="1"/>
  <c r="B1008" i="2" s="1"/>
  <c r="B1018" i="2" s="1"/>
  <c r="B1028" i="2" s="1"/>
  <c r="B1038" i="2" s="1"/>
  <c r="B979" i="2"/>
  <c r="B989" i="2" s="1"/>
  <c r="B999" i="2" s="1"/>
  <c r="B1009" i="2" s="1"/>
  <c r="B1019" i="2" s="1"/>
  <c r="B1029" i="2" s="1"/>
  <c r="B1039" i="2" s="1"/>
  <c r="B980" i="2"/>
  <c r="B990" i="2" s="1"/>
  <c r="B1000" i="2" s="1"/>
  <c r="B1010" i="2" s="1"/>
  <c r="B1020" i="2" s="1"/>
  <c r="B1030" i="2" s="1"/>
  <c r="B1040" i="2" s="1"/>
  <c r="B981" i="2"/>
  <c r="B991" i="2" s="1"/>
  <c r="B1001" i="2" s="1"/>
  <c r="B1011" i="2" s="1"/>
  <c r="B1021" i="2" s="1"/>
  <c r="B1031" i="2" s="1"/>
  <c r="B1041" i="2" s="1"/>
  <c r="B982" i="2"/>
  <c r="B992" i="2" s="1"/>
  <c r="B1002" i="2" s="1"/>
  <c r="B1012" i="2" s="1"/>
  <c r="B1022" i="2" s="1"/>
  <c r="B1032" i="2" s="1"/>
  <c r="B1042" i="2" s="1"/>
  <c r="B983" i="2"/>
  <c r="B993" i="2" s="1"/>
  <c r="B1003" i="2" s="1"/>
  <c r="B1013" i="2" s="1"/>
  <c r="B1023" i="2" s="1"/>
  <c r="B1033" i="2" s="1"/>
  <c r="B1043" i="2" s="1"/>
  <c r="B984" i="2"/>
  <c r="B994" i="2" s="1"/>
  <c r="B1004" i="2" s="1"/>
  <c r="B1014" i="2" s="1"/>
  <c r="B1024" i="2" s="1"/>
  <c r="B1034" i="2" s="1"/>
  <c r="B1044" i="2" s="1"/>
  <c r="B985" i="2"/>
  <c r="B995" i="2" s="1"/>
  <c r="B1005" i="2" s="1"/>
  <c r="B1015" i="2" s="1"/>
  <c r="B1025" i="2" s="1"/>
  <c r="B1035" i="2" s="1"/>
  <c r="B1045" i="2" s="1"/>
  <c r="C1057" i="2"/>
  <c r="D1057" i="2" s="1"/>
  <c r="A1058" i="2"/>
  <c r="A1060" i="2"/>
  <c r="B1079" i="2"/>
  <c r="A1081" i="2"/>
  <c r="B1081" i="2"/>
  <c r="B1083" i="2"/>
  <c r="B1085" i="2"/>
  <c r="B1087" i="2"/>
  <c r="B1089" i="2"/>
  <c r="B1091" i="2"/>
  <c r="B1093" i="2"/>
  <c r="B1095" i="2"/>
  <c r="B1097" i="2"/>
  <c r="C1258" i="2"/>
  <c r="D1258" i="2"/>
  <c r="E1258" i="2"/>
  <c r="G1258" i="2"/>
  <c r="H1258" i="2"/>
  <c r="F1258" i="2"/>
  <c r="D1123" i="2"/>
  <c r="I1258" i="2"/>
  <c r="D1124" i="2"/>
  <c r="J1258" i="2"/>
  <c r="A1228" i="2"/>
  <c r="B1228" i="2"/>
  <c r="B1229" i="2"/>
  <c r="E1234" i="2"/>
  <c r="F1234" i="2"/>
  <c r="E1235" i="2"/>
  <c r="F1235" i="2"/>
  <c r="E1236" i="2"/>
  <c r="F1236" i="2"/>
  <c r="E1237" i="2"/>
  <c r="F1237" i="2"/>
  <c r="E1238" i="2"/>
  <c r="F1238" i="2"/>
  <c r="E1239" i="2"/>
  <c r="F1239" i="2"/>
  <c r="E1240" i="2"/>
  <c r="F1240" i="2"/>
  <c r="E1241" i="2"/>
  <c r="F1241" i="2"/>
  <c r="E1242" i="2"/>
  <c r="F1242" i="2"/>
  <c r="E1243" i="2"/>
  <c r="F1243" i="2"/>
  <c r="E1244" i="2"/>
  <c r="F1244" i="2"/>
  <c r="E1245" i="2"/>
  <c r="F1245" i="2"/>
  <c r="E1246" i="2"/>
  <c r="F1246" i="2"/>
  <c r="E1247" i="2"/>
  <c r="F1247" i="2"/>
  <c r="E1248" i="2"/>
  <c r="F1248" i="2"/>
  <c r="A1256" i="2"/>
  <c r="A1255" i="2" s="1"/>
  <c r="B1269" i="2"/>
  <c r="B1279" i="2" s="1"/>
  <c r="B1289" i="2" s="1"/>
  <c r="B1299" i="2" s="1"/>
  <c r="B1309" i="2" s="1"/>
  <c r="B1319" i="2" s="1"/>
  <c r="B1329" i="2" s="1"/>
  <c r="B1270" i="2"/>
  <c r="B1280" i="2" s="1"/>
  <c r="B1290" i="2" s="1"/>
  <c r="B1300" i="2" s="1"/>
  <c r="B1310" i="2" s="1"/>
  <c r="B1320" i="2" s="1"/>
  <c r="B1330" i="2" s="1"/>
  <c r="B1271" i="2"/>
  <c r="B1281" i="2" s="1"/>
  <c r="B1291" i="2" s="1"/>
  <c r="B1301" i="2" s="1"/>
  <c r="B1311" i="2" s="1"/>
  <c r="B1321" i="2" s="1"/>
  <c r="B1331" i="2" s="1"/>
  <c r="B1272" i="2"/>
  <c r="B1282" i="2" s="1"/>
  <c r="B1292" i="2" s="1"/>
  <c r="B1302" i="2" s="1"/>
  <c r="B1312" i="2" s="1"/>
  <c r="B1322" i="2" s="1"/>
  <c r="B1332" i="2" s="1"/>
  <c r="B1273" i="2"/>
  <c r="B1283" i="2" s="1"/>
  <c r="B1293" i="2" s="1"/>
  <c r="B1303" i="2" s="1"/>
  <c r="B1313" i="2" s="1"/>
  <c r="B1323" i="2" s="1"/>
  <c r="B1333" i="2" s="1"/>
  <c r="B1274" i="2"/>
  <c r="B1284" i="2" s="1"/>
  <c r="B1294" i="2" s="1"/>
  <c r="B1304" i="2" s="1"/>
  <c r="B1314" i="2" s="1"/>
  <c r="B1324" i="2" s="1"/>
  <c r="B1334" i="2" s="1"/>
  <c r="B1275" i="2"/>
  <c r="B1285" i="2" s="1"/>
  <c r="B1295" i="2" s="1"/>
  <c r="B1305" i="2" s="1"/>
  <c r="B1315" i="2" s="1"/>
  <c r="B1325" i="2" s="1"/>
  <c r="B1335" i="2" s="1"/>
  <c r="B1276" i="2"/>
  <c r="B1286" i="2" s="1"/>
  <c r="B1296" i="2" s="1"/>
  <c r="B1306" i="2" s="1"/>
  <c r="B1316" i="2" s="1"/>
  <c r="B1326" i="2" s="1"/>
  <c r="B1336" i="2" s="1"/>
  <c r="B1277" i="2"/>
  <c r="B1287" i="2" s="1"/>
  <c r="B1297" i="2" s="1"/>
  <c r="B1307" i="2" s="1"/>
  <c r="B1317" i="2" s="1"/>
  <c r="B1327" i="2" s="1"/>
  <c r="B1337" i="2" s="1"/>
  <c r="B1278" i="2"/>
  <c r="B1288" i="2" s="1"/>
  <c r="B1298" i="2" s="1"/>
  <c r="B1308" i="2" s="1"/>
  <c r="B1318" i="2" s="1"/>
  <c r="B1328" i="2" s="1"/>
  <c r="B1338" i="2" s="1"/>
  <c r="B1354" i="2"/>
  <c r="B1364" i="2" s="1"/>
  <c r="B1374" i="2" s="1"/>
  <c r="B1384" i="2" s="1"/>
  <c r="B1394" i="2" s="1"/>
  <c r="B1404" i="2" s="1"/>
  <c r="B1414" i="2" s="1"/>
  <c r="B1355" i="2"/>
  <c r="B1365" i="2" s="1"/>
  <c r="B1375" i="2" s="1"/>
  <c r="B1385" i="2" s="1"/>
  <c r="B1395" i="2" s="1"/>
  <c r="B1405" i="2" s="1"/>
  <c r="B1415" i="2" s="1"/>
  <c r="B1356" i="2"/>
  <c r="B1366" i="2" s="1"/>
  <c r="B1376" i="2" s="1"/>
  <c r="B1386" i="2" s="1"/>
  <c r="B1396" i="2" s="1"/>
  <c r="B1406" i="2" s="1"/>
  <c r="B1416" i="2" s="1"/>
  <c r="B1357" i="2"/>
  <c r="B1367" i="2" s="1"/>
  <c r="B1377" i="2" s="1"/>
  <c r="B1387" i="2" s="1"/>
  <c r="B1397" i="2" s="1"/>
  <c r="B1407" i="2" s="1"/>
  <c r="B1417" i="2" s="1"/>
  <c r="B1358" i="2"/>
  <c r="B1368" i="2" s="1"/>
  <c r="B1378" i="2" s="1"/>
  <c r="B1388" i="2" s="1"/>
  <c r="B1398" i="2" s="1"/>
  <c r="B1408" i="2" s="1"/>
  <c r="B1418" i="2" s="1"/>
  <c r="B1359" i="2"/>
  <c r="B1369" i="2" s="1"/>
  <c r="B1379" i="2" s="1"/>
  <c r="B1389" i="2" s="1"/>
  <c r="B1399" i="2" s="1"/>
  <c r="B1409" i="2" s="1"/>
  <c r="B1419" i="2" s="1"/>
  <c r="B1360" i="2"/>
  <c r="B1370" i="2" s="1"/>
  <c r="B1380" i="2" s="1"/>
  <c r="B1390" i="2" s="1"/>
  <c r="B1400" i="2" s="1"/>
  <c r="B1410" i="2" s="1"/>
  <c r="B1420" i="2" s="1"/>
  <c r="B1361" i="2"/>
  <c r="B1371" i="2" s="1"/>
  <c r="B1381" i="2" s="1"/>
  <c r="B1391" i="2" s="1"/>
  <c r="B1401" i="2" s="1"/>
  <c r="B1411" i="2" s="1"/>
  <c r="B1421" i="2" s="1"/>
  <c r="B1362" i="2"/>
  <c r="B1372" i="2" s="1"/>
  <c r="B1382" i="2" s="1"/>
  <c r="B1392" i="2" s="1"/>
  <c r="B1402" i="2" s="1"/>
  <c r="B1412" i="2" s="1"/>
  <c r="B1422" i="2" s="1"/>
  <c r="B1363" i="2"/>
  <c r="B1373" i="2" s="1"/>
  <c r="B1383" i="2" s="1"/>
  <c r="B1393" i="2" s="1"/>
  <c r="B1403" i="2" s="1"/>
  <c r="B1413" i="2" s="1"/>
  <c r="B1423" i="2" s="1"/>
  <c r="C1432" i="2"/>
  <c r="D1432" i="2"/>
  <c r="E1432" i="2"/>
  <c r="F1432" i="2"/>
  <c r="G1432" i="2"/>
  <c r="H1432" i="2"/>
  <c r="I1432" i="2"/>
  <c r="J1432" i="2"/>
  <c r="A1433" i="2"/>
  <c r="B1433" i="2"/>
  <c r="B1454" i="2" s="1"/>
  <c r="A1435" i="2"/>
  <c r="B1435" i="2"/>
  <c r="B1456" i="2" s="1"/>
  <c r="B1437" i="2"/>
  <c r="B1458" i="2" s="1"/>
  <c r="B1439" i="2"/>
  <c r="B1460" i="2" s="1"/>
  <c r="B1441" i="2"/>
  <c r="B1462" i="2" s="1"/>
  <c r="B1443" i="2"/>
  <c r="B1464" i="2" s="1"/>
  <c r="B1445" i="2"/>
  <c r="B1466" i="2" s="1"/>
  <c r="B1447" i="2"/>
  <c r="B1468" i="2" s="1"/>
  <c r="B1449" i="2"/>
  <c r="B1470" i="2" s="1"/>
  <c r="B1451" i="2"/>
  <c r="B1472" i="2" s="1"/>
  <c r="A1456" i="2"/>
  <c r="A1485" i="2"/>
  <c r="A1502" i="2" s="1"/>
  <c r="A1549" i="2" s="1"/>
  <c r="B1485" i="2"/>
  <c r="B1502" i="2" s="1"/>
  <c r="B1549" i="2" s="1"/>
  <c r="C1485" i="2"/>
  <c r="C1502" i="2" s="1"/>
  <c r="A1540" i="2" s="1"/>
  <c r="A1545" i="2" s="1"/>
  <c r="C1488" i="2"/>
  <c r="K12" i="14" s="1"/>
  <c r="I1490" i="2"/>
  <c r="I1491" i="2"/>
  <c r="I1492" i="2"/>
  <c r="I1493" i="2"/>
  <c r="B1506" i="2"/>
  <c r="C1506" i="2"/>
  <c r="D1506" i="2"/>
  <c r="E1506" i="2"/>
  <c r="F1506" i="2"/>
  <c r="G1506" i="2"/>
  <c r="H1506" i="2"/>
  <c r="I1506" i="2"/>
  <c r="B1523" i="2"/>
  <c r="C1523" i="2"/>
  <c r="D1523" i="2"/>
  <c r="E1523" i="2"/>
  <c r="F1523" i="2"/>
  <c r="G1523" i="2"/>
  <c r="H1523" i="2"/>
  <c r="I1523" i="2"/>
  <c r="D1540" i="2"/>
  <c r="D1545" i="2" s="1"/>
  <c r="AU20" i="3"/>
  <c r="AV20" i="3" s="1"/>
  <c r="AW20" i="3" s="1"/>
  <c r="AX20" i="3" s="1"/>
  <c r="AY20" i="3" s="1"/>
  <c r="AZ20" i="3" s="1"/>
  <c r="BA20" i="3" s="1"/>
  <c r="BB20" i="3" s="1"/>
  <c r="K20" i="3"/>
  <c r="L20" i="3" s="1"/>
  <c r="M20" i="3" s="1"/>
  <c r="N20" i="3" s="1"/>
  <c r="O20" i="3" s="1"/>
  <c r="P20" i="3" s="1"/>
  <c r="Q20" i="3" s="1"/>
  <c r="R20" i="3" s="1"/>
  <c r="AI62" i="14"/>
  <c r="AV56" i="14"/>
  <c r="BD56" i="14"/>
  <c r="AX56" i="14"/>
  <c r="BF56" i="14"/>
  <c r="AY56" i="14"/>
  <c r="BG56" i="14"/>
  <c r="AZ56" i="14"/>
  <c r="BH56" i="14"/>
  <c r="BB56" i="14"/>
  <c r="BJ56" i="14"/>
  <c r="F1" i="5"/>
  <c r="C20" i="3"/>
  <c r="D20" i="3"/>
  <c r="E20" i="3" s="1"/>
  <c r="F20" i="3" s="1"/>
  <c r="G20" i="3" s="1"/>
  <c r="H20" i="3" s="1"/>
  <c r="I20" i="3" s="1"/>
  <c r="D28" i="14"/>
  <c r="AW28" i="14" s="1"/>
  <c r="E19" i="14"/>
  <c r="N19" i="14"/>
  <c r="W19" i="14"/>
  <c r="AX19" i="14"/>
  <c r="BG19" i="14"/>
  <c r="E53" i="14"/>
  <c r="M53" i="14"/>
  <c r="V53" i="14"/>
  <c r="AX53" i="14"/>
  <c r="BJ53" i="14"/>
  <c r="D19" i="14"/>
  <c r="H19" i="14"/>
  <c r="M19" i="14"/>
  <c r="Q19" i="14"/>
  <c r="V19" i="14"/>
  <c r="Z19" i="14"/>
  <c r="AW19" i="14"/>
  <c r="BA19" i="14"/>
  <c r="BF19" i="14"/>
  <c r="BJ19" i="14"/>
  <c r="AD24" i="14"/>
  <c r="C37" i="14"/>
  <c r="AD58" i="14" s="1"/>
  <c r="D53" i="14"/>
  <c r="H53" i="14"/>
  <c r="L53" i="14"/>
  <c r="P53" i="14"/>
  <c r="U53" i="14"/>
  <c r="Y53" i="14"/>
  <c r="AW53" i="14"/>
  <c r="BA53" i="14"/>
  <c r="BG53" i="14"/>
  <c r="BK53" i="14"/>
  <c r="BH53" i="14"/>
  <c r="B19" i="14"/>
  <c r="F19" i="14"/>
  <c r="K19" i="14"/>
  <c r="O19" i="14"/>
  <c r="T19" i="14"/>
  <c r="X19" i="14"/>
  <c r="AU19" i="14"/>
  <c r="AY19" i="14"/>
  <c r="BD19" i="14"/>
  <c r="BH19" i="14"/>
  <c r="U37" i="14"/>
  <c r="B53" i="14"/>
  <c r="F53" i="14"/>
  <c r="N53" i="14"/>
  <c r="R53" i="14"/>
  <c r="W53" i="14"/>
  <c r="AA53" i="14"/>
  <c r="AY53" i="14"/>
  <c r="BE53" i="14"/>
  <c r="AU53" i="14"/>
  <c r="U3" i="3"/>
  <c r="L37" i="3"/>
  <c r="BE3" i="3"/>
  <c r="BE37" i="3" s="1"/>
  <c r="AU53" i="3"/>
  <c r="T20" i="3" l="1"/>
  <c r="U20" i="3" s="1"/>
  <c r="V20" i="3" s="1"/>
  <c r="W20" i="3" s="1"/>
  <c r="X20" i="3" s="1"/>
  <c r="Y20" i="3" s="1"/>
  <c r="Z20" i="3" s="1"/>
  <c r="AA20" i="3" s="1"/>
  <c r="E1343" i="2"/>
  <c r="J1343" i="2"/>
  <c r="D1343" i="2"/>
  <c r="C1343" i="2"/>
  <c r="I1343" i="2"/>
  <c r="F1343" i="2"/>
  <c r="H1343" i="2"/>
  <c r="G1343" i="2"/>
  <c r="G965" i="2"/>
  <c r="E965" i="2"/>
  <c r="D965" i="2"/>
  <c r="J965" i="2"/>
  <c r="C965" i="2"/>
  <c r="I965" i="2"/>
  <c r="F965" i="2"/>
  <c r="H965" i="2"/>
  <c r="A771" i="2"/>
  <c r="A761" i="2"/>
  <c r="A134" i="2"/>
  <c r="A157" i="2" s="1"/>
  <c r="A180" i="2" s="1"/>
  <c r="A760" i="2"/>
  <c r="B774" i="2"/>
  <c r="B797" i="2" s="1"/>
  <c r="B820" i="2" s="1"/>
  <c r="B843" i="2" s="1"/>
  <c r="B787" i="2"/>
  <c r="B810" i="2" s="1"/>
  <c r="B833" i="2" s="1"/>
  <c r="B773" i="2"/>
  <c r="B796" i="2" s="1"/>
  <c r="B819" i="2" s="1"/>
  <c r="B842" i="2" s="1"/>
  <c r="B786" i="2"/>
  <c r="B809" i="2" s="1"/>
  <c r="B832" i="2" s="1"/>
  <c r="B772" i="2"/>
  <c r="B795" i="2" s="1"/>
  <c r="B818" i="2" s="1"/>
  <c r="B841" i="2" s="1"/>
  <c r="B785" i="2"/>
  <c r="B808" i="2" s="1"/>
  <c r="B831" i="2" s="1"/>
  <c r="J598" i="2"/>
  <c r="E598" i="2"/>
  <c r="B125" i="2"/>
  <c r="B148" i="2" s="1"/>
  <c r="B171" i="2" s="1"/>
  <c r="B194" i="2" s="1"/>
  <c r="B138" i="2"/>
  <c r="B161" i="2" s="1"/>
  <c r="B184" i="2" s="1"/>
  <c r="B124" i="2"/>
  <c r="B147" i="2" s="1"/>
  <c r="B170" i="2" s="1"/>
  <c r="B193" i="2" s="1"/>
  <c r="B137" i="2"/>
  <c r="B160" i="2" s="1"/>
  <c r="B183" i="2" s="1"/>
  <c r="A145" i="2"/>
  <c r="A168" i="2" s="1"/>
  <c r="A191" i="2" s="1"/>
  <c r="B123" i="2"/>
  <c r="B146" i="2" s="1"/>
  <c r="B169" i="2" s="1"/>
  <c r="B192" i="2" s="1"/>
  <c r="B136" i="2"/>
  <c r="B159" i="2" s="1"/>
  <c r="B182" i="2" s="1"/>
  <c r="B130" i="2"/>
  <c r="B153" i="2" s="1"/>
  <c r="B176" i="2" s="1"/>
  <c r="B199" i="2" s="1"/>
  <c r="B143" i="2"/>
  <c r="B166" i="2" s="1"/>
  <c r="B189" i="2" s="1"/>
  <c r="B122" i="2"/>
  <c r="B145" i="2" s="1"/>
  <c r="B168" i="2" s="1"/>
  <c r="B191" i="2" s="1"/>
  <c r="B135" i="2"/>
  <c r="B158" i="2" s="1"/>
  <c r="B181" i="2" s="1"/>
  <c r="B129" i="2"/>
  <c r="B152" i="2" s="1"/>
  <c r="B175" i="2" s="1"/>
  <c r="B198" i="2" s="1"/>
  <c r="B142" i="2"/>
  <c r="B165" i="2" s="1"/>
  <c r="B188" i="2" s="1"/>
  <c r="A135" i="2"/>
  <c r="A158" i="2" s="1"/>
  <c r="A181" i="2" s="1"/>
  <c r="B128" i="2"/>
  <c r="B151" i="2" s="1"/>
  <c r="B174" i="2" s="1"/>
  <c r="B197" i="2" s="1"/>
  <c r="B141" i="2"/>
  <c r="B164" i="2" s="1"/>
  <c r="B187" i="2" s="1"/>
  <c r="B127" i="2"/>
  <c r="B150" i="2" s="1"/>
  <c r="B173" i="2" s="1"/>
  <c r="B196" i="2" s="1"/>
  <c r="B140" i="2"/>
  <c r="B163" i="2" s="1"/>
  <c r="B186" i="2" s="1"/>
  <c r="B121" i="2"/>
  <c r="B144" i="2" s="1"/>
  <c r="B167" i="2" s="1"/>
  <c r="B190" i="2" s="1"/>
  <c r="B134" i="2"/>
  <c r="B157" i="2" s="1"/>
  <c r="B180" i="2" s="1"/>
  <c r="B126" i="2"/>
  <c r="B149" i="2" s="1"/>
  <c r="B172" i="2" s="1"/>
  <c r="B195" i="2" s="1"/>
  <c r="B139" i="2"/>
  <c r="B162" i="2" s="1"/>
  <c r="B185" i="2" s="1"/>
  <c r="L28" i="14"/>
  <c r="M28" i="14" s="1"/>
  <c r="BF28" i="14" s="1"/>
  <c r="C1549" i="2"/>
  <c r="H377" i="2"/>
  <c r="H383" i="2"/>
  <c r="H374" i="2"/>
  <c r="D513" i="2"/>
  <c r="C352" i="2"/>
  <c r="C383" i="2" s="1"/>
  <c r="D1055" i="2"/>
  <c r="H513" i="2"/>
  <c r="G223" i="2"/>
  <c r="F513" i="2"/>
  <c r="K62" i="14"/>
  <c r="B45" i="17"/>
  <c r="C45" i="17" s="1"/>
  <c r="D45" i="17" s="1"/>
  <c r="E45" i="17" s="1"/>
  <c r="F45" i="17" s="1"/>
  <c r="G45" i="17" s="1"/>
  <c r="H45" i="17" s="1"/>
  <c r="I45" i="17" s="1"/>
  <c r="B45" i="16"/>
  <c r="C45" i="16" s="1"/>
  <c r="D45" i="16" s="1"/>
  <c r="E45" i="16" s="1"/>
  <c r="F45" i="16" s="1"/>
  <c r="G45" i="16" s="1"/>
  <c r="H45" i="16" s="1"/>
  <c r="I45" i="16" s="1"/>
  <c r="B48" i="3"/>
  <c r="M31" i="15" s="1"/>
  <c r="B49" i="17"/>
  <c r="B49" i="16"/>
  <c r="B50" i="3"/>
  <c r="C50" i="3" s="1"/>
  <c r="D50" i="3" s="1"/>
  <c r="E50" i="3" s="1"/>
  <c r="F50" i="3" s="1"/>
  <c r="G50" i="3" s="1"/>
  <c r="H50" i="3" s="1"/>
  <c r="I50" i="3" s="1"/>
  <c r="B52" i="17"/>
  <c r="B52" i="16"/>
  <c r="B49" i="14"/>
  <c r="K49" i="14" s="1"/>
  <c r="T49" i="14" s="1"/>
  <c r="B51" i="17"/>
  <c r="B51" i="16"/>
  <c r="BJ13" i="17"/>
  <c r="BA13" i="17"/>
  <c r="Z13" i="17"/>
  <c r="Q13" i="17"/>
  <c r="H13" i="17"/>
  <c r="BI13" i="17"/>
  <c r="P13" i="17"/>
  <c r="BH13" i="17"/>
  <c r="O13" i="17"/>
  <c r="AZ13" i="17"/>
  <c r="X13" i="17"/>
  <c r="BG13" i="17"/>
  <c r="AX13" i="17"/>
  <c r="W13" i="17"/>
  <c r="N13" i="17"/>
  <c r="E13" i="17"/>
  <c r="AV13" i="17"/>
  <c r="L13" i="17"/>
  <c r="T13" i="17"/>
  <c r="B13" i="17"/>
  <c r="BF13" i="17"/>
  <c r="AW13" i="17"/>
  <c r="V13" i="17"/>
  <c r="M13" i="17"/>
  <c r="D13" i="17"/>
  <c r="U13" i="17"/>
  <c r="C13" i="17"/>
  <c r="AU13" i="17"/>
  <c r="K13" i="17"/>
  <c r="BE13" i="17"/>
  <c r="BD13" i="17"/>
  <c r="BK13" i="17"/>
  <c r="BB13" i="17"/>
  <c r="AA13" i="17"/>
  <c r="R13" i="17"/>
  <c r="I13" i="17"/>
  <c r="Y13" i="17"/>
  <c r="G13" i="17"/>
  <c r="AY13" i="17"/>
  <c r="F13" i="17"/>
  <c r="P13" i="16"/>
  <c r="I13" i="16"/>
  <c r="BG13" i="16"/>
  <c r="AX13" i="16"/>
  <c r="W13" i="16"/>
  <c r="N13" i="16"/>
  <c r="E13" i="16"/>
  <c r="AV13" i="16"/>
  <c r="L13" i="16"/>
  <c r="AU13" i="16"/>
  <c r="K13" i="16"/>
  <c r="AA13" i="16"/>
  <c r="BF13" i="16"/>
  <c r="AW13" i="16"/>
  <c r="V13" i="16"/>
  <c r="M13" i="16"/>
  <c r="D13" i="16"/>
  <c r="BE13" i="16"/>
  <c r="U13" i="16"/>
  <c r="BD13" i="16"/>
  <c r="T13" i="16"/>
  <c r="B13" i="16"/>
  <c r="BK13" i="16"/>
  <c r="C13" i="16"/>
  <c r="R13" i="16"/>
  <c r="BJ13" i="16"/>
  <c r="BA13" i="16"/>
  <c r="Z13" i="16"/>
  <c r="Q13" i="16"/>
  <c r="H13" i="16"/>
  <c r="BI13" i="16"/>
  <c r="AZ13" i="16"/>
  <c r="Y13" i="16"/>
  <c r="G13" i="16"/>
  <c r="BH13" i="16"/>
  <c r="AY13" i="16"/>
  <c r="X13" i="16"/>
  <c r="O13" i="16"/>
  <c r="F13" i="16"/>
  <c r="BB13" i="16"/>
  <c r="AX12" i="14"/>
  <c r="BE12" i="17"/>
  <c r="AV12" i="17"/>
  <c r="U12" i="17"/>
  <c r="L12" i="17"/>
  <c r="C12" i="17"/>
  <c r="AM16" i="17" s="1"/>
  <c r="BD12" i="17"/>
  <c r="AU12" i="17"/>
  <c r="T12" i="17"/>
  <c r="K12" i="17"/>
  <c r="B12" i="17"/>
  <c r="AL16" i="17" s="1"/>
  <c r="BK12" i="17"/>
  <c r="BB12" i="17"/>
  <c r="AA12" i="17"/>
  <c r="R12" i="17"/>
  <c r="I12" i="17"/>
  <c r="AS16" i="17" s="1"/>
  <c r="BJ12" i="17"/>
  <c r="BA12" i="17"/>
  <c r="Z12" i="17"/>
  <c r="Q12" i="17"/>
  <c r="H12" i="17"/>
  <c r="AR16" i="17" s="1"/>
  <c r="BI12" i="17"/>
  <c r="AZ12" i="17"/>
  <c r="Y12" i="17"/>
  <c r="P12" i="17"/>
  <c r="G12" i="17"/>
  <c r="AQ16" i="17" s="1"/>
  <c r="BH12" i="17"/>
  <c r="AY12" i="17"/>
  <c r="X12" i="17"/>
  <c r="O12" i="17"/>
  <c r="F12" i="17"/>
  <c r="AP16" i="17" s="1"/>
  <c r="BG12" i="17"/>
  <c r="AX12" i="17"/>
  <c r="W12" i="17"/>
  <c r="N12" i="17"/>
  <c r="E12" i="17"/>
  <c r="AO16" i="17" s="1"/>
  <c r="BF12" i="17"/>
  <c r="AW12" i="17"/>
  <c r="V12" i="17"/>
  <c r="M12" i="17"/>
  <c r="D12" i="17"/>
  <c r="AN16" i="17" s="1"/>
  <c r="BG12" i="16"/>
  <c r="AX12" i="16"/>
  <c r="W12" i="16"/>
  <c r="N12" i="16"/>
  <c r="E12" i="16"/>
  <c r="AO16" i="16" s="1"/>
  <c r="AZ12" i="16"/>
  <c r="BF12" i="16"/>
  <c r="AW12" i="16"/>
  <c r="V12" i="16"/>
  <c r="M12" i="16"/>
  <c r="D12" i="16"/>
  <c r="AN16" i="16" s="1"/>
  <c r="BI12" i="16"/>
  <c r="BE12" i="16"/>
  <c r="AV12" i="16"/>
  <c r="U12" i="16"/>
  <c r="L12" i="16"/>
  <c r="C12" i="16"/>
  <c r="AM16" i="16" s="1"/>
  <c r="BD12" i="16"/>
  <c r="AU12" i="16"/>
  <c r="T12" i="16"/>
  <c r="K12" i="16"/>
  <c r="B12" i="16"/>
  <c r="AL16" i="16" s="1"/>
  <c r="G12" i="16"/>
  <c r="AQ16" i="16" s="1"/>
  <c r="BK12" i="16"/>
  <c r="BB12" i="16"/>
  <c r="AA12" i="16"/>
  <c r="R12" i="16"/>
  <c r="I12" i="16"/>
  <c r="AS16" i="16" s="1"/>
  <c r="BJ12" i="16"/>
  <c r="BA12" i="16"/>
  <c r="Z12" i="16"/>
  <c r="Q12" i="16"/>
  <c r="H12" i="16"/>
  <c r="AR16" i="16" s="1"/>
  <c r="Y12" i="16"/>
  <c r="BH12" i="16"/>
  <c r="AY12" i="16"/>
  <c r="X12" i="16"/>
  <c r="O12" i="16"/>
  <c r="F12" i="16"/>
  <c r="AP16" i="16" s="1"/>
  <c r="P12" i="16"/>
  <c r="BD18" i="17"/>
  <c r="AU18" i="17"/>
  <c r="T18" i="17"/>
  <c r="K18" i="17"/>
  <c r="K25" i="17" s="1"/>
  <c r="B18" i="17"/>
  <c r="BK18" i="17"/>
  <c r="BB18" i="17"/>
  <c r="AA18" i="17"/>
  <c r="R18" i="17"/>
  <c r="I18" i="17"/>
  <c r="BJ18" i="17"/>
  <c r="BA18" i="17"/>
  <c r="Z18" i="17"/>
  <c r="Q18" i="17"/>
  <c r="H18" i="17"/>
  <c r="BI18" i="17"/>
  <c r="AZ18" i="17"/>
  <c r="Y18" i="17"/>
  <c r="P18" i="17"/>
  <c r="G18" i="17"/>
  <c r="BH18" i="17"/>
  <c r="AY18" i="17"/>
  <c r="X18" i="17"/>
  <c r="O18" i="17"/>
  <c r="F18" i="17"/>
  <c r="BG18" i="17"/>
  <c r="AX18" i="17"/>
  <c r="W18" i="17"/>
  <c r="N18" i="17"/>
  <c r="E18" i="17"/>
  <c r="BF18" i="17"/>
  <c r="AW18" i="17"/>
  <c r="V18" i="17"/>
  <c r="M18" i="17"/>
  <c r="D18" i="17"/>
  <c r="BE18" i="17"/>
  <c r="AV18" i="17"/>
  <c r="U18" i="17"/>
  <c r="L18" i="17"/>
  <c r="C18" i="17"/>
  <c r="BG18" i="16"/>
  <c r="AX18" i="16"/>
  <c r="W18" i="16"/>
  <c r="N18" i="16"/>
  <c r="E18" i="16"/>
  <c r="Y18" i="16"/>
  <c r="BF18" i="16"/>
  <c r="AW18" i="16"/>
  <c r="V18" i="16"/>
  <c r="M18" i="16"/>
  <c r="D18" i="16"/>
  <c r="AZ18" i="16"/>
  <c r="BE18" i="16"/>
  <c r="AV18" i="16"/>
  <c r="U18" i="16"/>
  <c r="L18" i="16"/>
  <c r="C18" i="16"/>
  <c r="P18" i="16"/>
  <c r="BD18" i="16"/>
  <c r="AU18" i="16"/>
  <c r="T18" i="16"/>
  <c r="K18" i="16"/>
  <c r="B18" i="16"/>
  <c r="BI18" i="16"/>
  <c r="BK18" i="16"/>
  <c r="BB18" i="16"/>
  <c r="AA18" i="16"/>
  <c r="R18" i="16"/>
  <c r="I18" i="16"/>
  <c r="BJ18" i="16"/>
  <c r="BA18" i="16"/>
  <c r="Z18" i="16"/>
  <c r="Q18" i="16"/>
  <c r="H18" i="16"/>
  <c r="BH18" i="16"/>
  <c r="AY18" i="16"/>
  <c r="X18" i="16"/>
  <c r="O18" i="16"/>
  <c r="F18" i="16"/>
  <c r="G18" i="16"/>
  <c r="R21" i="16"/>
  <c r="BJ21" i="16"/>
  <c r="I56" i="16"/>
  <c r="BB29" i="16"/>
  <c r="AV3" i="14"/>
  <c r="AV37" i="14" s="1"/>
  <c r="I19" i="14"/>
  <c r="AZ19" i="14"/>
  <c r="AF4" i="14"/>
  <c r="I12" i="14"/>
  <c r="L3" i="14"/>
  <c r="C19" i="14"/>
  <c r="P19" i="14"/>
  <c r="AA19" i="14"/>
  <c r="BE19" i="14"/>
  <c r="AV53" i="14"/>
  <c r="I53" i="14"/>
  <c r="AZ53" i="14"/>
  <c r="L19" i="14"/>
  <c r="Y19" i="14"/>
  <c r="BB19" i="14"/>
  <c r="T53" i="14"/>
  <c r="A1341" i="2"/>
  <c r="A1340" i="2" s="1"/>
  <c r="B31" i="2"/>
  <c r="D2" i="5"/>
  <c r="T62" i="14"/>
  <c r="U62" i="14" s="1"/>
  <c r="V62" i="14" s="1"/>
  <c r="W62" i="14" s="1"/>
  <c r="X62" i="14" s="1"/>
  <c r="Y62" i="14" s="1"/>
  <c r="Z62" i="14" s="1"/>
  <c r="AA62" i="14" s="1"/>
  <c r="C20" i="14"/>
  <c r="D20" i="14" s="1"/>
  <c r="E20" i="14" s="1"/>
  <c r="F20" i="14" s="1"/>
  <c r="G20" i="14" s="1"/>
  <c r="H20" i="14" s="1"/>
  <c r="I20" i="14" s="1"/>
  <c r="AU20" i="14"/>
  <c r="AV20" i="14" s="1"/>
  <c r="AW20" i="14" s="1"/>
  <c r="AX20" i="14" s="1"/>
  <c r="AY20" i="14" s="1"/>
  <c r="AZ20" i="14" s="1"/>
  <c r="BA20" i="14" s="1"/>
  <c r="BB20" i="14" s="1"/>
  <c r="AU62" i="14"/>
  <c r="AV62" i="14" s="1"/>
  <c r="AW62" i="14" s="1"/>
  <c r="AX62" i="14" s="1"/>
  <c r="AY62" i="14" s="1"/>
  <c r="AZ62" i="14" s="1"/>
  <c r="BA62" i="14" s="1"/>
  <c r="BB62" i="14" s="1"/>
  <c r="K20" i="14"/>
  <c r="D1430" i="2"/>
  <c r="D681" i="2"/>
  <c r="R12" i="14"/>
  <c r="I1494" i="2"/>
  <c r="AW47" i="3" s="1"/>
  <c r="E873" i="2"/>
  <c r="E28" i="14"/>
  <c r="B50" i="14"/>
  <c r="C50" i="14" s="1"/>
  <c r="D50" i="14" s="1"/>
  <c r="E50" i="14" s="1"/>
  <c r="F50" i="14" s="1"/>
  <c r="G50" i="14" s="1"/>
  <c r="H50" i="14" s="1"/>
  <c r="I50" i="14" s="1"/>
  <c r="BD20" i="3"/>
  <c r="BE20" i="3" s="1"/>
  <c r="BF20" i="3" s="1"/>
  <c r="BG20" i="3" s="1"/>
  <c r="BH20" i="3" s="1"/>
  <c r="BI20" i="3" s="1"/>
  <c r="BJ20" i="3" s="1"/>
  <c r="BK20" i="3" s="1"/>
  <c r="B12" i="14"/>
  <c r="AL15" i="14" s="1"/>
  <c r="AX12" i="3"/>
  <c r="L78" i="15"/>
  <c r="AV12" i="3"/>
  <c r="BI12" i="3"/>
  <c r="O12" i="3"/>
  <c r="AV12" i="14"/>
  <c r="BJ12" i="3"/>
  <c r="T12" i="3"/>
  <c r="AA12" i="3"/>
  <c r="W12" i="14"/>
  <c r="BK12" i="14"/>
  <c r="I12" i="3"/>
  <c r="AW12" i="3"/>
  <c r="K54" i="14"/>
  <c r="AU54" i="14"/>
  <c r="AV54" i="14" s="1"/>
  <c r="AW54" i="14" s="1"/>
  <c r="AX54" i="14" s="1"/>
  <c r="AY54" i="14" s="1"/>
  <c r="AZ54" i="14" s="1"/>
  <c r="BA54" i="14" s="1"/>
  <c r="BB54" i="14" s="1"/>
  <c r="C54" i="14"/>
  <c r="D54" i="14" s="1"/>
  <c r="E54" i="14" s="1"/>
  <c r="F54" i="14" s="1"/>
  <c r="G54" i="14" s="1"/>
  <c r="H54" i="14" s="1"/>
  <c r="I54" i="14" s="1"/>
  <c r="X12" i="3"/>
  <c r="G12" i="3"/>
  <c r="BD12" i="3"/>
  <c r="M12" i="14"/>
  <c r="N28" i="14"/>
  <c r="H380" i="2"/>
  <c r="H386" i="2"/>
  <c r="H368" i="2"/>
  <c r="H371" i="2"/>
  <c r="C371" i="2"/>
  <c r="F352" i="2"/>
  <c r="G365" i="2" s="1"/>
  <c r="B54" i="3"/>
  <c r="G53" i="14"/>
  <c r="O53" i="14"/>
  <c r="Z53" i="14"/>
  <c r="BF53" i="14"/>
  <c r="BI53" i="14"/>
  <c r="N177" i="15"/>
  <c r="N175" i="15"/>
  <c r="O172" i="15"/>
  <c r="N106" i="15"/>
  <c r="N107" i="15"/>
  <c r="N105" i="15"/>
  <c r="N261" i="15"/>
  <c r="O235" i="15"/>
  <c r="B211" i="2"/>
  <c r="C357" i="2" s="1"/>
  <c r="F211" i="2"/>
  <c r="E211" i="2"/>
  <c r="C62" i="3"/>
  <c r="D62" i="3" s="1"/>
  <c r="E62" i="3" s="1"/>
  <c r="F62" i="3" s="1"/>
  <c r="G62" i="3" s="1"/>
  <c r="H62" i="3" s="1"/>
  <c r="I62" i="3" s="1"/>
  <c r="C41" i="15"/>
  <c r="B41" i="15"/>
  <c r="J43" i="15"/>
  <c r="D176" i="15"/>
  <c r="E172" i="15"/>
  <c r="D106" i="15"/>
  <c r="D175" i="15"/>
  <c r="D107" i="15"/>
  <c r="D105" i="15"/>
  <c r="D261" i="15"/>
  <c r="E235" i="15"/>
  <c r="G513" i="2"/>
  <c r="C17" i="14"/>
  <c r="Z17" i="14"/>
  <c r="D55" i="15"/>
  <c r="D130" i="15" s="1"/>
  <c r="C53" i="14"/>
  <c r="K53" i="14"/>
  <c r="BD53" i="14" s="1"/>
  <c r="X53" i="14"/>
  <c r="C55" i="15"/>
  <c r="C130" i="15" s="1"/>
  <c r="D95" i="15"/>
  <c r="E112" i="15"/>
  <c r="K1" i="3"/>
  <c r="T1" i="3" s="1"/>
  <c r="AD37" i="3"/>
  <c r="D12" i="3"/>
  <c r="AN15" i="3" s="1"/>
  <c r="Q12" i="14"/>
  <c r="N12" i="14"/>
  <c r="E12" i="3"/>
  <c r="M12" i="3"/>
  <c r="R12" i="3"/>
  <c r="AY12" i="3"/>
  <c r="U12" i="14"/>
  <c r="I1488" i="2"/>
  <c r="Z12" i="14"/>
  <c r="BF12" i="14"/>
  <c r="F12" i="3"/>
  <c r="Q12" i="3"/>
  <c r="BK12" i="3"/>
  <c r="W12" i="3"/>
  <c r="C12" i="14"/>
  <c r="AW12" i="14"/>
  <c r="F38" i="14"/>
  <c r="O38" i="14" s="1"/>
  <c r="X38" i="14" s="1"/>
  <c r="A1229" i="2"/>
  <c r="A705" i="2"/>
  <c r="BE17" i="14"/>
  <c r="H349" i="2"/>
  <c r="G23" i="13"/>
  <c r="G24" i="13" s="1"/>
  <c r="AV28" i="3"/>
  <c r="BD28" i="3"/>
  <c r="K62" i="3"/>
  <c r="L62" i="3" s="1"/>
  <c r="M62" i="3" s="1"/>
  <c r="N62" i="3" s="1"/>
  <c r="O62" i="3" s="1"/>
  <c r="P62" i="3" s="1"/>
  <c r="Q62" i="3" s="1"/>
  <c r="R62" i="3" s="1"/>
  <c r="BH12" i="3"/>
  <c r="AU12" i="14"/>
  <c r="BE12" i="3"/>
  <c r="AZ12" i="14"/>
  <c r="BD12" i="14"/>
  <c r="C12" i="3"/>
  <c r="AM15" i="3" s="1"/>
  <c r="Y12" i="3"/>
  <c r="P12" i="14"/>
  <c r="X12" i="14"/>
  <c r="L12" i="3"/>
  <c r="E12" i="14"/>
  <c r="H12" i="14"/>
  <c r="U12" i="3"/>
  <c r="P12" i="3"/>
  <c r="BJ12" i="14"/>
  <c r="T12" i="14"/>
  <c r="O12" i="14"/>
  <c r="Y12" i="14"/>
  <c r="I1489" i="2"/>
  <c r="G12" i="14"/>
  <c r="AZ12" i="3"/>
  <c r="BG12" i="3"/>
  <c r="F12" i="14"/>
  <c r="BH12" i="14"/>
  <c r="BB12" i="14"/>
  <c r="AY12" i="14"/>
  <c r="V12" i="14"/>
  <c r="D12" i="14"/>
  <c r="N12" i="3"/>
  <c r="V12" i="3"/>
  <c r="BA12" i="3"/>
  <c r="BE12" i="14"/>
  <c r="L12" i="14"/>
  <c r="B12" i="3"/>
  <c r="AL15" i="3" s="1"/>
  <c r="BA12" i="14"/>
  <c r="H12" i="3"/>
  <c r="BF12" i="3"/>
  <c r="AA12" i="14"/>
  <c r="BH13" i="3"/>
  <c r="AX13" i="3"/>
  <c r="AY13" i="3"/>
  <c r="D13" i="3"/>
  <c r="D5" i="13" s="1"/>
  <c r="BK13" i="14"/>
  <c r="AA13" i="14"/>
  <c r="E13" i="14"/>
  <c r="F1545" i="2"/>
  <c r="H1545" i="2" s="1"/>
  <c r="C114" i="15"/>
  <c r="D114" i="15" s="1"/>
  <c r="L96" i="15"/>
  <c r="L241" i="2"/>
  <c r="M241" i="2" s="1"/>
  <c r="L243" i="2"/>
  <c r="M249" i="2" s="1"/>
  <c r="L382" i="2"/>
  <c r="M382" i="2" s="1"/>
  <c r="L376" i="2"/>
  <c r="M376" i="2" s="1"/>
  <c r="L373" i="2"/>
  <c r="M373" i="2" s="1"/>
  <c r="L249" i="2"/>
  <c r="B29" i="2"/>
  <c r="L245" i="2"/>
  <c r="F377" i="2"/>
  <c r="F374" i="2"/>
  <c r="P13" i="14"/>
  <c r="BG13" i="3"/>
  <c r="I223" i="2"/>
  <c r="BG13" i="14"/>
  <c r="BE13" i="14"/>
  <c r="BB13" i="3"/>
  <c r="C211" i="2"/>
  <c r="BI13" i="14"/>
  <c r="AA17" i="14"/>
  <c r="N13" i="3"/>
  <c r="AY13" i="14"/>
  <c r="G13" i="14"/>
  <c r="P13" i="3"/>
  <c r="G13" i="3"/>
  <c r="G5" i="13" s="1"/>
  <c r="AW13" i="3"/>
  <c r="BF13" i="3"/>
  <c r="AU12" i="3"/>
  <c r="Z12" i="3"/>
  <c r="AF38" i="14"/>
  <c r="E38" i="3"/>
  <c r="N38" i="3" s="1"/>
  <c r="W38" i="3" s="1"/>
  <c r="I352" i="2"/>
  <c r="E223" i="2"/>
  <c r="C13" i="14"/>
  <c r="D13" i="14"/>
  <c r="M4" i="3"/>
  <c r="V4" i="3" s="1"/>
  <c r="BF13" i="14"/>
  <c r="D1" i="6"/>
  <c r="BJ13" i="3"/>
  <c r="Y13" i="3"/>
  <c r="R13" i="3"/>
  <c r="K13" i="14"/>
  <c r="L13" i="14"/>
  <c r="K13" i="3"/>
  <c r="AO4" i="14"/>
  <c r="AX4" i="14" s="1"/>
  <c r="BG4" i="14" s="1"/>
  <c r="AO38" i="14"/>
  <c r="AX38" i="14" s="1"/>
  <c r="BG38" i="14" s="1"/>
  <c r="AV13" i="3"/>
  <c r="AW4" i="3"/>
  <c r="BF4" i="3" s="1"/>
  <c r="BD13" i="14"/>
  <c r="D344" i="2"/>
  <c r="BB17" i="3"/>
  <c r="B13" i="3"/>
  <c r="B5" i="13" s="1"/>
  <c r="F13" i="14"/>
  <c r="BK13" i="3"/>
  <c r="BJ17" i="3"/>
  <c r="W13" i="3"/>
  <c r="Q13" i="14"/>
  <c r="X13" i="14"/>
  <c r="AW13" i="14"/>
  <c r="BI13" i="3"/>
  <c r="M13" i="14"/>
  <c r="M13" i="3"/>
  <c r="BB12" i="3"/>
  <c r="K12" i="3"/>
  <c r="AE4" i="3"/>
  <c r="B2" i="13" s="1"/>
  <c r="H1485" i="2"/>
  <c r="B1519" i="2" s="1"/>
  <c r="B1567" i="2" s="1"/>
  <c r="U13" i="3"/>
  <c r="BE13" i="3"/>
  <c r="E13" i="3"/>
  <c r="E5" i="13" s="1"/>
  <c r="O13" i="14"/>
  <c r="O13" i="3"/>
  <c r="R13" i="14"/>
  <c r="BA13" i="14"/>
  <c r="V13" i="3"/>
  <c r="BH13" i="14"/>
  <c r="H13" i="14"/>
  <c r="W13" i="14"/>
  <c r="Y13" i="14"/>
  <c r="B37" i="15"/>
  <c r="B54" i="15" s="1"/>
  <c r="B129" i="15" s="1"/>
  <c r="V17" i="3"/>
  <c r="BI17" i="14"/>
  <c r="BH17" i="3"/>
  <c r="B17" i="3"/>
  <c r="C37" i="15" s="1"/>
  <c r="D37" i="15" s="1"/>
  <c r="E37" i="15" s="1"/>
  <c r="F37" i="15" s="1"/>
  <c r="G37" i="15" s="1"/>
  <c r="H37" i="15" s="1"/>
  <c r="I37" i="15" s="1"/>
  <c r="J37" i="15" s="1"/>
  <c r="BA17" i="14"/>
  <c r="P17" i="14"/>
  <c r="BJ17" i="14"/>
  <c r="I17" i="14"/>
  <c r="BK17" i="3"/>
  <c r="M17" i="3"/>
  <c r="Q17" i="3"/>
  <c r="E17" i="14"/>
  <c r="H17" i="14"/>
  <c r="BK17" i="14"/>
  <c r="L17" i="3"/>
  <c r="N17" i="14"/>
  <c r="AZ17" i="3"/>
  <c r="D17" i="14"/>
  <c r="AV17" i="3"/>
  <c r="AW17" i="3"/>
  <c r="N17" i="3"/>
  <c r="C17" i="3"/>
  <c r="W17" i="14"/>
  <c r="Z17" i="3"/>
  <c r="K17" i="14"/>
  <c r="H17" i="3"/>
  <c r="T17" i="3"/>
  <c r="R17" i="3"/>
  <c r="BB17" i="14"/>
  <c r="F17" i="14"/>
  <c r="F17" i="3"/>
  <c r="L17" i="14"/>
  <c r="Y17" i="14"/>
  <c r="BD17" i="3"/>
  <c r="AA17" i="3"/>
  <c r="AZ17" i="14"/>
  <c r="AY17" i="3"/>
  <c r="G17" i="3"/>
  <c r="D17" i="3"/>
  <c r="BI17" i="3"/>
  <c r="I17" i="3"/>
  <c r="BF17" i="3"/>
  <c r="BG17" i="14"/>
  <c r="AU17" i="3"/>
  <c r="R17" i="14"/>
  <c r="B17" i="14"/>
  <c r="G17" i="14"/>
  <c r="BA17" i="3"/>
  <c r="W17" i="3"/>
  <c r="AW17" i="14"/>
  <c r="AX17" i="14"/>
  <c r="O17" i="14"/>
  <c r="AU17" i="14"/>
  <c r="U17" i="3"/>
  <c r="X17" i="3"/>
  <c r="Y17" i="3"/>
  <c r="X17" i="14"/>
  <c r="BD17" i="14"/>
  <c r="AV17" i="14"/>
  <c r="AN4" i="14"/>
  <c r="AW4" i="14" s="1"/>
  <c r="BF4" i="14" s="1"/>
  <c r="M4" i="14"/>
  <c r="V4" i="14" s="1"/>
  <c r="AE4" i="14"/>
  <c r="Q17" i="14"/>
  <c r="AY17" i="14"/>
  <c r="O17" i="3"/>
  <c r="O2" i="15"/>
  <c r="N232" i="15" s="1"/>
  <c r="D38" i="3"/>
  <c r="C344" i="2"/>
  <c r="E17" i="3"/>
  <c r="U17" i="14"/>
  <c r="BH17" i="14"/>
  <c r="B44" i="3"/>
  <c r="C44" i="3" s="1"/>
  <c r="D44" i="3" s="1"/>
  <c r="E44" i="3" s="1"/>
  <c r="F44" i="3" s="1"/>
  <c r="G44" i="3" s="1"/>
  <c r="H44" i="3" s="1"/>
  <c r="I44" i="3" s="1"/>
  <c r="B44" i="14"/>
  <c r="C44" i="14" s="1"/>
  <c r="D44" i="14" s="1"/>
  <c r="E44" i="14" s="1"/>
  <c r="F44" i="14" s="1"/>
  <c r="G44" i="14" s="1"/>
  <c r="H44" i="14" s="1"/>
  <c r="I44" i="14" s="1"/>
  <c r="F368" i="2"/>
  <c r="F386" i="2"/>
  <c r="F380" i="2"/>
  <c r="F371" i="2"/>
  <c r="F383" i="2"/>
  <c r="AX17" i="3"/>
  <c r="E374" i="2"/>
  <c r="E380" i="2"/>
  <c r="E386" i="2"/>
  <c r="E371" i="2"/>
  <c r="E368" i="2"/>
  <c r="E377" i="2"/>
  <c r="E383" i="2"/>
  <c r="E2" i="5"/>
  <c r="Q2" i="15"/>
  <c r="P232" i="15" s="1"/>
  <c r="A963" i="2"/>
  <c r="A204" i="2"/>
  <c r="A121" i="2"/>
  <c r="I1485" i="2"/>
  <c r="C1519" i="2" s="1"/>
  <c r="E344" i="2"/>
  <c r="A1454" i="2"/>
  <c r="F38" i="3"/>
  <c r="AG38" i="3" s="1"/>
  <c r="A1079" i="2"/>
  <c r="A596" i="2"/>
  <c r="M17" i="14"/>
  <c r="BE17" i="3"/>
  <c r="B49" i="3"/>
  <c r="C49" i="3" s="1"/>
  <c r="D49" i="3" s="1"/>
  <c r="E49" i="3" s="1"/>
  <c r="F49" i="3" s="1"/>
  <c r="G49" i="3" s="1"/>
  <c r="H49" i="3" s="1"/>
  <c r="I49" i="3" s="1"/>
  <c r="P17" i="3"/>
  <c r="V17" i="14"/>
  <c r="E5" i="10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C852" i="2"/>
  <c r="B352" i="2"/>
  <c r="C513" i="2"/>
  <c r="C598" i="2" s="1"/>
  <c r="BG17" i="3"/>
  <c r="F1485" i="2"/>
  <c r="A1519" i="2" s="1"/>
  <c r="A1567" i="2" s="1"/>
  <c r="D38" i="14"/>
  <c r="AE38" i="14" s="1"/>
  <c r="BF17" i="14"/>
  <c r="K17" i="3"/>
  <c r="T17" i="14"/>
  <c r="F1546" i="2"/>
  <c r="H1546" i="2" s="1"/>
  <c r="H1541" i="2"/>
  <c r="E1057" i="2"/>
  <c r="F1057" i="2" s="1"/>
  <c r="G1057" i="2" s="1"/>
  <c r="H1057" i="2" s="1"/>
  <c r="I1057" i="2" s="1"/>
  <c r="J1057" i="2"/>
  <c r="I513" i="2"/>
  <c r="H352" i="2"/>
  <c r="I365" i="2" s="1"/>
  <c r="I380" i="2" s="1"/>
  <c r="H223" i="2"/>
  <c r="L247" i="2"/>
  <c r="H211" i="2"/>
  <c r="G211" i="2"/>
  <c r="I211" i="2"/>
  <c r="I13" i="3"/>
  <c r="I5" i="13" s="1"/>
  <c r="Z13" i="3"/>
  <c r="AZ13" i="14"/>
  <c r="AV13" i="14"/>
  <c r="C13" i="3"/>
  <c r="C5" i="13" s="1"/>
  <c r="Q13" i="3"/>
  <c r="T13" i="14"/>
  <c r="T13" i="3"/>
  <c r="E4" i="11"/>
  <c r="BI12" i="14"/>
  <c r="BG12" i="14"/>
  <c r="L385" i="2"/>
  <c r="M385" i="2" s="1"/>
  <c r="L379" i="2"/>
  <c r="M379" i="2" s="1"/>
  <c r="D3" i="5"/>
  <c r="AG4" i="14"/>
  <c r="K1" i="14"/>
  <c r="T1" i="14" s="1"/>
  <c r="AO4" i="3"/>
  <c r="AP4" i="14"/>
  <c r="AY4" i="14" s="1"/>
  <c r="BH4" i="14" s="1"/>
  <c r="AP4" i="3"/>
  <c r="O4" i="3"/>
  <c r="X4" i="3" s="1"/>
  <c r="AF4" i="3"/>
  <c r="C2" i="13" s="1"/>
  <c r="AD3" i="14"/>
  <c r="D9" i="10"/>
  <c r="AZ13" i="3"/>
  <c r="Z13" i="14"/>
  <c r="X13" i="3"/>
  <c r="H13" i="3"/>
  <c r="H5" i="13" s="1"/>
  <c r="AU13" i="3"/>
  <c r="I13" i="14"/>
  <c r="L13" i="3"/>
  <c r="AU13" i="14"/>
  <c r="V13" i="14"/>
  <c r="BD13" i="3"/>
  <c r="BJ13" i="14"/>
  <c r="AA13" i="3"/>
  <c r="U13" i="14"/>
  <c r="B13" i="14"/>
  <c r="BB13" i="14"/>
  <c r="AX13" i="14"/>
  <c r="F13" i="3"/>
  <c r="BA13" i="3"/>
  <c r="N13" i="14"/>
  <c r="B48" i="14"/>
  <c r="M19" i="15"/>
  <c r="N19" i="15" s="1"/>
  <c r="O19" i="15" s="1"/>
  <c r="P19" i="15" s="1"/>
  <c r="Q19" i="15" s="1"/>
  <c r="R19" i="15" s="1"/>
  <c r="S19" i="15" s="1"/>
  <c r="T19" i="15" s="1"/>
  <c r="L19" i="15"/>
  <c r="L130" i="15" s="1"/>
  <c r="C25" i="15"/>
  <c r="B25" i="15"/>
  <c r="B23" i="15"/>
  <c r="B124" i="15" s="1"/>
  <c r="C23" i="15"/>
  <c r="D23" i="15" s="1"/>
  <c r="E23" i="15" s="1"/>
  <c r="F23" i="15" s="1"/>
  <c r="G23" i="15" s="1"/>
  <c r="F1249" i="2"/>
  <c r="D211" i="2"/>
  <c r="E1249" i="2"/>
  <c r="F873" i="2"/>
  <c r="D31" i="15"/>
  <c r="N31" i="15"/>
  <c r="O31" i="15" s="1"/>
  <c r="O203" i="15"/>
  <c r="N203" i="15"/>
  <c r="R203" i="15"/>
  <c r="B203" i="15"/>
  <c r="B96" i="15"/>
  <c r="I203" i="15"/>
  <c r="M28" i="3"/>
  <c r="BE28" i="3"/>
  <c r="AW28" i="3"/>
  <c r="E28" i="3"/>
  <c r="AU62" i="3"/>
  <c r="AV62" i="3" s="1"/>
  <c r="AW62" i="3" s="1"/>
  <c r="AX62" i="3" s="1"/>
  <c r="AY62" i="3" s="1"/>
  <c r="AZ62" i="3" s="1"/>
  <c r="BA62" i="3" s="1"/>
  <c r="BB62" i="3" s="1"/>
  <c r="M114" i="15"/>
  <c r="M97" i="15" s="1"/>
  <c r="P203" i="15"/>
  <c r="L203" i="15"/>
  <c r="Q203" i="15"/>
  <c r="S203" i="15"/>
  <c r="M203" i="15"/>
  <c r="L90" i="15"/>
  <c r="M93" i="15"/>
  <c r="N110" i="15"/>
  <c r="E203" i="15"/>
  <c r="H203" i="15"/>
  <c r="D203" i="15"/>
  <c r="C96" i="15"/>
  <c r="D113" i="15"/>
  <c r="E113" i="15" s="1"/>
  <c r="C94" i="15"/>
  <c r="C3" i="5"/>
  <c r="F2" i="5"/>
  <c r="E500" i="2"/>
  <c r="L150" i="15"/>
  <c r="M55" i="15"/>
  <c r="D56" i="15"/>
  <c r="E29" i="15"/>
  <c r="P112" i="15"/>
  <c r="O95" i="15"/>
  <c r="D93" i="15"/>
  <c r="E110" i="15"/>
  <c r="M56" i="15"/>
  <c r="N29" i="15"/>
  <c r="T203" i="15"/>
  <c r="C203" i="15"/>
  <c r="F203" i="15"/>
  <c r="L76" i="15"/>
  <c r="G28" i="15"/>
  <c r="E27" i="15"/>
  <c r="L124" i="15"/>
  <c r="C131" i="15"/>
  <c r="L84" i="15"/>
  <c r="N27" i="15"/>
  <c r="G203" i="15"/>
  <c r="J203" i="15"/>
  <c r="N111" i="15"/>
  <c r="M94" i="15"/>
  <c r="L70" i="15"/>
  <c r="N115" i="15"/>
  <c r="M98" i="15"/>
  <c r="N113" i="15"/>
  <c r="M96" i="15"/>
  <c r="B131" i="15"/>
  <c r="E111" i="15"/>
  <c r="D94" i="15"/>
  <c r="E55" i="15"/>
  <c r="E115" i="15"/>
  <c r="D98" i="15"/>
  <c r="N55" i="15"/>
  <c r="O28" i="15"/>
  <c r="AC11" i="14" l="1"/>
  <c r="C97" i="15"/>
  <c r="M35" i="15"/>
  <c r="N35" i="15" s="1"/>
  <c r="O35" i="15" s="1"/>
  <c r="P35" i="15" s="1"/>
  <c r="Q35" i="15" s="1"/>
  <c r="R35" i="15" s="1"/>
  <c r="S35" i="15" s="1"/>
  <c r="T35" i="15" s="1"/>
  <c r="AN15" i="14"/>
  <c r="AA25" i="16"/>
  <c r="L25" i="16"/>
  <c r="L47" i="3"/>
  <c r="O25" i="17"/>
  <c r="BE28" i="14"/>
  <c r="T47" i="14"/>
  <c r="M25" i="15"/>
  <c r="N25" i="15" s="1"/>
  <c r="O25" i="15" s="1"/>
  <c r="I47" i="14"/>
  <c r="A783" i="2"/>
  <c r="A806" i="2" s="1"/>
  <c r="A829" i="2" s="1"/>
  <c r="A1136" i="2"/>
  <c r="A1159" i="2" s="1"/>
  <c r="A1182" i="2" s="1"/>
  <c r="A1205" i="2" s="1"/>
  <c r="A784" i="2"/>
  <c r="A807" i="2" s="1"/>
  <c r="A830" i="2" s="1"/>
  <c r="A1137" i="2"/>
  <c r="A1160" i="2" s="1"/>
  <c r="A1183" i="2" s="1"/>
  <c r="A1206" i="2" s="1"/>
  <c r="A794" i="2"/>
  <c r="A817" i="2" s="1"/>
  <c r="A840" i="2" s="1"/>
  <c r="A1147" i="2"/>
  <c r="A1170" i="2" s="1"/>
  <c r="A1193" i="2" s="1"/>
  <c r="A1216" i="2" s="1"/>
  <c r="A144" i="2"/>
  <c r="A167" i="2" s="1"/>
  <c r="A190" i="2" s="1"/>
  <c r="A770" i="2"/>
  <c r="F598" i="2"/>
  <c r="H598" i="2"/>
  <c r="G598" i="2"/>
  <c r="I598" i="2"/>
  <c r="K25" i="16"/>
  <c r="D598" i="2"/>
  <c r="K50" i="14"/>
  <c r="BD50" i="14" s="1"/>
  <c r="BE50" i="14" s="1"/>
  <c r="BF50" i="14" s="1"/>
  <c r="BG50" i="14" s="1"/>
  <c r="BH50" i="14" s="1"/>
  <c r="BI50" i="14" s="1"/>
  <c r="BJ50" i="14" s="1"/>
  <c r="BK50" i="14" s="1"/>
  <c r="AF38" i="3"/>
  <c r="C377" i="2"/>
  <c r="C365" i="2"/>
  <c r="C386" i="2"/>
  <c r="B357" i="2"/>
  <c r="B228" i="2"/>
  <c r="C228" i="2"/>
  <c r="AU48" i="3"/>
  <c r="AV48" i="3" s="1"/>
  <c r="AW48" i="3" s="1"/>
  <c r="AX48" i="3" s="1"/>
  <c r="AY48" i="3" s="1"/>
  <c r="AZ48" i="3" s="1"/>
  <c r="BA48" i="3" s="1"/>
  <c r="BB48" i="3" s="1"/>
  <c r="AU50" i="3"/>
  <c r="AV50" i="3" s="1"/>
  <c r="AW50" i="3" s="1"/>
  <c r="AX50" i="3" s="1"/>
  <c r="AY50" i="3" s="1"/>
  <c r="AZ50" i="3" s="1"/>
  <c r="BA50" i="3" s="1"/>
  <c r="BB50" i="3" s="1"/>
  <c r="M47" i="14"/>
  <c r="AZ47" i="14"/>
  <c r="G47" i="14"/>
  <c r="AX47" i="3"/>
  <c r="K50" i="3"/>
  <c r="L50" i="3" s="1"/>
  <c r="M50" i="3" s="1"/>
  <c r="N50" i="3" s="1"/>
  <c r="O50" i="3" s="1"/>
  <c r="P50" i="3" s="1"/>
  <c r="Q50" i="3" s="1"/>
  <c r="R50" i="3" s="1"/>
  <c r="Y47" i="3"/>
  <c r="AU50" i="14"/>
  <c r="AV50" i="14" s="1"/>
  <c r="BG47" i="14"/>
  <c r="D47" i="14"/>
  <c r="AZ47" i="3"/>
  <c r="B47" i="14"/>
  <c r="AX47" i="14"/>
  <c r="AA47" i="14"/>
  <c r="BE47" i="14"/>
  <c r="I47" i="3"/>
  <c r="I14" i="13" s="1"/>
  <c r="U25" i="16"/>
  <c r="C48" i="3"/>
  <c r="Q25" i="17"/>
  <c r="K48" i="3"/>
  <c r="BD48" i="3" s="1"/>
  <c r="BE48" i="3" s="1"/>
  <c r="BF48" i="3" s="1"/>
  <c r="BG48" i="3" s="1"/>
  <c r="BH48" i="3" s="1"/>
  <c r="BI48" i="3" s="1"/>
  <c r="BJ48" i="3" s="1"/>
  <c r="BK48" i="3" s="1"/>
  <c r="AU49" i="14"/>
  <c r="AV49" i="14" s="1"/>
  <c r="AW49" i="14" s="1"/>
  <c r="AX49" i="14" s="1"/>
  <c r="AY49" i="14" s="1"/>
  <c r="AZ49" i="14" s="1"/>
  <c r="BA49" i="14" s="1"/>
  <c r="BB49" i="14" s="1"/>
  <c r="AP38" i="14"/>
  <c r="AY38" i="14" s="1"/>
  <c r="BH38" i="14" s="1"/>
  <c r="Z25" i="17"/>
  <c r="R25" i="17"/>
  <c r="E24" i="3"/>
  <c r="AF12" i="3" s="1"/>
  <c r="X25" i="17"/>
  <c r="T25" i="17"/>
  <c r="M33" i="15"/>
  <c r="N33" i="15" s="1"/>
  <c r="O33" i="15" s="1"/>
  <c r="P33" i="15" s="1"/>
  <c r="Q33" i="15" s="1"/>
  <c r="R33" i="15" s="1"/>
  <c r="S33" i="15" s="1"/>
  <c r="T33" i="15" s="1"/>
  <c r="C49" i="14"/>
  <c r="D49" i="14" s="1"/>
  <c r="E49" i="14" s="1"/>
  <c r="F49" i="14" s="1"/>
  <c r="G49" i="14" s="1"/>
  <c r="H49" i="14" s="1"/>
  <c r="I49" i="14" s="1"/>
  <c r="N25" i="16"/>
  <c r="W25" i="17"/>
  <c r="O25" i="16"/>
  <c r="U25" i="17"/>
  <c r="X25" i="16"/>
  <c r="Q25" i="16"/>
  <c r="T25" i="16"/>
  <c r="W25" i="16"/>
  <c r="D89" i="15"/>
  <c r="Y25" i="16"/>
  <c r="D365" i="2"/>
  <c r="C368" i="2"/>
  <c r="C374" i="2"/>
  <c r="C380" i="2"/>
  <c r="BD62" i="14"/>
  <c r="BE62" i="14" s="1"/>
  <c r="BF62" i="14" s="1"/>
  <c r="BG62" i="14" s="1"/>
  <c r="BH62" i="14" s="1"/>
  <c r="BI62" i="14" s="1"/>
  <c r="BJ62" i="14" s="1"/>
  <c r="BK62" i="14" s="1"/>
  <c r="L62" i="14"/>
  <c r="M62" i="14" s="1"/>
  <c r="N62" i="14" s="1"/>
  <c r="O62" i="14" s="1"/>
  <c r="P62" i="14" s="1"/>
  <c r="Q62" i="14" s="1"/>
  <c r="R62" i="14" s="1"/>
  <c r="AU52" i="16"/>
  <c r="AV52" i="16" s="1"/>
  <c r="AW52" i="16" s="1"/>
  <c r="AX52" i="16" s="1"/>
  <c r="AY52" i="16" s="1"/>
  <c r="AZ52" i="16" s="1"/>
  <c r="BA52" i="16" s="1"/>
  <c r="BB52" i="16" s="1"/>
  <c r="C52" i="16"/>
  <c r="D52" i="16" s="1"/>
  <c r="E52" i="16" s="1"/>
  <c r="F52" i="16" s="1"/>
  <c r="G52" i="16" s="1"/>
  <c r="H52" i="16" s="1"/>
  <c r="I52" i="16" s="1"/>
  <c r="K52" i="16"/>
  <c r="AU49" i="17"/>
  <c r="AV49" i="17" s="1"/>
  <c r="AW49" i="17" s="1"/>
  <c r="AX49" i="17" s="1"/>
  <c r="AY49" i="17" s="1"/>
  <c r="AZ49" i="17" s="1"/>
  <c r="BA49" i="17" s="1"/>
  <c r="BB49" i="17" s="1"/>
  <c r="C49" i="17"/>
  <c r="D49" i="17" s="1"/>
  <c r="E49" i="17" s="1"/>
  <c r="F49" i="17" s="1"/>
  <c r="G49" i="17" s="1"/>
  <c r="H49" i="17" s="1"/>
  <c r="I49" i="17" s="1"/>
  <c r="K49" i="17"/>
  <c r="C51" i="16"/>
  <c r="D51" i="16" s="1"/>
  <c r="E51" i="16" s="1"/>
  <c r="F51" i="16" s="1"/>
  <c r="G51" i="16" s="1"/>
  <c r="H51" i="16" s="1"/>
  <c r="I51" i="16" s="1"/>
  <c r="K51" i="16"/>
  <c r="AU51" i="16"/>
  <c r="AV51" i="16" s="1"/>
  <c r="AW51" i="16" s="1"/>
  <c r="AX51" i="16" s="1"/>
  <c r="AY51" i="16" s="1"/>
  <c r="AZ51" i="16" s="1"/>
  <c r="BA51" i="16" s="1"/>
  <c r="BB51" i="16" s="1"/>
  <c r="AU52" i="17"/>
  <c r="AV52" i="17" s="1"/>
  <c r="AW52" i="17" s="1"/>
  <c r="AX52" i="17" s="1"/>
  <c r="AY52" i="17" s="1"/>
  <c r="AZ52" i="17" s="1"/>
  <c r="BA52" i="17" s="1"/>
  <c r="BB52" i="17" s="1"/>
  <c r="K52" i="17"/>
  <c r="C52" i="17"/>
  <c r="D52" i="17" s="1"/>
  <c r="E52" i="17" s="1"/>
  <c r="F52" i="17" s="1"/>
  <c r="G52" i="17" s="1"/>
  <c r="H52" i="17" s="1"/>
  <c r="I52" i="17" s="1"/>
  <c r="AU51" i="17"/>
  <c r="AV51" i="17" s="1"/>
  <c r="AW51" i="17" s="1"/>
  <c r="AX51" i="17" s="1"/>
  <c r="AY51" i="17" s="1"/>
  <c r="AZ51" i="17" s="1"/>
  <c r="BA51" i="17" s="1"/>
  <c r="BB51" i="17" s="1"/>
  <c r="C51" i="17"/>
  <c r="D51" i="17" s="1"/>
  <c r="E51" i="17" s="1"/>
  <c r="F51" i="17" s="1"/>
  <c r="G51" i="17" s="1"/>
  <c r="H51" i="17" s="1"/>
  <c r="I51" i="17" s="1"/>
  <c r="K51" i="17"/>
  <c r="C49" i="16"/>
  <c r="D49" i="16" s="1"/>
  <c r="E49" i="16" s="1"/>
  <c r="F49" i="16" s="1"/>
  <c r="G49" i="16" s="1"/>
  <c r="H49" i="16" s="1"/>
  <c r="I49" i="16" s="1"/>
  <c r="K49" i="16"/>
  <c r="AU49" i="16"/>
  <c r="AV49" i="16" s="1"/>
  <c r="AW49" i="16" s="1"/>
  <c r="AX49" i="16" s="1"/>
  <c r="AY49" i="16" s="1"/>
  <c r="AZ49" i="16" s="1"/>
  <c r="BA49" i="16" s="1"/>
  <c r="BB49" i="16" s="1"/>
  <c r="BB25" i="16"/>
  <c r="M25" i="16"/>
  <c r="M25" i="17"/>
  <c r="AA24" i="14"/>
  <c r="AE11" i="14"/>
  <c r="L25" i="17"/>
  <c r="Y25" i="17"/>
  <c r="Z25" i="16"/>
  <c r="AA25" i="17"/>
  <c r="F47" i="3"/>
  <c r="F14" i="13" s="1"/>
  <c r="BD48" i="17"/>
  <c r="AU48" i="17"/>
  <c r="T48" i="17"/>
  <c r="K48" i="17"/>
  <c r="B48" i="17"/>
  <c r="BB48" i="17"/>
  <c r="BK48" i="17"/>
  <c r="AA48" i="17"/>
  <c r="I48" i="17"/>
  <c r="BJ48" i="17"/>
  <c r="BA48" i="17"/>
  <c r="Z48" i="17"/>
  <c r="Q48" i="17"/>
  <c r="H48" i="17"/>
  <c r="BI48" i="17"/>
  <c r="AZ48" i="17"/>
  <c r="Y48" i="17"/>
  <c r="P48" i="17"/>
  <c r="G48" i="17"/>
  <c r="W48" i="17"/>
  <c r="BH48" i="17"/>
  <c r="AY48" i="17"/>
  <c r="X48" i="17"/>
  <c r="O48" i="17"/>
  <c r="F48" i="17"/>
  <c r="AX48" i="17"/>
  <c r="BG48" i="17"/>
  <c r="N48" i="17"/>
  <c r="E48" i="17"/>
  <c r="BF48" i="17"/>
  <c r="AW48" i="17"/>
  <c r="V48" i="17"/>
  <c r="M48" i="17"/>
  <c r="D48" i="17"/>
  <c r="BE48" i="17"/>
  <c r="AV48" i="17"/>
  <c r="U48" i="17"/>
  <c r="L48" i="17"/>
  <c r="C48" i="17"/>
  <c r="R48" i="17"/>
  <c r="BI48" i="16"/>
  <c r="AZ48" i="16"/>
  <c r="Y48" i="16"/>
  <c r="P48" i="16"/>
  <c r="G48" i="16"/>
  <c r="BH48" i="16"/>
  <c r="O48" i="16"/>
  <c r="AA48" i="16"/>
  <c r="BG48" i="16"/>
  <c r="AX48" i="16"/>
  <c r="W48" i="16"/>
  <c r="N48" i="16"/>
  <c r="E48" i="16"/>
  <c r="BD48" i="16"/>
  <c r="K48" i="16"/>
  <c r="R48" i="16"/>
  <c r="I48" i="16"/>
  <c r="BF48" i="16"/>
  <c r="AW48" i="16"/>
  <c r="V48" i="16"/>
  <c r="M48" i="16"/>
  <c r="D48" i="16"/>
  <c r="T48" i="16"/>
  <c r="B48" i="16"/>
  <c r="BB48" i="16"/>
  <c r="BE48" i="16"/>
  <c r="AV48" i="16"/>
  <c r="U48" i="16"/>
  <c r="L48" i="16"/>
  <c r="C48" i="16"/>
  <c r="AU48" i="16"/>
  <c r="BJ48" i="16"/>
  <c r="BA48" i="16"/>
  <c r="Z48" i="16"/>
  <c r="Q48" i="16"/>
  <c r="H48" i="16"/>
  <c r="AY48" i="16"/>
  <c r="X48" i="16"/>
  <c r="F48" i="16"/>
  <c r="BK48" i="16"/>
  <c r="N25" i="17"/>
  <c r="R25" i="16"/>
  <c r="P25" i="17"/>
  <c r="P25" i="16"/>
  <c r="AU25" i="17"/>
  <c r="V25" i="16"/>
  <c r="V25" i="17"/>
  <c r="M23" i="15"/>
  <c r="M88" i="15" s="1"/>
  <c r="B47" i="17"/>
  <c r="B47" i="16"/>
  <c r="AU42" i="14"/>
  <c r="AV42" i="14" s="1"/>
  <c r="AW42" i="14" s="1"/>
  <c r="AX42" i="14" s="1"/>
  <c r="AY42" i="14" s="1"/>
  <c r="AZ42" i="14" s="1"/>
  <c r="BA42" i="14" s="1"/>
  <c r="BB42" i="14" s="1"/>
  <c r="AU43" i="17"/>
  <c r="AV43" i="17" s="1"/>
  <c r="AW43" i="17" s="1"/>
  <c r="AX43" i="17" s="1"/>
  <c r="AY43" i="17" s="1"/>
  <c r="AZ43" i="17" s="1"/>
  <c r="BA43" i="17" s="1"/>
  <c r="BB43" i="17" s="1"/>
  <c r="AU43" i="16"/>
  <c r="AV43" i="16" s="1"/>
  <c r="AW43" i="16" s="1"/>
  <c r="AX43" i="16" s="1"/>
  <c r="AY43" i="16" s="1"/>
  <c r="AZ43" i="16" s="1"/>
  <c r="BA43" i="16" s="1"/>
  <c r="BB43" i="16" s="1"/>
  <c r="BD43" i="17"/>
  <c r="BE43" i="17" s="1"/>
  <c r="BF43" i="17" s="1"/>
  <c r="BG43" i="17" s="1"/>
  <c r="BH43" i="17" s="1"/>
  <c r="BI43" i="17" s="1"/>
  <c r="BJ43" i="17" s="1"/>
  <c r="BK43" i="17" s="1"/>
  <c r="BD43" i="16"/>
  <c r="BE43" i="16" s="1"/>
  <c r="BF43" i="16" s="1"/>
  <c r="BG43" i="16" s="1"/>
  <c r="BH43" i="16" s="1"/>
  <c r="BI43" i="16" s="1"/>
  <c r="BJ43" i="16" s="1"/>
  <c r="BK43" i="16" s="1"/>
  <c r="B51" i="14"/>
  <c r="C51" i="14" s="1"/>
  <c r="D51" i="14" s="1"/>
  <c r="E51" i="14" s="1"/>
  <c r="F51" i="14" s="1"/>
  <c r="B53" i="17"/>
  <c r="B53" i="16"/>
  <c r="B25" i="16"/>
  <c r="AC12" i="16" s="1"/>
  <c r="AC11" i="16"/>
  <c r="AL13" i="16"/>
  <c r="BJ25" i="16"/>
  <c r="AV25" i="16"/>
  <c r="AO13" i="17"/>
  <c r="E25" i="17"/>
  <c r="AF12" i="17" s="1"/>
  <c r="AF11" i="17"/>
  <c r="AY25" i="17"/>
  <c r="BK25" i="17"/>
  <c r="BD8" i="14"/>
  <c r="BD9" i="14" s="1"/>
  <c r="BD8" i="17"/>
  <c r="BD8" i="16"/>
  <c r="BB25" i="17"/>
  <c r="AS13" i="16"/>
  <c r="I25" i="16"/>
  <c r="AJ12" i="16" s="1"/>
  <c r="AJ11" i="16"/>
  <c r="BE25" i="16"/>
  <c r="AO13" i="16"/>
  <c r="E25" i="16"/>
  <c r="AF12" i="16" s="1"/>
  <c r="AF11" i="16"/>
  <c r="AV25" i="17"/>
  <c r="BH25" i="17"/>
  <c r="AC11" i="17"/>
  <c r="B25" i="17"/>
  <c r="AC12" i="17" s="1"/>
  <c r="AL13" i="17"/>
  <c r="AY25" i="16"/>
  <c r="AU25" i="16"/>
  <c r="AZ25" i="16"/>
  <c r="BE25" i="17"/>
  <c r="G25" i="17"/>
  <c r="AH12" i="17" s="1"/>
  <c r="AQ13" i="17"/>
  <c r="AH11" i="17"/>
  <c r="BA25" i="17"/>
  <c r="AP13" i="16"/>
  <c r="F25" i="16"/>
  <c r="AG12" i="16" s="1"/>
  <c r="AG11" i="16"/>
  <c r="BH25" i="16"/>
  <c r="BD25" i="16"/>
  <c r="AE11" i="16"/>
  <c r="D25" i="16"/>
  <c r="AE12" i="16" s="1"/>
  <c r="AN13" i="16"/>
  <c r="AN13" i="17"/>
  <c r="D25" i="17"/>
  <c r="AE12" i="17" s="1"/>
  <c r="AE11" i="17"/>
  <c r="AX25" i="17"/>
  <c r="BJ25" i="17"/>
  <c r="BA25" i="16"/>
  <c r="AR13" i="16"/>
  <c r="H25" i="16"/>
  <c r="AI12" i="16" s="1"/>
  <c r="AI11" i="16"/>
  <c r="AX25" i="16"/>
  <c r="BG25" i="17"/>
  <c r="AS13" i="17"/>
  <c r="I25" i="17"/>
  <c r="AJ12" i="17" s="1"/>
  <c r="AJ11" i="17"/>
  <c r="BF25" i="16"/>
  <c r="BF25" i="17"/>
  <c r="H25" i="17"/>
  <c r="AI12" i="17" s="1"/>
  <c r="AR13" i="17"/>
  <c r="AI11" i="17"/>
  <c r="BK25" i="16"/>
  <c r="AM13" i="16"/>
  <c r="AD11" i="16"/>
  <c r="C25" i="16"/>
  <c r="AD12" i="16" s="1"/>
  <c r="BG25" i="16"/>
  <c r="AP13" i="17"/>
  <c r="F25" i="17"/>
  <c r="AG12" i="17" s="1"/>
  <c r="AG11" i="17"/>
  <c r="AZ25" i="17"/>
  <c r="BD25" i="17"/>
  <c r="G25" i="16"/>
  <c r="AH12" i="16" s="1"/>
  <c r="AQ13" i="16"/>
  <c r="AH11" i="16"/>
  <c r="BI25" i="16"/>
  <c r="AW25" i="16"/>
  <c r="C25" i="17"/>
  <c r="AD12" i="17" s="1"/>
  <c r="AM13" i="17"/>
  <c r="AD11" i="17"/>
  <c r="AW25" i="17"/>
  <c r="BI25" i="17"/>
  <c r="BK21" i="16"/>
  <c r="C47" i="14"/>
  <c r="BD47" i="14"/>
  <c r="AU47" i="14"/>
  <c r="AO38" i="3"/>
  <c r="AX38" i="3" s="1"/>
  <c r="BG38" i="3" s="1"/>
  <c r="AY47" i="3"/>
  <c r="BI47" i="14"/>
  <c r="W47" i="3"/>
  <c r="C24" i="14"/>
  <c r="AD12" i="14" s="1"/>
  <c r="AM15" i="14"/>
  <c r="U3" i="14"/>
  <c r="L37" i="14"/>
  <c r="BE3" i="14"/>
  <c r="BE37" i="14" s="1"/>
  <c r="B51" i="3"/>
  <c r="C51" i="3" s="1"/>
  <c r="D51" i="3" s="1"/>
  <c r="BD20" i="14"/>
  <c r="BE20" i="14" s="1"/>
  <c r="BF20" i="14" s="1"/>
  <c r="BG20" i="14" s="1"/>
  <c r="BH20" i="14" s="1"/>
  <c r="BI20" i="14" s="1"/>
  <c r="BJ20" i="14" s="1"/>
  <c r="BK20" i="14" s="1"/>
  <c r="L20" i="14"/>
  <c r="M20" i="14" s="1"/>
  <c r="N20" i="14" s="1"/>
  <c r="O20" i="14" s="1"/>
  <c r="P20" i="14" s="1"/>
  <c r="Q20" i="14" s="1"/>
  <c r="R20" i="14" s="1"/>
  <c r="T20" i="14"/>
  <c r="U20" i="14" s="1"/>
  <c r="V20" i="14" s="1"/>
  <c r="W20" i="14" s="1"/>
  <c r="X20" i="14" s="1"/>
  <c r="Y20" i="14" s="1"/>
  <c r="Z20" i="14" s="1"/>
  <c r="AA20" i="14" s="1"/>
  <c r="BF47" i="14"/>
  <c r="E47" i="14"/>
  <c r="P47" i="14"/>
  <c r="O47" i="14"/>
  <c r="V47" i="3"/>
  <c r="U47" i="3"/>
  <c r="AV47" i="14"/>
  <c r="BF47" i="3"/>
  <c r="V47" i="14"/>
  <c r="R47" i="3"/>
  <c r="R47" i="14"/>
  <c r="B47" i="3"/>
  <c r="B14" i="13" s="1"/>
  <c r="BJ47" i="3"/>
  <c r="X47" i="3"/>
  <c r="AY47" i="14"/>
  <c r="P47" i="3"/>
  <c r="Q47" i="3"/>
  <c r="O47" i="3"/>
  <c r="AA47" i="3"/>
  <c r="D47" i="3"/>
  <c r="D14" i="13" s="1"/>
  <c r="Z47" i="3"/>
  <c r="AW47" i="14"/>
  <c r="BJ47" i="14"/>
  <c r="L25" i="15"/>
  <c r="L251" i="15" s="1"/>
  <c r="Q47" i="14"/>
  <c r="BK47" i="3"/>
  <c r="BG47" i="3"/>
  <c r="AU47" i="3"/>
  <c r="BD47" i="3"/>
  <c r="K47" i="3"/>
  <c r="BK47" i="14"/>
  <c r="F47" i="14"/>
  <c r="BE47" i="3"/>
  <c r="M47" i="3"/>
  <c r="BI47" i="3"/>
  <c r="BH47" i="14"/>
  <c r="H47" i="3"/>
  <c r="H14" i="13" s="1"/>
  <c r="AV47" i="3"/>
  <c r="X47" i="14"/>
  <c r="G47" i="3"/>
  <c r="G14" i="13" s="1"/>
  <c r="BA47" i="3"/>
  <c r="Z47" i="14"/>
  <c r="BH47" i="3"/>
  <c r="N47" i="14"/>
  <c r="BB47" i="3"/>
  <c r="H47" i="14"/>
  <c r="L47" i="14"/>
  <c r="BB47" i="14"/>
  <c r="U47" i="14"/>
  <c r="K47" i="14"/>
  <c r="E47" i="3"/>
  <c r="E14" i="13" s="1"/>
  <c r="W47" i="14"/>
  <c r="Y47" i="14"/>
  <c r="C47" i="3"/>
  <c r="C14" i="13" s="1"/>
  <c r="T47" i="3"/>
  <c r="N47" i="3"/>
  <c r="BA47" i="14"/>
  <c r="AX28" i="14"/>
  <c r="F28" i="14"/>
  <c r="E3" i="5"/>
  <c r="AO15" i="14"/>
  <c r="G383" i="2"/>
  <c r="G368" i="2"/>
  <c r="G371" i="2"/>
  <c r="G380" i="2"/>
  <c r="G386" i="2"/>
  <c r="G374" i="2"/>
  <c r="G377" i="2"/>
  <c r="E176" i="15"/>
  <c r="E106" i="15"/>
  <c r="F172" i="15"/>
  <c r="E177" i="15"/>
  <c r="E107" i="15"/>
  <c r="E105" i="15"/>
  <c r="E175" i="15"/>
  <c r="E95" i="15"/>
  <c r="F112" i="15"/>
  <c r="P235" i="15"/>
  <c r="O261" i="15"/>
  <c r="F235" i="15"/>
  <c r="E261" i="15"/>
  <c r="O107" i="15"/>
  <c r="O105" i="15"/>
  <c r="O176" i="15"/>
  <c r="P172" i="15"/>
  <c r="O177" i="15"/>
  <c r="O175" i="15"/>
  <c r="O106" i="15"/>
  <c r="M43" i="15"/>
  <c r="K54" i="3"/>
  <c r="AU54" i="3"/>
  <c r="AV54" i="3" s="1"/>
  <c r="AW54" i="3" s="1"/>
  <c r="AX54" i="3" s="1"/>
  <c r="AY54" i="3" s="1"/>
  <c r="AZ54" i="3" s="1"/>
  <c r="BA54" i="3" s="1"/>
  <c r="BB54" i="3" s="1"/>
  <c r="C54" i="3"/>
  <c r="D54" i="3" s="1"/>
  <c r="E54" i="3" s="1"/>
  <c r="F54" i="3" s="1"/>
  <c r="G54" i="3" s="1"/>
  <c r="H54" i="3" s="1"/>
  <c r="I54" i="3" s="1"/>
  <c r="O28" i="14"/>
  <c r="BG28" i="14"/>
  <c r="T54" i="14"/>
  <c r="U54" i="14" s="1"/>
  <c r="V54" i="14" s="1"/>
  <c r="W54" i="14" s="1"/>
  <c r="X54" i="14" s="1"/>
  <c r="Y54" i="14" s="1"/>
  <c r="Z54" i="14" s="1"/>
  <c r="AA54" i="14" s="1"/>
  <c r="BD54" i="14"/>
  <c r="BE54" i="14" s="1"/>
  <c r="BF54" i="14" s="1"/>
  <c r="BG54" i="14" s="1"/>
  <c r="BH54" i="14" s="1"/>
  <c r="BI54" i="14" s="1"/>
  <c r="BJ54" i="14" s="1"/>
  <c r="BK54" i="14" s="1"/>
  <c r="L54" i="14"/>
  <c r="M54" i="14" s="1"/>
  <c r="N54" i="14" s="1"/>
  <c r="O54" i="14" s="1"/>
  <c r="P54" i="14" s="1"/>
  <c r="Q54" i="14" s="1"/>
  <c r="R54" i="14" s="1"/>
  <c r="H4" i="11"/>
  <c r="BD62" i="3"/>
  <c r="BE62" i="3" s="1"/>
  <c r="BF62" i="3" s="1"/>
  <c r="BG62" i="3" s="1"/>
  <c r="BH62" i="3" s="1"/>
  <c r="BI62" i="3" s="1"/>
  <c r="BJ62" i="3" s="1"/>
  <c r="BK62" i="3" s="1"/>
  <c r="B349" i="2"/>
  <c r="B354" i="2" s="1"/>
  <c r="D349" i="2"/>
  <c r="D354" i="2" s="1"/>
  <c r="F349" i="2"/>
  <c r="F354" i="2" s="1"/>
  <c r="G349" i="2"/>
  <c r="G354" i="2" s="1"/>
  <c r="C349" i="2"/>
  <c r="C354" i="2" s="1"/>
  <c r="I349" i="2"/>
  <c r="I354" i="2" s="1"/>
  <c r="G29" i="5"/>
  <c r="AO13" i="14"/>
  <c r="C69" i="15"/>
  <c r="B87" i="15"/>
  <c r="BE24" i="14"/>
  <c r="B46" i="14"/>
  <c r="K46" i="14" s="1"/>
  <c r="T46" i="14" s="1"/>
  <c r="U46" i="14" s="1"/>
  <c r="V46" i="14" s="1"/>
  <c r="W46" i="14" s="1"/>
  <c r="X46" i="14" s="1"/>
  <c r="Y46" i="14" s="1"/>
  <c r="Z46" i="14" s="1"/>
  <c r="AA46" i="14" s="1"/>
  <c r="B46" i="3"/>
  <c r="AU46" i="3" s="1"/>
  <c r="AV46" i="3" s="1"/>
  <c r="AG38" i="14"/>
  <c r="D11" i="13"/>
  <c r="AW24" i="3"/>
  <c r="BE24" i="3"/>
  <c r="H6" i="10"/>
  <c r="BA24" i="3"/>
  <c r="AJ11" i="14"/>
  <c r="V24" i="14"/>
  <c r="K24" i="14"/>
  <c r="E24" i="14"/>
  <c r="AF12" i="14" s="1"/>
  <c r="M38" i="14"/>
  <c r="V38" i="14" s="1"/>
  <c r="G220" i="2"/>
  <c r="G225" i="2" s="1"/>
  <c r="D29" i="5"/>
  <c r="D220" i="2"/>
  <c r="D225" i="2" s="1"/>
  <c r="D23" i="13"/>
  <c r="D24" i="13" s="1"/>
  <c r="BH24" i="14"/>
  <c r="BK24" i="14"/>
  <c r="P24" i="14"/>
  <c r="BI24" i="14"/>
  <c r="AZ24" i="14"/>
  <c r="BG24" i="14"/>
  <c r="BH24" i="3"/>
  <c r="H8" i="10"/>
  <c r="M24" i="14"/>
  <c r="T24" i="3"/>
  <c r="AP13" i="3"/>
  <c r="T24" i="14"/>
  <c r="AN13" i="14"/>
  <c r="AX24" i="14"/>
  <c r="AA24" i="3"/>
  <c r="Q24" i="3"/>
  <c r="BB24" i="14"/>
  <c r="AV24" i="3"/>
  <c r="BJ24" i="3"/>
  <c r="AX24" i="3"/>
  <c r="AW24" i="14"/>
  <c r="D24" i="14"/>
  <c r="AE12" i="14" s="1"/>
  <c r="Z24" i="3"/>
  <c r="V24" i="3"/>
  <c r="Y24" i="3"/>
  <c r="AF11" i="14"/>
  <c r="G24" i="14"/>
  <c r="AH12" i="14" s="1"/>
  <c r="AN13" i="3"/>
  <c r="H7" i="10"/>
  <c r="H9" i="10"/>
  <c r="W24" i="3"/>
  <c r="AY24" i="3"/>
  <c r="H1540" i="2"/>
  <c r="BB24" i="3"/>
  <c r="AM13" i="14"/>
  <c r="K24" i="3"/>
  <c r="BD24" i="14"/>
  <c r="U24" i="3"/>
  <c r="AQ13" i="3"/>
  <c r="M24" i="3"/>
  <c r="AL13" i="3"/>
  <c r="AD11" i="14"/>
  <c r="BG24" i="3"/>
  <c r="P24" i="3"/>
  <c r="X24" i="14"/>
  <c r="AS13" i="3"/>
  <c r="AI11" i="14"/>
  <c r="BA24" i="14"/>
  <c r="I24" i="3"/>
  <c r="AJ12" i="3" s="1"/>
  <c r="AC11" i="3"/>
  <c r="C54" i="15"/>
  <c r="C129" i="15" s="1"/>
  <c r="Y24" i="14"/>
  <c r="N24" i="3"/>
  <c r="O24" i="14"/>
  <c r="R24" i="3"/>
  <c r="C52" i="15"/>
  <c r="AZ24" i="3"/>
  <c r="H24" i="14"/>
  <c r="AI12" i="14" s="1"/>
  <c r="BF24" i="14"/>
  <c r="BF24" i="3"/>
  <c r="AR13" i="14"/>
  <c r="AF11" i="3"/>
  <c r="C88" i="15"/>
  <c r="C80" i="15"/>
  <c r="R24" i="14"/>
  <c r="BK24" i="3"/>
  <c r="L24" i="14"/>
  <c r="M243" i="2"/>
  <c r="M247" i="2"/>
  <c r="M245" i="2"/>
  <c r="F357" i="2"/>
  <c r="F228" i="2"/>
  <c r="BI24" i="3"/>
  <c r="D25" i="15"/>
  <c r="D52" i="15" s="1"/>
  <c r="D69" i="15"/>
  <c r="AO13" i="3"/>
  <c r="I24" i="14"/>
  <c r="AJ12" i="14" s="1"/>
  <c r="BD8" i="3"/>
  <c r="BE8" i="3" s="1"/>
  <c r="Q24" i="14"/>
  <c r="AP13" i="14"/>
  <c r="AM13" i="3"/>
  <c r="AY24" i="14"/>
  <c r="W24" i="14"/>
  <c r="AJ11" i="3"/>
  <c r="U24" i="14"/>
  <c r="C1560" i="2"/>
  <c r="D1560" i="2" s="1"/>
  <c r="E1560" i="2" s="1"/>
  <c r="F1560" i="2" s="1"/>
  <c r="G1560" i="2" s="1"/>
  <c r="H1560" i="2" s="1"/>
  <c r="I1560" i="2" s="1"/>
  <c r="J1560" i="2" s="1"/>
  <c r="D228" i="2"/>
  <c r="D357" i="2"/>
  <c r="O24" i="3"/>
  <c r="C11" i="13"/>
  <c r="Z24" i="14"/>
  <c r="H5" i="10"/>
  <c r="B24" i="3"/>
  <c r="AC12" i="3" s="1"/>
  <c r="N24" i="14"/>
  <c r="AN38" i="14"/>
  <c r="AW38" i="14" s="1"/>
  <c r="BF38" i="14" s="1"/>
  <c r="AH11" i="14"/>
  <c r="D24" i="3"/>
  <c r="AE12" i="3" s="1"/>
  <c r="K49" i="3"/>
  <c r="I374" i="2"/>
  <c r="AH11" i="3"/>
  <c r="AP38" i="3"/>
  <c r="O38" i="3"/>
  <c r="X38" i="3" s="1"/>
  <c r="AE38" i="3"/>
  <c r="M38" i="3"/>
  <c r="V38" i="3" s="1"/>
  <c r="B11" i="13"/>
  <c r="AN38" i="3"/>
  <c r="AE11" i="3"/>
  <c r="AU49" i="3"/>
  <c r="AV49" i="3" s="1"/>
  <c r="AW49" i="3" s="1"/>
  <c r="AX49" i="3" s="1"/>
  <c r="AY49" i="3" s="1"/>
  <c r="AZ49" i="3" s="1"/>
  <c r="BA49" i="3" s="1"/>
  <c r="BB49" i="3" s="1"/>
  <c r="C24" i="3"/>
  <c r="AD12" i="3" s="1"/>
  <c r="L24" i="3"/>
  <c r="D10" i="10"/>
  <c r="D11" i="10" s="1"/>
  <c r="AQ13" i="14"/>
  <c r="G228" i="2"/>
  <c r="G357" i="2"/>
  <c r="AV24" i="14"/>
  <c r="AG11" i="3"/>
  <c r="BJ24" i="14"/>
  <c r="X24" i="3"/>
  <c r="AD11" i="3"/>
  <c r="C1576" i="2"/>
  <c r="D1576" i="2" s="1"/>
  <c r="E1576" i="2" s="1"/>
  <c r="F1576" i="2" s="1"/>
  <c r="G1576" i="2" s="1"/>
  <c r="H1576" i="2" s="1"/>
  <c r="I1576" i="2" s="1"/>
  <c r="J1576" i="2" s="1"/>
  <c r="AU42" i="3"/>
  <c r="AV42" i="3" s="1"/>
  <c r="AW42" i="3" s="1"/>
  <c r="AX42" i="3" s="1"/>
  <c r="AY42" i="3" s="1"/>
  <c r="AZ42" i="3" s="1"/>
  <c r="B365" i="2"/>
  <c r="B371" i="2"/>
  <c r="B377" i="2"/>
  <c r="B368" i="2"/>
  <c r="B374" i="2"/>
  <c r="B383" i="2"/>
  <c r="B386" i="2"/>
  <c r="B380" i="2"/>
  <c r="F24" i="14"/>
  <c r="AG12" i="14" s="1"/>
  <c r="G24" i="3"/>
  <c r="AH12" i="3" s="1"/>
  <c r="BD42" i="3"/>
  <c r="BE42" i="3" s="1"/>
  <c r="BF42" i="3" s="1"/>
  <c r="BG42" i="3" s="1"/>
  <c r="BH42" i="3" s="1"/>
  <c r="BI42" i="3" s="1"/>
  <c r="BJ42" i="3" s="1"/>
  <c r="BD42" i="14"/>
  <c r="BE42" i="14" s="1"/>
  <c r="BF42" i="14" s="1"/>
  <c r="BG42" i="14" s="1"/>
  <c r="BH42" i="14" s="1"/>
  <c r="BI42" i="14" s="1"/>
  <c r="BJ42" i="14" s="1"/>
  <c r="BK42" i="14" s="1"/>
  <c r="C1578" i="2"/>
  <c r="D1578" i="2" s="1"/>
  <c r="E1578" i="2" s="1"/>
  <c r="F1578" i="2" s="1"/>
  <c r="G1578" i="2" s="1"/>
  <c r="H1578" i="2" s="1"/>
  <c r="I1578" i="2" s="1"/>
  <c r="J1578" i="2" s="1"/>
  <c r="C1567" i="2"/>
  <c r="A1541" i="2"/>
  <c r="A1546" i="2" s="1"/>
  <c r="I368" i="2"/>
  <c r="I383" i="2"/>
  <c r="I386" i="2"/>
  <c r="I371" i="2"/>
  <c r="I377" i="2"/>
  <c r="AG11" i="14"/>
  <c r="D80" i="15"/>
  <c r="E1" i="7"/>
  <c r="E1" i="8"/>
  <c r="E1" i="6"/>
  <c r="E1" i="9"/>
  <c r="AX4" i="3"/>
  <c r="BG4" i="3" s="1"/>
  <c r="D54" i="15"/>
  <c r="D129" i="15" s="1"/>
  <c r="M130" i="15"/>
  <c r="H24" i="3"/>
  <c r="AI12" i="3" s="1"/>
  <c r="C78" i="15"/>
  <c r="F1" i="8"/>
  <c r="F1" i="6"/>
  <c r="AY4" i="3"/>
  <c r="BH4" i="3" s="1"/>
  <c r="C124" i="15"/>
  <c r="D82" i="15"/>
  <c r="BD49" i="14"/>
  <c r="BE49" i="14" s="1"/>
  <c r="AR13" i="3"/>
  <c r="C68" i="15"/>
  <c r="C75" i="15"/>
  <c r="D73" i="15"/>
  <c r="D74" i="15"/>
  <c r="D75" i="15"/>
  <c r="D88" i="15"/>
  <c r="D87" i="15"/>
  <c r="L49" i="14"/>
  <c r="M49" i="14" s="1"/>
  <c r="AI11" i="3"/>
  <c r="C67" i="15"/>
  <c r="C81" i="15"/>
  <c r="L131" i="15"/>
  <c r="C73" i="15"/>
  <c r="C83" i="15"/>
  <c r="L129" i="15"/>
  <c r="D67" i="15"/>
  <c r="C89" i="15"/>
  <c r="C74" i="15"/>
  <c r="C82" i="15"/>
  <c r="C87" i="15"/>
  <c r="AS13" i="14"/>
  <c r="F5" i="13"/>
  <c r="F24" i="3"/>
  <c r="AG12" i="3" s="1"/>
  <c r="AU24" i="3"/>
  <c r="I357" i="2"/>
  <c r="I228" i="2"/>
  <c r="AU24" i="14"/>
  <c r="E357" i="2"/>
  <c r="E228" i="2"/>
  <c r="J228" i="2"/>
  <c r="J357" i="2"/>
  <c r="B251" i="15"/>
  <c r="B223" i="15"/>
  <c r="B226" i="15"/>
  <c r="B49" i="15"/>
  <c r="B227" i="15"/>
  <c r="B228" i="15"/>
  <c r="B52" i="15"/>
  <c r="B48" i="15"/>
  <c r="B225" i="15"/>
  <c r="B11" i="15" s="1"/>
  <c r="B17" i="15" s="1"/>
  <c r="B224" i="15"/>
  <c r="B10" i="15" s="1"/>
  <c r="B16" i="15" s="1"/>
  <c r="B47" i="15"/>
  <c r="AU48" i="14"/>
  <c r="C48" i="14"/>
  <c r="K48" i="14"/>
  <c r="H228" i="2"/>
  <c r="H357" i="2"/>
  <c r="B75" i="15"/>
  <c r="B67" i="15"/>
  <c r="B69" i="15"/>
  <c r="B88" i="15"/>
  <c r="B68" i="15"/>
  <c r="B89" i="15"/>
  <c r="B73" i="15"/>
  <c r="B78" i="15"/>
  <c r="B81" i="15"/>
  <c r="B74" i="15"/>
  <c r="B80" i="15"/>
  <c r="B82" i="15"/>
  <c r="B83" i="15"/>
  <c r="B24" i="14"/>
  <c r="AC12" i="14" s="1"/>
  <c r="AL13" i="14"/>
  <c r="BD24" i="3"/>
  <c r="D78" i="15"/>
  <c r="D83" i="15"/>
  <c r="E31" i="15"/>
  <c r="E54" i="15" s="1"/>
  <c r="D81" i="15"/>
  <c r="D68" i="15"/>
  <c r="N114" i="15"/>
  <c r="O114" i="15" s="1"/>
  <c r="F28" i="3"/>
  <c r="AO15" i="3"/>
  <c r="AX28" i="3"/>
  <c r="N28" i="3"/>
  <c r="BF28" i="3"/>
  <c r="O110" i="15"/>
  <c r="N93" i="15"/>
  <c r="D96" i="15"/>
  <c r="D97" i="15"/>
  <c r="E114" i="15"/>
  <c r="H29" i="5"/>
  <c r="H220" i="2"/>
  <c r="H225" i="2" s="1"/>
  <c r="I4" i="11"/>
  <c r="H23" i="13"/>
  <c r="H24" i="13" s="1"/>
  <c r="H354" i="2"/>
  <c r="C5" i="11"/>
  <c r="E6" i="11" s="1"/>
  <c r="E8" i="11" s="1"/>
  <c r="I220" i="2"/>
  <c r="I225" i="2" s="1"/>
  <c r="I23" i="13"/>
  <c r="I24" i="13" s="1"/>
  <c r="I29" i="5"/>
  <c r="J4" i="11"/>
  <c r="B3" i="5"/>
  <c r="F29" i="5"/>
  <c r="F23" i="13"/>
  <c r="F24" i="13" s="1"/>
  <c r="G4" i="11"/>
  <c r="F220" i="2"/>
  <c r="F225" i="2" s="1"/>
  <c r="C29" i="5"/>
  <c r="C220" i="2"/>
  <c r="C225" i="2" s="1"/>
  <c r="D4" i="11"/>
  <c r="C23" i="13"/>
  <c r="C24" i="13" s="1"/>
  <c r="D48" i="3"/>
  <c r="C4" i="11"/>
  <c r="B23" i="13"/>
  <c r="B24" i="13" s="1"/>
  <c r="B220" i="2"/>
  <c r="B225" i="2" s="1"/>
  <c r="B29" i="5"/>
  <c r="E29" i="5"/>
  <c r="F4" i="11"/>
  <c r="E23" i="13"/>
  <c r="E24" i="13" s="1"/>
  <c r="F3" i="5"/>
  <c r="E220" i="2"/>
  <c r="E225" i="2" s="1"/>
  <c r="U49" i="14"/>
  <c r="O115" i="15"/>
  <c r="N98" i="15"/>
  <c r="O55" i="15"/>
  <c r="P28" i="15"/>
  <c r="E130" i="15"/>
  <c r="E96" i="15"/>
  <c r="F113" i="15"/>
  <c r="F111" i="15"/>
  <c r="E94" i="15"/>
  <c r="N96" i="15"/>
  <c r="O113" i="15"/>
  <c r="O27" i="15"/>
  <c r="M131" i="15"/>
  <c r="E93" i="15"/>
  <c r="F110" i="15"/>
  <c r="E56" i="15"/>
  <c r="F29" i="15"/>
  <c r="P95" i="15"/>
  <c r="Q112" i="15"/>
  <c r="F115" i="15"/>
  <c r="E98" i="15"/>
  <c r="H28" i="15"/>
  <c r="G55" i="15"/>
  <c r="N130" i="15"/>
  <c r="O111" i="15"/>
  <c r="N94" i="15"/>
  <c r="H23" i="15"/>
  <c r="P31" i="15"/>
  <c r="F27" i="15"/>
  <c r="F55" i="15"/>
  <c r="N56" i="15"/>
  <c r="O29" i="15"/>
  <c r="D124" i="15"/>
  <c r="D131" i="15"/>
  <c r="BD50" i="3" l="1"/>
  <c r="BE50" i="3" s="1"/>
  <c r="BF50" i="3" s="1"/>
  <c r="BG50" i="3" s="1"/>
  <c r="BH50" i="3" s="1"/>
  <c r="BI50" i="3" s="1"/>
  <c r="BJ50" i="3" s="1"/>
  <c r="BK50" i="3" s="1"/>
  <c r="T50" i="3"/>
  <c r="U50" i="3" s="1"/>
  <c r="V50" i="3" s="1"/>
  <c r="W50" i="3" s="1"/>
  <c r="X50" i="3" s="1"/>
  <c r="Y50" i="3" s="1"/>
  <c r="Z50" i="3" s="1"/>
  <c r="AA50" i="3" s="1"/>
  <c r="L50" i="14"/>
  <c r="M50" i="14" s="1"/>
  <c r="N50" i="14" s="1"/>
  <c r="O50" i="14" s="1"/>
  <c r="P50" i="14" s="1"/>
  <c r="Q50" i="14" s="1"/>
  <c r="R50" i="14" s="1"/>
  <c r="T50" i="14"/>
  <c r="U50" i="14" s="1"/>
  <c r="V50" i="14" s="1"/>
  <c r="W50" i="14" s="1"/>
  <c r="X50" i="14" s="1"/>
  <c r="Y50" i="14" s="1"/>
  <c r="Z50" i="14" s="1"/>
  <c r="AA50" i="14" s="1"/>
  <c r="M69" i="15"/>
  <c r="M124" i="15"/>
  <c r="M81" i="15"/>
  <c r="M82" i="15"/>
  <c r="D150" i="15"/>
  <c r="L226" i="15"/>
  <c r="L49" i="15"/>
  <c r="A793" i="2"/>
  <c r="A816" i="2" s="1"/>
  <c r="A839" i="2" s="1"/>
  <c r="A1146" i="2"/>
  <c r="A1169" i="2" s="1"/>
  <c r="A1192" i="2" s="1"/>
  <c r="A1215" i="2" s="1"/>
  <c r="AL47" i="14"/>
  <c r="L48" i="3"/>
  <c r="M48" i="3" s="1"/>
  <c r="N48" i="3" s="1"/>
  <c r="O48" i="3" s="1"/>
  <c r="P48" i="3" s="1"/>
  <c r="Q48" i="3" s="1"/>
  <c r="R48" i="3" s="1"/>
  <c r="AC45" i="14"/>
  <c r="T48" i="3"/>
  <c r="U48" i="3" s="1"/>
  <c r="V48" i="3" s="1"/>
  <c r="W48" i="3" s="1"/>
  <c r="X48" i="3" s="1"/>
  <c r="Y48" i="3" s="1"/>
  <c r="Z48" i="3" s="1"/>
  <c r="AA48" i="3" s="1"/>
  <c r="M73" i="15"/>
  <c r="M68" i="15"/>
  <c r="M89" i="15"/>
  <c r="M83" i="15"/>
  <c r="B58" i="14"/>
  <c r="AC46" i="14" s="1"/>
  <c r="M87" i="15"/>
  <c r="M80" i="15"/>
  <c r="K51" i="14"/>
  <c r="T51" i="14" s="1"/>
  <c r="U51" i="14" s="1"/>
  <c r="V51" i="14" s="1"/>
  <c r="W51" i="14" s="1"/>
  <c r="X51" i="14" s="1"/>
  <c r="Y51" i="14" s="1"/>
  <c r="Z51" i="14" s="1"/>
  <c r="AA51" i="14" s="1"/>
  <c r="AU51" i="14"/>
  <c r="AV51" i="14" s="1"/>
  <c r="AW51" i="14" s="1"/>
  <c r="AX51" i="14" s="1"/>
  <c r="AY51" i="14" s="1"/>
  <c r="AZ51" i="14" s="1"/>
  <c r="BA51" i="14" s="1"/>
  <c r="BB51" i="14" s="1"/>
  <c r="AL49" i="3"/>
  <c r="D386" i="2"/>
  <c r="D383" i="2"/>
  <c r="D371" i="2"/>
  <c r="D368" i="2"/>
  <c r="D377" i="2"/>
  <c r="D374" i="2"/>
  <c r="D380" i="2"/>
  <c r="BD51" i="16"/>
  <c r="BE51" i="16" s="1"/>
  <c r="BF51" i="16" s="1"/>
  <c r="BG51" i="16" s="1"/>
  <c r="BH51" i="16" s="1"/>
  <c r="BI51" i="16" s="1"/>
  <c r="BJ51" i="16" s="1"/>
  <c r="BK51" i="16" s="1"/>
  <c r="T51" i="16"/>
  <c r="U51" i="16" s="1"/>
  <c r="V51" i="16" s="1"/>
  <c r="W51" i="16" s="1"/>
  <c r="X51" i="16" s="1"/>
  <c r="Y51" i="16" s="1"/>
  <c r="Z51" i="16" s="1"/>
  <c r="AA51" i="16" s="1"/>
  <c r="L51" i="16"/>
  <c r="M51" i="16" s="1"/>
  <c r="N51" i="16" s="1"/>
  <c r="O51" i="16" s="1"/>
  <c r="P51" i="16" s="1"/>
  <c r="Q51" i="16" s="1"/>
  <c r="R51" i="16" s="1"/>
  <c r="BD51" i="17"/>
  <c r="BE51" i="17" s="1"/>
  <c r="BF51" i="17" s="1"/>
  <c r="BG51" i="17" s="1"/>
  <c r="BH51" i="17" s="1"/>
  <c r="BI51" i="17" s="1"/>
  <c r="BJ51" i="17" s="1"/>
  <c r="BK51" i="17" s="1"/>
  <c r="T51" i="17"/>
  <c r="U51" i="17" s="1"/>
  <c r="V51" i="17" s="1"/>
  <c r="W51" i="17" s="1"/>
  <c r="X51" i="17" s="1"/>
  <c r="Y51" i="17" s="1"/>
  <c r="Z51" i="17" s="1"/>
  <c r="AA51" i="17" s="1"/>
  <c r="L51" i="17"/>
  <c r="M51" i="17" s="1"/>
  <c r="N51" i="17" s="1"/>
  <c r="O51" i="17" s="1"/>
  <c r="P51" i="17" s="1"/>
  <c r="Q51" i="17" s="1"/>
  <c r="R51" i="17" s="1"/>
  <c r="T52" i="17"/>
  <c r="U52" i="17" s="1"/>
  <c r="V52" i="17" s="1"/>
  <c r="W52" i="17" s="1"/>
  <c r="X52" i="17" s="1"/>
  <c r="Y52" i="17" s="1"/>
  <c r="Z52" i="17" s="1"/>
  <c r="AA52" i="17" s="1"/>
  <c r="L52" i="17"/>
  <c r="M52" i="17" s="1"/>
  <c r="N52" i="17" s="1"/>
  <c r="O52" i="17" s="1"/>
  <c r="P52" i="17" s="1"/>
  <c r="Q52" i="17" s="1"/>
  <c r="R52" i="17" s="1"/>
  <c r="BD52" i="17"/>
  <c r="BE52" i="17" s="1"/>
  <c r="BF52" i="17" s="1"/>
  <c r="BG52" i="17" s="1"/>
  <c r="BH52" i="17" s="1"/>
  <c r="BI52" i="17" s="1"/>
  <c r="BJ52" i="17" s="1"/>
  <c r="BK52" i="17" s="1"/>
  <c r="BD52" i="16"/>
  <c r="BE52" i="16" s="1"/>
  <c r="BF52" i="16" s="1"/>
  <c r="BG52" i="16" s="1"/>
  <c r="BH52" i="16" s="1"/>
  <c r="BI52" i="16" s="1"/>
  <c r="BJ52" i="16" s="1"/>
  <c r="BK52" i="16" s="1"/>
  <c r="T52" i="16"/>
  <c r="U52" i="16" s="1"/>
  <c r="V52" i="16" s="1"/>
  <c r="W52" i="16" s="1"/>
  <c r="X52" i="16" s="1"/>
  <c r="Y52" i="16" s="1"/>
  <c r="Z52" i="16" s="1"/>
  <c r="AA52" i="16" s="1"/>
  <c r="L52" i="16"/>
  <c r="M52" i="16" s="1"/>
  <c r="N52" i="16" s="1"/>
  <c r="O52" i="16" s="1"/>
  <c r="P52" i="16" s="1"/>
  <c r="Q52" i="16" s="1"/>
  <c r="R52" i="16" s="1"/>
  <c r="L49" i="17"/>
  <c r="M49" i="17" s="1"/>
  <c r="N49" i="17" s="1"/>
  <c r="O49" i="17" s="1"/>
  <c r="P49" i="17" s="1"/>
  <c r="Q49" i="17" s="1"/>
  <c r="R49" i="17" s="1"/>
  <c r="BD49" i="17"/>
  <c r="BE49" i="17" s="1"/>
  <c r="BF49" i="17" s="1"/>
  <c r="BG49" i="17" s="1"/>
  <c r="BH49" i="17" s="1"/>
  <c r="BI49" i="17" s="1"/>
  <c r="BJ49" i="17" s="1"/>
  <c r="BK49" i="17" s="1"/>
  <c r="T49" i="17"/>
  <c r="U49" i="17" s="1"/>
  <c r="V49" i="17" s="1"/>
  <c r="W49" i="17" s="1"/>
  <c r="X49" i="17" s="1"/>
  <c r="Y49" i="17" s="1"/>
  <c r="Z49" i="17" s="1"/>
  <c r="AA49" i="17" s="1"/>
  <c r="BD49" i="16"/>
  <c r="BE49" i="16" s="1"/>
  <c r="BF49" i="16" s="1"/>
  <c r="BG49" i="16" s="1"/>
  <c r="BH49" i="16" s="1"/>
  <c r="BI49" i="16" s="1"/>
  <c r="BJ49" i="16" s="1"/>
  <c r="BK49" i="16" s="1"/>
  <c r="T49" i="16"/>
  <c r="U49" i="16" s="1"/>
  <c r="V49" i="16" s="1"/>
  <c r="W49" i="16" s="1"/>
  <c r="X49" i="16" s="1"/>
  <c r="Y49" i="16" s="1"/>
  <c r="Z49" i="16" s="1"/>
  <c r="AA49" i="16" s="1"/>
  <c r="L49" i="16"/>
  <c r="M49" i="16" s="1"/>
  <c r="N49" i="16" s="1"/>
  <c r="O49" i="16" s="1"/>
  <c r="P49" i="16" s="1"/>
  <c r="Q49" i="16" s="1"/>
  <c r="R49" i="16" s="1"/>
  <c r="L224" i="15"/>
  <c r="L10" i="15" s="1"/>
  <c r="L16" i="15" s="1"/>
  <c r="L143" i="15" s="1"/>
  <c r="AJ16" i="16"/>
  <c r="AU47" i="16"/>
  <c r="C47" i="16"/>
  <c r="K47" i="16"/>
  <c r="AL51" i="16"/>
  <c r="AU47" i="17"/>
  <c r="C47" i="17"/>
  <c r="AL51" i="17"/>
  <c r="K47" i="17"/>
  <c r="N23" i="15"/>
  <c r="N88" i="15" s="1"/>
  <c r="M75" i="15"/>
  <c r="M74" i="15"/>
  <c r="M67" i="15"/>
  <c r="AU51" i="3"/>
  <c r="AV51" i="3" s="1"/>
  <c r="AW51" i="3" s="1"/>
  <c r="AG16" i="16"/>
  <c r="AI16" i="16"/>
  <c r="AC16" i="16"/>
  <c r="K51" i="3"/>
  <c r="L51" i="3" s="1"/>
  <c r="M51" i="3" s="1"/>
  <c r="N51" i="3" s="1"/>
  <c r="O51" i="3" s="1"/>
  <c r="P51" i="3" s="1"/>
  <c r="Q51" i="3" s="1"/>
  <c r="R51" i="3" s="1"/>
  <c r="AE16" i="16"/>
  <c r="AU53" i="16"/>
  <c r="B60" i="16"/>
  <c r="AC47" i="16" s="1"/>
  <c r="AL48" i="16"/>
  <c r="AC46" i="16"/>
  <c r="C53" i="16"/>
  <c r="K53" i="16"/>
  <c r="AU53" i="17"/>
  <c r="AC46" i="17"/>
  <c r="C53" i="17"/>
  <c r="B60" i="17"/>
  <c r="AC47" i="17" s="1"/>
  <c r="K53" i="17"/>
  <c r="AL48" i="17"/>
  <c r="M37" i="15"/>
  <c r="N37" i="15" s="1"/>
  <c r="O37" i="15" s="1"/>
  <c r="P37" i="15" s="1"/>
  <c r="Q37" i="15" s="1"/>
  <c r="R37" i="15" s="1"/>
  <c r="S37" i="15" s="1"/>
  <c r="T37" i="15" s="1"/>
  <c r="AU8" i="17"/>
  <c r="AU8" i="16"/>
  <c r="AD16" i="16"/>
  <c r="BE8" i="17"/>
  <c r="BD9" i="17"/>
  <c r="BE8" i="14"/>
  <c r="BF8" i="14" s="1"/>
  <c r="AH16" i="16"/>
  <c r="AF16" i="16"/>
  <c r="BD9" i="16"/>
  <c r="BE8" i="16"/>
  <c r="AM47" i="3"/>
  <c r="E87" i="15"/>
  <c r="C58" i="3"/>
  <c r="AD46" i="3" s="1"/>
  <c r="AD45" i="3"/>
  <c r="L227" i="15"/>
  <c r="L52" i="15"/>
  <c r="L225" i="15"/>
  <c r="L11" i="15" s="1"/>
  <c r="L17" i="15" s="1"/>
  <c r="L144" i="15" s="1"/>
  <c r="L47" i="15"/>
  <c r="L223" i="15"/>
  <c r="L9" i="15" s="1"/>
  <c r="L15" i="15" s="1"/>
  <c r="L142" i="15" s="1"/>
  <c r="L48" i="15"/>
  <c r="L228" i="15"/>
  <c r="B58" i="3"/>
  <c r="AC46" i="3" s="1"/>
  <c r="AC45" i="3"/>
  <c r="AL47" i="3"/>
  <c r="BD46" i="14"/>
  <c r="BE46" i="14" s="1"/>
  <c r="BF46" i="14" s="1"/>
  <c r="BG46" i="14" s="1"/>
  <c r="BH46" i="14" s="1"/>
  <c r="BI46" i="14" s="1"/>
  <c r="BJ46" i="14" s="1"/>
  <c r="BK46" i="14" s="1"/>
  <c r="L46" i="14"/>
  <c r="M46" i="14" s="1"/>
  <c r="N46" i="14" s="1"/>
  <c r="O46" i="14" s="1"/>
  <c r="P46" i="14" s="1"/>
  <c r="Q46" i="14" s="1"/>
  <c r="R46" i="14" s="1"/>
  <c r="C46" i="3"/>
  <c r="AU46" i="14"/>
  <c r="AV46" i="14" s="1"/>
  <c r="AW46" i="14" s="1"/>
  <c r="AX46" i="14" s="1"/>
  <c r="AY46" i="14" s="1"/>
  <c r="AZ46" i="14" s="1"/>
  <c r="K46" i="3"/>
  <c r="T46" i="3" s="1"/>
  <c r="U46" i="3" s="1"/>
  <c r="V46" i="3" s="1"/>
  <c r="W46" i="3" s="1"/>
  <c r="X46" i="3" s="1"/>
  <c r="Y46" i="3" s="1"/>
  <c r="Z46" i="3" s="1"/>
  <c r="AA46" i="3" s="1"/>
  <c r="C46" i="14"/>
  <c r="D46" i="14" s="1"/>
  <c r="E46" i="14" s="1"/>
  <c r="F46" i="14" s="1"/>
  <c r="N97" i="15"/>
  <c r="G28" i="14"/>
  <c r="AP15" i="14"/>
  <c r="AY28" i="14"/>
  <c r="AL49" i="14"/>
  <c r="BD54" i="3"/>
  <c r="BE54" i="3" s="1"/>
  <c r="BF54" i="3" s="1"/>
  <c r="BG54" i="3" s="1"/>
  <c r="BH54" i="3" s="1"/>
  <c r="BI54" i="3" s="1"/>
  <c r="BJ54" i="3" s="1"/>
  <c r="BK54" i="3" s="1"/>
  <c r="T54" i="3"/>
  <c r="U54" i="3" s="1"/>
  <c r="V54" i="3" s="1"/>
  <c r="W54" i="3" s="1"/>
  <c r="X54" i="3" s="1"/>
  <c r="Y54" i="3" s="1"/>
  <c r="Z54" i="3" s="1"/>
  <c r="AA54" i="3" s="1"/>
  <c r="L54" i="3"/>
  <c r="M54" i="3" s="1"/>
  <c r="N54" i="3" s="1"/>
  <c r="O54" i="3" s="1"/>
  <c r="P54" i="3" s="1"/>
  <c r="Q54" i="3" s="1"/>
  <c r="R54" i="3" s="1"/>
  <c r="F107" i="15"/>
  <c r="F105" i="15"/>
  <c r="F177" i="15"/>
  <c r="F106" i="15"/>
  <c r="F176" i="15"/>
  <c r="F175" i="15"/>
  <c r="G172" i="15"/>
  <c r="E88" i="15"/>
  <c r="BH28" i="14"/>
  <c r="P28" i="14"/>
  <c r="N43" i="15"/>
  <c r="M78" i="15"/>
  <c r="P107" i="15"/>
  <c r="P105" i="15"/>
  <c r="P176" i="15"/>
  <c r="Q172" i="15"/>
  <c r="P177" i="15"/>
  <c r="P175" i="15"/>
  <c r="P106" i="15"/>
  <c r="Q235" i="15"/>
  <c r="P261" i="15"/>
  <c r="F261" i="15"/>
  <c r="G235" i="15"/>
  <c r="G112" i="15"/>
  <c r="F95" i="15"/>
  <c r="E349" i="2"/>
  <c r="E354" i="2" s="1"/>
  <c r="B355" i="2" s="1"/>
  <c r="M456" i="2" s="1"/>
  <c r="H10" i="10"/>
  <c r="E25" i="15"/>
  <c r="E52" i="15" s="1"/>
  <c r="AU8" i="14"/>
  <c r="C1558" i="2"/>
  <c r="D1558" i="2" s="1"/>
  <c r="E1558" i="2" s="1"/>
  <c r="F1558" i="2" s="1"/>
  <c r="G1558" i="2" s="1"/>
  <c r="H1558" i="2" s="1"/>
  <c r="I1558" i="2" s="1"/>
  <c r="J1558" i="2" s="1"/>
  <c r="AU8" i="3"/>
  <c r="BD9" i="3"/>
  <c r="C150" i="15"/>
  <c r="D90" i="15"/>
  <c r="C90" i="15"/>
  <c r="D76" i="15"/>
  <c r="D70" i="15"/>
  <c r="AU43" i="3"/>
  <c r="AI62" i="3" s="1"/>
  <c r="BD49" i="3"/>
  <c r="BE49" i="3" s="1"/>
  <c r="BF49" i="3" s="1"/>
  <c r="BG49" i="3" s="1"/>
  <c r="BH49" i="3" s="1"/>
  <c r="BI49" i="3" s="1"/>
  <c r="BJ49" i="3" s="1"/>
  <c r="BK49" i="3" s="1"/>
  <c r="T49" i="3"/>
  <c r="U49" i="3" s="1"/>
  <c r="B76" i="15"/>
  <c r="B70" i="15"/>
  <c r="C84" i="15"/>
  <c r="F1" i="9"/>
  <c r="F1" i="7"/>
  <c r="AY38" i="3"/>
  <c r="BH38" i="3" s="1"/>
  <c r="L49" i="3"/>
  <c r="M49" i="3" s="1"/>
  <c r="AW38" i="3"/>
  <c r="BF38" i="3" s="1"/>
  <c r="D1" i="9"/>
  <c r="D1" i="7"/>
  <c r="C76" i="15"/>
  <c r="B46" i="15"/>
  <c r="C70" i="15"/>
  <c r="D6" i="11"/>
  <c r="D8" i="11" s="1"/>
  <c r="D84" i="15"/>
  <c r="B150" i="15"/>
  <c r="B84" i="15"/>
  <c r="B143" i="15"/>
  <c r="AV48" i="14"/>
  <c r="B90" i="15"/>
  <c r="BD22" i="14"/>
  <c r="BD29" i="14" s="1"/>
  <c r="BD23" i="14"/>
  <c r="B144" i="15"/>
  <c r="BD48" i="14"/>
  <c r="L48" i="14"/>
  <c r="M48" i="14" s="1"/>
  <c r="N48" i="14" s="1"/>
  <c r="O48" i="14" s="1"/>
  <c r="P48" i="14" s="1"/>
  <c r="Q48" i="14" s="1"/>
  <c r="R48" i="14" s="1"/>
  <c r="T48" i="14"/>
  <c r="U48" i="14" s="1"/>
  <c r="V48" i="14" s="1"/>
  <c r="W48" i="14" s="1"/>
  <c r="X48" i="14" s="1"/>
  <c r="Y48" i="14" s="1"/>
  <c r="Z48" i="14" s="1"/>
  <c r="AA48" i="14" s="1"/>
  <c r="B9" i="15"/>
  <c r="B15" i="15" s="1"/>
  <c r="B142" i="15" s="1"/>
  <c r="B222" i="15"/>
  <c r="B8" i="15" s="1"/>
  <c r="B14" i="15" s="1"/>
  <c r="BE9" i="3"/>
  <c r="BF8" i="3"/>
  <c r="M251" i="15"/>
  <c r="L252" i="15"/>
  <c r="L26" i="15" s="1"/>
  <c r="D48" i="14"/>
  <c r="AM47" i="14"/>
  <c r="AD45" i="14"/>
  <c r="B252" i="15"/>
  <c r="B26" i="15" s="1"/>
  <c r="C251" i="15"/>
  <c r="C58" i="14"/>
  <c r="AD46" i="14" s="1"/>
  <c r="F6" i="11"/>
  <c r="F8" i="11" s="1"/>
  <c r="E74" i="15"/>
  <c r="F31" i="15"/>
  <c r="F54" i="15" s="1"/>
  <c r="E82" i="15"/>
  <c r="E81" i="15"/>
  <c r="E69" i="15"/>
  <c r="E89" i="15"/>
  <c r="E75" i="15"/>
  <c r="E83" i="15"/>
  <c r="E73" i="15"/>
  <c r="E67" i="15"/>
  <c r="E80" i="15"/>
  <c r="E78" i="15"/>
  <c r="E68" i="15"/>
  <c r="B26" i="13"/>
  <c r="C17" i="13" s="1"/>
  <c r="BG28" i="3"/>
  <c r="O28" i="3"/>
  <c r="AY28" i="3"/>
  <c r="G28" i="3"/>
  <c r="AP15" i="3"/>
  <c r="P114" i="15"/>
  <c r="O97" i="15"/>
  <c r="O93" i="15"/>
  <c r="P110" i="15"/>
  <c r="E97" i="15"/>
  <c r="F114" i="15"/>
  <c r="V49" i="14"/>
  <c r="B226" i="2"/>
  <c r="AN47" i="3"/>
  <c r="E51" i="3"/>
  <c r="D58" i="3"/>
  <c r="AE46" i="3" s="1"/>
  <c r="AE45" i="3"/>
  <c r="H6" i="11"/>
  <c r="H8" i="11" s="1"/>
  <c r="I6" i="11"/>
  <c r="I8" i="11" s="1"/>
  <c r="N49" i="14"/>
  <c r="G51" i="14"/>
  <c r="BF49" i="14"/>
  <c r="AW46" i="3"/>
  <c r="AV43" i="3"/>
  <c r="J6" i="11"/>
  <c r="J8" i="11" s="1"/>
  <c r="BA42" i="3"/>
  <c r="BK42" i="3"/>
  <c r="D12" i="10"/>
  <c r="H11" i="10"/>
  <c r="AW50" i="14"/>
  <c r="C6" i="11"/>
  <c r="C8" i="11" s="1"/>
  <c r="E48" i="3"/>
  <c r="G6" i="11"/>
  <c r="G8" i="11" s="1"/>
  <c r="N131" i="15"/>
  <c r="E129" i="15"/>
  <c r="Q31" i="15"/>
  <c r="I23" i="15"/>
  <c r="O94" i="15"/>
  <c r="P111" i="15"/>
  <c r="I28" i="15"/>
  <c r="E124" i="15"/>
  <c r="E131" i="15"/>
  <c r="O96" i="15"/>
  <c r="P113" i="15"/>
  <c r="F96" i="15"/>
  <c r="G113" i="15"/>
  <c r="O130" i="15"/>
  <c r="G27" i="15"/>
  <c r="P25" i="15"/>
  <c r="O56" i="15"/>
  <c r="P29" i="15"/>
  <c r="G130" i="15"/>
  <c r="F56" i="15"/>
  <c r="G29" i="15"/>
  <c r="P27" i="15"/>
  <c r="F94" i="15"/>
  <c r="G111" i="15"/>
  <c r="P55" i="15"/>
  <c r="Q28" i="15"/>
  <c r="G110" i="15"/>
  <c r="F93" i="15"/>
  <c r="F130" i="15"/>
  <c r="F98" i="15"/>
  <c r="G115" i="15"/>
  <c r="Q95" i="15"/>
  <c r="R112" i="15"/>
  <c r="O98" i="15"/>
  <c r="P115" i="15"/>
  <c r="M84" i="15" l="1"/>
  <c r="AU58" i="14"/>
  <c r="N124" i="15"/>
  <c r="AV58" i="14"/>
  <c r="AU57" i="14"/>
  <c r="M90" i="15"/>
  <c r="AV57" i="14"/>
  <c r="L51" i="14"/>
  <c r="M51" i="14" s="1"/>
  <c r="N51" i="14" s="1"/>
  <c r="O51" i="14" s="1"/>
  <c r="P51" i="14" s="1"/>
  <c r="Q51" i="14" s="1"/>
  <c r="R51" i="14" s="1"/>
  <c r="K58" i="14"/>
  <c r="M150" i="15"/>
  <c r="BD51" i="14"/>
  <c r="BE51" i="14" s="1"/>
  <c r="BF51" i="14" s="1"/>
  <c r="BG51" i="14" s="1"/>
  <c r="BH51" i="14" s="1"/>
  <c r="BI51" i="14" s="1"/>
  <c r="BJ51" i="14" s="1"/>
  <c r="BK51" i="14" s="1"/>
  <c r="M70" i="15"/>
  <c r="O54" i="15"/>
  <c r="O129" i="15" s="1"/>
  <c r="O52" i="15"/>
  <c r="AV58" i="3"/>
  <c r="BE9" i="14"/>
  <c r="BE23" i="14" s="1"/>
  <c r="AU58" i="3"/>
  <c r="M58" i="3"/>
  <c r="M76" i="15"/>
  <c r="AU63" i="14"/>
  <c r="N87" i="15"/>
  <c r="N54" i="15"/>
  <c r="N129" i="15" s="1"/>
  <c r="M54" i="15"/>
  <c r="M129" i="15" s="1"/>
  <c r="N52" i="15"/>
  <c r="M52" i="15"/>
  <c r="BD51" i="3"/>
  <c r="BE51" i="3" s="1"/>
  <c r="BF51" i="3" s="1"/>
  <c r="BF58" i="3" s="1"/>
  <c r="L222" i="15"/>
  <c r="L8" i="15" s="1"/>
  <c r="L14" i="15" s="1"/>
  <c r="L59" i="15" s="1"/>
  <c r="D47" i="17"/>
  <c r="AM51" i="17"/>
  <c r="AV47" i="17"/>
  <c r="AU65" i="17"/>
  <c r="N83" i="15"/>
  <c r="N68" i="15"/>
  <c r="N89" i="15"/>
  <c r="N67" i="15"/>
  <c r="N75" i="15"/>
  <c r="N80" i="15"/>
  <c r="N74" i="15"/>
  <c r="O23" i="15"/>
  <c r="O88" i="15" s="1"/>
  <c r="N81" i="15"/>
  <c r="N82" i="15"/>
  <c r="N73" i="15"/>
  <c r="N69" i="15"/>
  <c r="L47" i="16"/>
  <c r="M47" i="16" s="1"/>
  <c r="N47" i="16" s="1"/>
  <c r="O47" i="16" s="1"/>
  <c r="P47" i="16" s="1"/>
  <c r="Q47" i="16" s="1"/>
  <c r="R47" i="16" s="1"/>
  <c r="BD47" i="16"/>
  <c r="T47" i="16"/>
  <c r="U47" i="16" s="1"/>
  <c r="V47" i="16" s="1"/>
  <c r="W47" i="16" s="1"/>
  <c r="X47" i="16" s="1"/>
  <c r="Y47" i="16" s="1"/>
  <c r="Z47" i="16" s="1"/>
  <c r="AA47" i="16" s="1"/>
  <c r="D47" i="16"/>
  <c r="AM51" i="16"/>
  <c r="BD47" i="17"/>
  <c r="T47" i="17"/>
  <c r="U47" i="17" s="1"/>
  <c r="V47" i="17" s="1"/>
  <c r="W47" i="17" s="1"/>
  <c r="X47" i="17" s="1"/>
  <c r="Y47" i="17" s="1"/>
  <c r="Z47" i="17" s="1"/>
  <c r="AA47" i="17" s="1"/>
  <c r="L47" i="17"/>
  <c r="M47" i="17" s="1"/>
  <c r="N47" i="17" s="1"/>
  <c r="O47" i="17" s="1"/>
  <c r="P47" i="17" s="1"/>
  <c r="Q47" i="17" s="1"/>
  <c r="R47" i="17" s="1"/>
  <c r="AV47" i="16"/>
  <c r="AU65" i="16"/>
  <c r="AC51" i="16"/>
  <c r="T51" i="3"/>
  <c r="U51" i="3" s="1"/>
  <c r="V51" i="3" s="1"/>
  <c r="W51" i="3" s="1"/>
  <c r="X51" i="3" s="1"/>
  <c r="Y51" i="3" s="1"/>
  <c r="Z51" i="3" s="1"/>
  <c r="AA51" i="3" s="1"/>
  <c r="AV53" i="16"/>
  <c r="AU60" i="16"/>
  <c r="AU59" i="16"/>
  <c r="D53" i="17"/>
  <c r="AM48" i="17"/>
  <c r="AD46" i="17"/>
  <c r="C60" i="17"/>
  <c r="AD47" i="17" s="1"/>
  <c r="K58" i="3"/>
  <c r="T53" i="16"/>
  <c r="L53" i="16"/>
  <c r="BD53" i="16"/>
  <c r="K60" i="16"/>
  <c r="AV53" i="17"/>
  <c r="AU60" i="17"/>
  <c r="AU59" i="17"/>
  <c r="D53" i="16"/>
  <c r="AM48" i="16"/>
  <c r="C60" i="16"/>
  <c r="AD47" i="16" s="1"/>
  <c r="AD46" i="16"/>
  <c r="K60" i="17"/>
  <c r="BD53" i="17"/>
  <c r="L53" i="17"/>
  <c r="T53" i="17"/>
  <c r="BD23" i="17"/>
  <c r="BD30" i="17" s="1"/>
  <c r="BD24" i="17"/>
  <c r="BE9" i="17"/>
  <c r="BF8" i="17"/>
  <c r="BF8" i="16"/>
  <c r="BE9" i="16"/>
  <c r="BD23" i="16"/>
  <c r="BD30" i="16" s="1"/>
  <c r="BD24" i="16"/>
  <c r="AV8" i="16"/>
  <c r="AU9" i="16"/>
  <c r="AV8" i="17"/>
  <c r="AU9" i="17"/>
  <c r="L145" i="15"/>
  <c r="L165" i="15" s="1"/>
  <c r="L46" i="3"/>
  <c r="M46" i="3" s="1"/>
  <c r="N46" i="3" s="1"/>
  <c r="O46" i="3" s="1"/>
  <c r="P46" i="3" s="1"/>
  <c r="Q46" i="3" s="1"/>
  <c r="R46" i="3" s="1"/>
  <c r="L46" i="15"/>
  <c r="BD46" i="3"/>
  <c r="D46" i="3"/>
  <c r="AM49" i="3"/>
  <c r="E90" i="15"/>
  <c r="AM49" i="14"/>
  <c r="AZ28" i="14"/>
  <c r="H28" i="14"/>
  <c r="AQ15" i="14"/>
  <c r="G106" i="15"/>
  <c r="G176" i="15"/>
  <c r="G107" i="15"/>
  <c r="G175" i="15"/>
  <c r="G105" i="15"/>
  <c r="H172" i="15"/>
  <c r="G177" i="15"/>
  <c r="G95" i="15"/>
  <c r="H112" i="15"/>
  <c r="Q261" i="15"/>
  <c r="R235" i="15"/>
  <c r="Q107" i="15"/>
  <c r="Q177" i="15"/>
  <c r="Q105" i="15"/>
  <c r="Q106" i="15"/>
  <c r="R172" i="15"/>
  <c r="Q176" i="15"/>
  <c r="Q175" i="15"/>
  <c r="G261" i="15"/>
  <c r="H235" i="15"/>
  <c r="O43" i="15"/>
  <c r="N78" i="15"/>
  <c r="BI28" i="14"/>
  <c r="Q28" i="14"/>
  <c r="M472" i="2"/>
  <c r="C472" i="2" s="1"/>
  <c r="F1496" i="2"/>
  <c r="F25" i="15"/>
  <c r="F52" i="15" s="1"/>
  <c r="M462" i="2"/>
  <c r="J462" i="2" s="1"/>
  <c r="J1408" i="2" s="1"/>
  <c r="M440" i="2"/>
  <c r="H440" i="2" s="1"/>
  <c r="H1388" i="2" s="1"/>
  <c r="M460" i="2"/>
  <c r="G460" i="2" s="1"/>
  <c r="G1406" i="2" s="1"/>
  <c r="M392" i="2"/>
  <c r="I392" i="2" s="1"/>
  <c r="I1344" i="2" s="1"/>
  <c r="M416" i="2"/>
  <c r="E416" i="2" s="1"/>
  <c r="E1366" i="2" s="1"/>
  <c r="M405" i="2"/>
  <c r="E405" i="2" s="1"/>
  <c r="E1356" i="2" s="1"/>
  <c r="AU9" i="3"/>
  <c r="AV8" i="3"/>
  <c r="BD22" i="3"/>
  <c r="BD29" i="3" s="1"/>
  <c r="BD23" i="3"/>
  <c r="AV8" i="14"/>
  <c r="AU9" i="14"/>
  <c r="AU56" i="3"/>
  <c r="AU63" i="3" s="1"/>
  <c r="AU57" i="3"/>
  <c r="M445" i="2"/>
  <c r="I445" i="2" s="1"/>
  <c r="I1393" i="2" s="1"/>
  <c r="M439" i="2"/>
  <c r="F439" i="2" s="1"/>
  <c r="F1387" i="2" s="1"/>
  <c r="M449" i="2"/>
  <c r="G449" i="2" s="1"/>
  <c r="G1396" i="2" s="1"/>
  <c r="M463" i="2"/>
  <c r="I463" i="2" s="1"/>
  <c r="I1409" i="2" s="1"/>
  <c r="M465" i="2"/>
  <c r="F465" i="2" s="1"/>
  <c r="F1411" i="2" s="1"/>
  <c r="M431" i="2"/>
  <c r="D431" i="2" s="1"/>
  <c r="D1380" i="2" s="1"/>
  <c r="M421" i="2"/>
  <c r="G421" i="2" s="1"/>
  <c r="G1371" i="2" s="1"/>
  <c r="M397" i="2"/>
  <c r="H397" i="2" s="1"/>
  <c r="H1349" i="2" s="1"/>
  <c r="M471" i="2"/>
  <c r="F471" i="2" s="1"/>
  <c r="F1416" i="2" s="1"/>
  <c r="M420" i="2"/>
  <c r="J420" i="2" s="1"/>
  <c r="J1370" i="2" s="1"/>
  <c r="M454" i="2"/>
  <c r="I454" i="2" s="1"/>
  <c r="I1401" i="2" s="1"/>
  <c r="M443" i="2"/>
  <c r="D443" i="2" s="1"/>
  <c r="D1391" i="2" s="1"/>
  <c r="M450" i="2"/>
  <c r="H450" i="2" s="1"/>
  <c r="H1397" i="2" s="1"/>
  <c r="M473" i="2"/>
  <c r="F473" i="2" s="1"/>
  <c r="F1418" i="2" s="1"/>
  <c r="M409" i="2"/>
  <c r="H409" i="2" s="1"/>
  <c r="H1360" i="2" s="1"/>
  <c r="M408" i="2"/>
  <c r="J408" i="2" s="1"/>
  <c r="J1359" i="2" s="1"/>
  <c r="M444" i="2"/>
  <c r="E444" i="2" s="1"/>
  <c r="E1392" i="2" s="1"/>
  <c r="M430" i="2"/>
  <c r="D430" i="2" s="1"/>
  <c r="D1379" i="2" s="1"/>
  <c r="M442" i="2"/>
  <c r="J442" i="2" s="1"/>
  <c r="J1390" i="2" s="1"/>
  <c r="M474" i="2"/>
  <c r="C474" i="2" s="1"/>
  <c r="M427" i="2"/>
  <c r="C427" i="2" s="1"/>
  <c r="M425" i="2"/>
  <c r="I425" i="2" s="1"/>
  <c r="I1374" i="2" s="1"/>
  <c r="M412" i="2"/>
  <c r="H412" i="2" s="1"/>
  <c r="H1363" i="2" s="1"/>
  <c r="E17" i="13"/>
  <c r="V49" i="3"/>
  <c r="W49" i="3" s="1"/>
  <c r="G17" i="13"/>
  <c r="M418" i="2"/>
  <c r="E418" i="2" s="1"/>
  <c r="E1368" i="2" s="1"/>
  <c r="M451" i="2"/>
  <c r="J451" i="2" s="1"/>
  <c r="J1398" i="2" s="1"/>
  <c r="M477" i="2"/>
  <c r="D477" i="2" s="1"/>
  <c r="D1422" i="2" s="1"/>
  <c r="M426" i="2"/>
  <c r="E426" i="2" s="1"/>
  <c r="E1375" i="2" s="1"/>
  <c r="M395" i="2"/>
  <c r="F395" i="2" s="1"/>
  <c r="F1347" i="2" s="1"/>
  <c r="M407" i="2"/>
  <c r="D407" i="2" s="1"/>
  <c r="D1358" i="2" s="1"/>
  <c r="M432" i="2"/>
  <c r="J432" i="2" s="1"/>
  <c r="J1381" i="2" s="1"/>
  <c r="M436" i="2"/>
  <c r="G436" i="2" s="1"/>
  <c r="G1384" i="2" s="1"/>
  <c r="M441" i="2"/>
  <c r="D441" i="2" s="1"/>
  <c r="D1389" i="2" s="1"/>
  <c r="M478" i="2"/>
  <c r="D478" i="2" s="1"/>
  <c r="D1423" i="2" s="1"/>
  <c r="N49" i="3"/>
  <c r="N58" i="3" s="1"/>
  <c r="F8" i="13"/>
  <c r="M414" i="2"/>
  <c r="I414" i="2" s="1"/>
  <c r="I1364" i="2" s="1"/>
  <c r="M459" i="2"/>
  <c r="F459" i="2" s="1"/>
  <c r="F1405" i="2" s="1"/>
  <c r="M398" i="2"/>
  <c r="I398" i="2" s="1"/>
  <c r="I1350" i="2" s="1"/>
  <c r="M411" i="2"/>
  <c r="D411" i="2" s="1"/>
  <c r="D1362" i="2" s="1"/>
  <c r="M434" i="2"/>
  <c r="J434" i="2" s="1"/>
  <c r="J1383" i="2" s="1"/>
  <c r="M393" i="2"/>
  <c r="E393" i="2" s="1"/>
  <c r="E1345" i="2" s="1"/>
  <c r="M429" i="2"/>
  <c r="E429" i="2" s="1"/>
  <c r="E1378" i="2" s="1"/>
  <c r="M404" i="2"/>
  <c r="J404" i="2" s="1"/>
  <c r="J1355" i="2" s="1"/>
  <c r="M410" i="2"/>
  <c r="F410" i="2" s="1"/>
  <c r="F1361" i="2" s="1"/>
  <c r="M406" i="2"/>
  <c r="H406" i="2" s="1"/>
  <c r="H1357" i="2" s="1"/>
  <c r="M396" i="2"/>
  <c r="J396" i="2" s="1"/>
  <c r="J1348" i="2" s="1"/>
  <c r="M428" i="2"/>
  <c r="J428" i="2" s="1"/>
  <c r="J1377" i="2" s="1"/>
  <c r="M452" i="2"/>
  <c r="I452" i="2" s="1"/>
  <c r="I1399" i="2" s="1"/>
  <c r="M470" i="2"/>
  <c r="F470" i="2" s="1"/>
  <c r="F1415" i="2" s="1"/>
  <c r="M475" i="2"/>
  <c r="D475" i="2" s="1"/>
  <c r="D1420" i="2" s="1"/>
  <c r="M458" i="2"/>
  <c r="H458" i="2" s="1"/>
  <c r="H1404" i="2" s="1"/>
  <c r="L58" i="3"/>
  <c r="M415" i="2"/>
  <c r="H415" i="2" s="1"/>
  <c r="H1365" i="2" s="1"/>
  <c r="M476" i="2"/>
  <c r="G476" i="2" s="1"/>
  <c r="G1421" i="2" s="1"/>
  <c r="M469" i="2"/>
  <c r="I469" i="2" s="1"/>
  <c r="I1414" i="2" s="1"/>
  <c r="M399" i="2"/>
  <c r="I399" i="2" s="1"/>
  <c r="I1351" i="2" s="1"/>
  <c r="M423" i="2"/>
  <c r="H423" i="2" s="1"/>
  <c r="H1373" i="2" s="1"/>
  <c r="M422" i="2"/>
  <c r="C422" i="2" s="1"/>
  <c r="C1372" i="2" s="1"/>
  <c r="M467" i="2"/>
  <c r="G467" i="2" s="1"/>
  <c r="G1413" i="2" s="1"/>
  <c r="M447" i="2"/>
  <c r="C447" i="2" s="1"/>
  <c r="M400" i="2"/>
  <c r="I400" i="2" s="1"/>
  <c r="I1352" i="2" s="1"/>
  <c r="M461" i="2"/>
  <c r="J461" i="2" s="1"/>
  <c r="J1407" i="2" s="1"/>
  <c r="M394" i="2"/>
  <c r="H394" i="2" s="1"/>
  <c r="H1346" i="2" s="1"/>
  <c r="M455" i="2"/>
  <c r="D455" i="2" s="1"/>
  <c r="D1402" i="2" s="1"/>
  <c r="M437" i="2"/>
  <c r="G437" i="2" s="1"/>
  <c r="G1385" i="2" s="1"/>
  <c r="M466" i="2"/>
  <c r="C466" i="2" s="1"/>
  <c r="F17" i="13"/>
  <c r="M417" i="2"/>
  <c r="F417" i="2" s="1"/>
  <c r="F1367" i="2" s="1"/>
  <c r="M419" i="2"/>
  <c r="E419" i="2" s="1"/>
  <c r="E1369" i="2" s="1"/>
  <c r="M448" i="2"/>
  <c r="F448" i="2" s="1"/>
  <c r="F1395" i="2" s="1"/>
  <c r="M433" i="2"/>
  <c r="J433" i="2" s="1"/>
  <c r="J1382" i="2" s="1"/>
  <c r="M401" i="2"/>
  <c r="D401" i="2" s="1"/>
  <c r="D1353" i="2" s="1"/>
  <c r="M453" i="2"/>
  <c r="E453" i="2" s="1"/>
  <c r="E1400" i="2" s="1"/>
  <c r="M403" i="2"/>
  <c r="F403" i="2" s="1"/>
  <c r="F1354" i="2" s="1"/>
  <c r="M438" i="2"/>
  <c r="H438" i="2" s="1"/>
  <c r="H1386" i="2" s="1"/>
  <c r="M464" i="2"/>
  <c r="J464" i="2" s="1"/>
  <c r="J1410" i="2" s="1"/>
  <c r="F87" i="15"/>
  <c r="T58" i="14"/>
  <c r="D17" i="13"/>
  <c r="E8" i="13"/>
  <c r="B8" i="13"/>
  <c r="U58" i="14"/>
  <c r="H17" i="13"/>
  <c r="H8" i="13"/>
  <c r="B17" i="13"/>
  <c r="F88" i="15"/>
  <c r="G8" i="13"/>
  <c r="I17" i="13"/>
  <c r="C8" i="13"/>
  <c r="I8" i="13"/>
  <c r="D8" i="13"/>
  <c r="E76" i="15"/>
  <c r="D251" i="15"/>
  <c r="C252" i="15"/>
  <c r="BF9" i="3"/>
  <c r="BG8" i="3"/>
  <c r="E150" i="15"/>
  <c r="B53" i="15"/>
  <c r="C26" i="15"/>
  <c r="E48" i="14"/>
  <c r="AN47" i="14"/>
  <c r="D58" i="14"/>
  <c r="AE46" i="14" s="1"/>
  <c r="AE45" i="14"/>
  <c r="AN49" i="14"/>
  <c r="BE23" i="3"/>
  <c r="BE22" i="3"/>
  <c r="BE29" i="3" s="1"/>
  <c r="AW48" i="14"/>
  <c r="AW58" i="14" s="1"/>
  <c r="AV63" i="14"/>
  <c r="M26" i="15"/>
  <c r="L53" i="15"/>
  <c r="BE48" i="14"/>
  <c r="BD63" i="14"/>
  <c r="N251" i="15"/>
  <c r="M252" i="15"/>
  <c r="B145" i="15"/>
  <c r="B165" i="15" s="1"/>
  <c r="BG8" i="14"/>
  <c r="BF9" i="14"/>
  <c r="E70" i="15"/>
  <c r="F83" i="15"/>
  <c r="F68" i="15"/>
  <c r="F67" i="15"/>
  <c r="G31" i="15"/>
  <c r="G54" i="15" s="1"/>
  <c r="F75" i="15"/>
  <c r="F80" i="15"/>
  <c r="F89" i="15"/>
  <c r="F82" i="15"/>
  <c r="F81" i="15"/>
  <c r="F74" i="15"/>
  <c r="F78" i="15"/>
  <c r="F69" i="15"/>
  <c r="F73" i="15"/>
  <c r="E84" i="15"/>
  <c r="G46" i="14"/>
  <c r="AZ28" i="3"/>
  <c r="H28" i="3"/>
  <c r="AQ15" i="3"/>
  <c r="P28" i="3"/>
  <c r="BH28" i="3"/>
  <c r="Q114" i="15"/>
  <c r="P97" i="15"/>
  <c r="P93" i="15"/>
  <c r="Q110" i="15"/>
  <c r="F97" i="15"/>
  <c r="G114" i="15"/>
  <c r="AV56" i="3"/>
  <c r="AV63" i="3" s="1"/>
  <c r="H51" i="14"/>
  <c r="O49" i="14"/>
  <c r="BB42" i="3"/>
  <c r="AW43" i="3"/>
  <c r="AW57" i="3" s="1"/>
  <c r="AX46" i="3"/>
  <c r="AX51" i="3"/>
  <c r="AW58" i="3"/>
  <c r="AX50" i="14"/>
  <c r="BG49" i="14"/>
  <c r="BA46" i="14"/>
  <c r="J359" i="2"/>
  <c r="H358" i="2"/>
  <c r="N379" i="2" s="1"/>
  <c r="M270" i="2"/>
  <c r="M264" i="2"/>
  <c r="M312" i="2"/>
  <c r="M311" i="2"/>
  <c r="J358" i="2"/>
  <c r="N385" i="2" s="1"/>
  <c r="I230" i="2"/>
  <c r="M268" i="2"/>
  <c r="M317" i="2"/>
  <c r="M310" i="2"/>
  <c r="F358" i="2"/>
  <c r="N373" i="2" s="1"/>
  <c r="C359" i="2"/>
  <c r="C229" i="2"/>
  <c r="B358" i="2"/>
  <c r="N364" i="2" s="1"/>
  <c r="M313" i="2"/>
  <c r="M321" i="2"/>
  <c r="M322" i="2"/>
  <c r="M326" i="2"/>
  <c r="M337" i="2"/>
  <c r="D229" i="2"/>
  <c r="N237" i="2" s="1"/>
  <c r="M338" i="2"/>
  <c r="M329" i="2"/>
  <c r="M315" i="2"/>
  <c r="D359" i="2"/>
  <c r="J367" i="2" s="1"/>
  <c r="K367" i="2" s="1"/>
  <c r="I229" i="2"/>
  <c r="N247" i="2" s="1"/>
  <c r="M328" i="2"/>
  <c r="M263" i="2"/>
  <c r="G358" i="2"/>
  <c r="N376" i="2" s="1"/>
  <c r="M256" i="2"/>
  <c r="M262" i="2"/>
  <c r="M257" i="2"/>
  <c r="H359" i="2"/>
  <c r="D230" i="2"/>
  <c r="J237" i="2" s="1"/>
  <c r="K237" i="2" s="1"/>
  <c r="J229" i="2"/>
  <c r="N249" i="2" s="1"/>
  <c r="M269" i="2"/>
  <c r="J230" i="2"/>
  <c r="M275" i="2"/>
  <c r="B229" i="2"/>
  <c r="N235" i="2" s="1"/>
  <c r="M314" i="2"/>
  <c r="M261" i="2"/>
  <c r="M259" i="2"/>
  <c r="M341" i="2"/>
  <c r="C19" i="12"/>
  <c r="M333" i="2"/>
  <c r="E359" i="2"/>
  <c r="J370" i="2" s="1"/>
  <c r="K370" i="2" s="1"/>
  <c r="I358" i="2"/>
  <c r="N382" i="2" s="1"/>
  <c r="M255" i="2"/>
  <c r="M258" i="2"/>
  <c r="M272" i="2"/>
  <c r="G359" i="2"/>
  <c r="M273" i="2"/>
  <c r="M260" i="2"/>
  <c r="M274" i="2"/>
  <c r="M267" i="2"/>
  <c r="C10" i="12"/>
  <c r="H229" i="2"/>
  <c r="N245" i="2" s="1"/>
  <c r="M323" i="2"/>
  <c r="M271" i="2"/>
  <c r="M324" i="2"/>
  <c r="B359" i="2"/>
  <c r="J364" i="2" s="1"/>
  <c r="K364" i="2" s="1"/>
  <c r="H230" i="2"/>
  <c r="M318" i="2"/>
  <c r="B230" i="2"/>
  <c r="J235" i="2" s="1"/>
  <c r="K235" i="2" s="1"/>
  <c r="C230" i="2"/>
  <c r="M327" i="2"/>
  <c r="M319" i="2"/>
  <c r="D358" i="2"/>
  <c r="N367" i="2" s="1"/>
  <c r="F359" i="2"/>
  <c r="M332" i="2"/>
  <c r="M266" i="2"/>
  <c r="M302" i="2"/>
  <c r="M316" i="2"/>
  <c r="M339" i="2"/>
  <c r="M330" i="2"/>
  <c r="I359" i="2"/>
  <c r="M286" i="2"/>
  <c r="M280" i="2"/>
  <c r="E229" i="2"/>
  <c r="N239" i="2" s="1"/>
  <c r="M277" i="2"/>
  <c r="M279" i="2"/>
  <c r="M283" i="2"/>
  <c r="M325" i="2"/>
  <c r="M278" i="2"/>
  <c r="M285" i="2"/>
  <c r="M281" i="2"/>
  <c r="E230" i="2"/>
  <c r="J239" i="2" s="1"/>
  <c r="K239" i="2" s="1"/>
  <c r="E358" i="2"/>
  <c r="N370" i="2" s="1"/>
  <c r="M282" i="2"/>
  <c r="M284" i="2"/>
  <c r="M290" i="2"/>
  <c r="M291" i="2"/>
  <c r="M296" i="2"/>
  <c r="M307" i="2"/>
  <c r="M306" i="2"/>
  <c r="M336" i="2"/>
  <c r="F229" i="2"/>
  <c r="N241" i="2" s="1"/>
  <c r="M292" i="2"/>
  <c r="M305" i="2"/>
  <c r="M293" i="2"/>
  <c r="F230" i="2"/>
  <c r="M295" i="2"/>
  <c r="M303" i="2"/>
  <c r="M301" i="2"/>
  <c r="M308" i="2"/>
  <c r="M334" i="2"/>
  <c r="M294" i="2"/>
  <c r="M289" i="2"/>
  <c r="M288" i="2"/>
  <c r="G230" i="2"/>
  <c r="M300" i="2"/>
  <c r="M299" i="2"/>
  <c r="M304" i="2"/>
  <c r="M335" i="2"/>
  <c r="M297" i="2"/>
  <c r="G229" i="2"/>
  <c r="N243" i="2" s="1"/>
  <c r="M340" i="2"/>
  <c r="C22" i="12"/>
  <c r="C4" i="12"/>
  <c r="C16" i="12"/>
  <c r="C7" i="12"/>
  <c r="C13" i="12"/>
  <c r="C25" i="12"/>
  <c r="D13" i="10"/>
  <c r="H12" i="10"/>
  <c r="AV57" i="3"/>
  <c r="A1496" i="2"/>
  <c r="C1486" i="2"/>
  <c r="C18" i="3" s="1"/>
  <c r="F456" i="2"/>
  <c r="F1403" i="2" s="1"/>
  <c r="C456" i="2"/>
  <c r="D456" i="2"/>
  <c r="D1403" i="2" s="1"/>
  <c r="J456" i="2"/>
  <c r="J1403" i="2" s="1"/>
  <c r="G456" i="2"/>
  <c r="G1403" i="2" s="1"/>
  <c r="E456" i="2"/>
  <c r="E1403" i="2" s="1"/>
  <c r="I456" i="2"/>
  <c r="I1403" i="2" s="1"/>
  <c r="H456" i="2"/>
  <c r="H1403" i="2" s="1"/>
  <c r="F48" i="3"/>
  <c r="AO47" i="3"/>
  <c r="E58" i="3"/>
  <c r="AF46" i="3" s="1"/>
  <c r="F51" i="3"/>
  <c r="AF45" i="3"/>
  <c r="W49" i="14"/>
  <c r="V58" i="14"/>
  <c r="G98" i="15"/>
  <c r="H115" i="15"/>
  <c r="H27" i="15"/>
  <c r="P96" i="15"/>
  <c r="Q113" i="15"/>
  <c r="P94" i="15"/>
  <c r="Q111" i="15"/>
  <c r="H110" i="15"/>
  <c r="G93" i="15"/>
  <c r="P54" i="15"/>
  <c r="Q27" i="15"/>
  <c r="O131" i="15"/>
  <c r="F129" i="15"/>
  <c r="H55" i="15"/>
  <c r="Q55" i="15"/>
  <c r="R28" i="15"/>
  <c r="G94" i="15"/>
  <c r="H111" i="15"/>
  <c r="G56" i="15"/>
  <c r="H29" i="15"/>
  <c r="J23" i="15"/>
  <c r="R31" i="15"/>
  <c r="P98" i="15"/>
  <c r="Q115" i="15"/>
  <c r="R95" i="15"/>
  <c r="S112" i="15"/>
  <c r="P130" i="15"/>
  <c r="F131" i="15"/>
  <c r="F124" i="15"/>
  <c r="P56" i="15"/>
  <c r="Q29" i="15"/>
  <c r="P52" i="15"/>
  <c r="Q25" i="15"/>
  <c r="G96" i="15"/>
  <c r="H113" i="15"/>
  <c r="I55" i="15"/>
  <c r="J28" i="15"/>
  <c r="H472" i="2" l="1"/>
  <c r="H1417" i="2" s="1"/>
  <c r="BD57" i="14"/>
  <c r="C1041" i="2"/>
  <c r="C1419" i="2"/>
  <c r="C1025" i="2"/>
  <c r="C1403" i="2"/>
  <c r="C1016" i="2"/>
  <c r="C1394" i="2"/>
  <c r="C1039" i="2"/>
  <c r="C1417" i="2"/>
  <c r="C1034" i="2"/>
  <c r="C1412" i="2"/>
  <c r="C998" i="2"/>
  <c r="C1376" i="2"/>
  <c r="E472" i="2"/>
  <c r="E1417" i="2" s="1"/>
  <c r="G658" i="2"/>
  <c r="G1025" i="2"/>
  <c r="D608" i="2"/>
  <c r="D975" i="2"/>
  <c r="D657" i="2"/>
  <c r="D1024" i="2"/>
  <c r="I606" i="2"/>
  <c r="I973" i="2"/>
  <c r="I654" i="2"/>
  <c r="I1021" i="2"/>
  <c r="J638" i="2"/>
  <c r="J1005" i="2"/>
  <c r="D644" i="2"/>
  <c r="D1011" i="2"/>
  <c r="E623" i="2"/>
  <c r="E990" i="2"/>
  <c r="D646" i="2"/>
  <c r="D1013" i="2"/>
  <c r="I664" i="2"/>
  <c r="I1031" i="2"/>
  <c r="H643" i="2"/>
  <c r="H1010" i="2"/>
  <c r="H658" i="2"/>
  <c r="H1025" i="2"/>
  <c r="J637" i="2"/>
  <c r="J1004" i="2"/>
  <c r="H601" i="2"/>
  <c r="H968" i="2"/>
  <c r="I669" i="2"/>
  <c r="I1036" i="2"/>
  <c r="J632" i="2"/>
  <c r="J999" i="2"/>
  <c r="D617" i="2"/>
  <c r="D984" i="2"/>
  <c r="G639" i="2"/>
  <c r="G1006" i="2"/>
  <c r="J645" i="2"/>
  <c r="J1012" i="2"/>
  <c r="I656" i="2"/>
  <c r="I1023" i="2"/>
  <c r="G651" i="2"/>
  <c r="G1018" i="2"/>
  <c r="J663" i="2"/>
  <c r="J1030" i="2"/>
  <c r="J658" i="2"/>
  <c r="J1025" i="2"/>
  <c r="D658" i="2"/>
  <c r="D1025" i="2"/>
  <c r="F650" i="2"/>
  <c r="F1017" i="2"/>
  <c r="J662" i="2"/>
  <c r="J1029" i="2"/>
  <c r="G676" i="2"/>
  <c r="G1043" i="2"/>
  <c r="J603" i="2"/>
  <c r="J970" i="2"/>
  <c r="I605" i="2"/>
  <c r="I972" i="2"/>
  <c r="J636" i="2"/>
  <c r="J1003" i="2"/>
  <c r="D634" i="2"/>
  <c r="D1001" i="2"/>
  <c r="J625" i="2"/>
  <c r="J992" i="2"/>
  <c r="F642" i="2"/>
  <c r="F1009" i="2"/>
  <c r="E624" i="2"/>
  <c r="E991" i="2"/>
  <c r="I607" i="2"/>
  <c r="I974" i="2"/>
  <c r="H620" i="2"/>
  <c r="H987" i="2"/>
  <c r="H612" i="2"/>
  <c r="H979" i="2"/>
  <c r="F660" i="2"/>
  <c r="F1027" i="2"/>
  <c r="D613" i="2"/>
  <c r="D980" i="2"/>
  <c r="E647" i="2"/>
  <c r="E1014" i="2"/>
  <c r="F671" i="2"/>
  <c r="F1038" i="2"/>
  <c r="I648" i="2"/>
  <c r="I1015" i="2"/>
  <c r="F658" i="2"/>
  <c r="F1025" i="2"/>
  <c r="J665" i="2"/>
  <c r="J1032" i="2"/>
  <c r="F622" i="2"/>
  <c r="F989" i="2"/>
  <c r="F616" i="2"/>
  <c r="F983" i="2"/>
  <c r="I619" i="2"/>
  <c r="I986" i="2"/>
  <c r="F602" i="2"/>
  <c r="F969" i="2"/>
  <c r="J614" i="2"/>
  <c r="J981" i="2"/>
  <c r="H604" i="2"/>
  <c r="H971" i="2"/>
  <c r="E611" i="2"/>
  <c r="E978" i="2"/>
  <c r="H641" i="2"/>
  <c r="H1008" i="2"/>
  <c r="G668" i="2"/>
  <c r="G1035" i="2"/>
  <c r="H659" i="2"/>
  <c r="H1026" i="2"/>
  <c r="J610" i="2"/>
  <c r="J977" i="2"/>
  <c r="E630" i="2"/>
  <c r="E997" i="2"/>
  <c r="H618" i="2"/>
  <c r="H985" i="2"/>
  <c r="H615" i="2"/>
  <c r="H982" i="2"/>
  <c r="G626" i="2"/>
  <c r="G993" i="2"/>
  <c r="E621" i="2"/>
  <c r="E988" i="2"/>
  <c r="F609" i="2"/>
  <c r="F976" i="2"/>
  <c r="C627" i="2"/>
  <c r="C994" i="2"/>
  <c r="D675" i="2"/>
  <c r="D1042" i="2"/>
  <c r="E633" i="2"/>
  <c r="E1000" i="2"/>
  <c r="D677" i="2"/>
  <c r="D1044" i="2"/>
  <c r="I629" i="2"/>
  <c r="I996" i="2"/>
  <c r="F673" i="2"/>
  <c r="F1040" i="2"/>
  <c r="D635" i="2"/>
  <c r="D1002" i="2"/>
  <c r="I599" i="2"/>
  <c r="I966" i="2"/>
  <c r="I658" i="2"/>
  <c r="I1025" i="2"/>
  <c r="E658" i="2"/>
  <c r="E1025" i="2"/>
  <c r="E655" i="2"/>
  <c r="E1022" i="2"/>
  <c r="G640" i="2"/>
  <c r="G1007" i="2"/>
  <c r="H628" i="2"/>
  <c r="H995" i="2"/>
  <c r="F670" i="2"/>
  <c r="F1037" i="2"/>
  <c r="E600" i="2"/>
  <c r="E967" i="2"/>
  <c r="D678" i="2"/>
  <c r="D1045" i="2"/>
  <c r="J653" i="2"/>
  <c r="J1020" i="2"/>
  <c r="H652" i="2"/>
  <c r="H1019" i="2"/>
  <c r="F666" i="2"/>
  <c r="F1033" i="2"/>
  <c r="G661" i="2"/>
  <c r="G1028" i="2"/>
  <c r="L58" i="14"/>
  <c r="N58" i="14"/>
  <c r="BE22" i="14"/>
  <c r="BE29" i="14" s="1"/>
  <c r="M58" i="14"/>
  <c r="L63" i="15"/>
  <c r="L138" i="15" s="1"/>
  <c r="L60" i="15"/>
  <c r="F472" i="2"/>
  <c r="F1417" i="2" s="1"/>
  <c r="G472" i="2"/>
  <c r="G1417" i="2" s="1"/>
  <c r="I472" i="2"/>
  <c r="I1417" i="2" s="1"/>
  <c r="D472" i="2"/>
  <c r="J472" i="2"/>
  <c r="J1417" i="2" s="1"/>
  <c r="J411" i="2"/>
  <c r="J1362" i="2" s="1"/>
  <c r="BD58" i="14"/>
  <c r="O49" i="3"/>
  <c r="P49" i="3" s="1"/>
  <c r="O124" i="15"/>
  <c r="G87" i="15"/>
  <c r="L62" i="15"/>
  <c r="BG51" i="3"/>
  <c r="BG58" i="3" s="1"/>
  <c r="BD58" i="3"/>
  <c r="BE58" i="3"/>
  <c r="AW57" i="14"/>
  <c r="N76" i="15"/>
  <c r="L61" i="15"/>
  <c r="N84" i="15"/>
  <c r="BE47" i="17"/>
  <c r="BD65" i="17"/>
  <c r="T58" i="3"/>
  <c r="U58" i="3"/>
  <c r="E47" i="16"/>
  <c r="AN51" i="16"/>
  <c r="O80" i="15"/>
  <c r="P23" i="15"/>
  <c r="P87" i="15" s="1"/>
  <c r="O75" i="15"/>
  <c r="O81" i="15"/>
  <c r="O69" i="15"/>
  <c r="O89" i="15"/>
  <c r="O67" i="15"/>
  <c r="O73" i="15"/>
  <c r="O82" i="15"/>
  <c r="O68" i="15"/>
  <c r="O83" i="15"/>
  <c r="O74" i="15"/>
  <c r="O87" i="15"/>
  <c r="BE47" i="16"/>
  <c r="BD65" i="16"/>
  <c r="AW47" i="16"/>
  <c r="AV65" i="16"/>
  <c r="AW47" i="17"/>
  <c r="AV65" i="17"/>
  <c r="N70" i="15"/>
  <c r="V58" i="3"/>
  <c r="N150" i="15"/>
  <c r="N90" i="15"/>
  <c r="E47" i="17"/>
  <c r="AN51" i="17"/>
  <c r="U53" i="17"/>
  <c r="T60" i="17"/>
  <c r="BE53" i="17"/>
  <c r="BD60" i="17"/>
  <c r="BD59" i="17"/>
  <c r="AW53" i="17"/>
  <c r="AV59" i="17"/>
  <c r="AV60" i="17"/>
  <c r="E53" i="17"/>
  <c r="AN48" i="17"/>
  <c r="D60" i="17"/>
  <c r="AE47" i="17" s="1"/>
  <c r="AE46" i="17"/>
  <c r="AD51" i="16"/>
  <c r="BE53" i="16"/>
  <c r="BD60" i="16"/>
  <c r="BD59" i="16"/>
  <c r="M53" i="16"/>
  <c r="L60" i="16"/>
  <c r="U53" i="16"/>
  <c r="T60" i="16"/>
  <c r="AW53" i="16"/>
  <c r="AV60" i="16"/>
  <c r="AV59" i="16"/>
  <c r="M53" i="17"/>
  <c r="L60" i="17"/>
  <c r="E53" i="16"/>
  <c r="D60" i="16"/>
  <c r="AE47" i="16" s="1"/>
  <c r="AN48" i="16"/>
  <c r="AE46" i="16"/>
  <c r="BE23" i="16"/>
  <c r="BE30" i="16" s="1"/>
  <c r="BE24" i="16"/>
  <c r="BG8" i="16"/>
  <c r="BF9" i="16"/>
  <c r="AU24" i="17"/>
  <c r="AU23" i="17"/>
  <c r="AU30" i="17" s="1"/>
  <c r="AI29" i="17"/>
  <c r="BF9" i="17"/>
  <c r="BG8" i="17"/>
  <c r="AV9" i="17"/>
  <c r="AW8" i="17"/>
  <c r="BE23" i="17"/>
  <c r="BE30" i="17" s="1"/>
  <c r="BE24" i="17"/>
  <c r="AI29" i="16"/>
  <c r="AU23" i="16"/>
  <c r="AU30" i="16" s="1"/>
  <c r="AU24" i="16"/>
  <c r="AV9" i="16"/>
  <c r="AW8" i="16"/>
  <c r="B39" i="15"/>
  <c r="B63" i="15" s="1"/>
  <c r="B138" i="15" s="1"/>
  <c r="BK19" i="17"/>
  <c r="BB19" i="17"/>
  <c r="AA19" i="17"/>
  <c r="R19" i="17"/>
  <c r="I19" i="17"/>
  <c r="AJ13" i="17" s="1"/>
  <c r="BA19" i="17"/>
  <c r="Q19" i="17"/>
  <c r="BI19" i="17"/>
  <c r="AZ19" i="17"/>
  <c r="Y19" i="17"/>
  <c r="P19" i="17"/>
  <c r="G19" i="17"/>
  <c r="AH13" i="17" s="1"/>
  <c r="M19" i="17"/>
  <c r="BE19" i="17"/>
  <c r="BH19" i="17"/>
  <c r="AY19" i="17"/>
  <c r="X19" i="17"/>
  <c r="O19" i="17"/>
  <c r="F19" i="17"/>
  <c r="AG13" i="17" s="1"/>
  <c r="V19" i="17"/>
  <c r="L19" i="17"/>
  <c r="BG19" i="17"/>
  <c r="AX19" i="17"/>
  <c r="W19" i="17"/>
  <c r="N19" i="17"/>
  <c r="E19" i="17"/>
  <c r="AF13" i="17" s="1"/>
  <c r="AW19" i="17"/>
  <c r="AV19" i="17"/>
  <c r="BF19" i="17"/>
  <c r="D19" i="17"/>
  <c r="AE13" i="17" s="1"/>
  <c r="C19" i="17"/>
  <c r="AD13" i="17" s="1"/>
  <c r="BD19" i="17"/>
  <c r="AU19" i="17"/>
  <c r="T19" i="17"/>
  <c r="K19" i="17"/>
  <c r="B19" i="17"/>
  <c r="AC13" i="17" s="1"/>
  <c r="BJ19" i="17"/>
  <c r="Z19" i="17"/>
  <c r="H19" i="17"/>
  <c r="AI13" i="17" s="1"/>
  <c r="U19" i="17"/>
  <c r="BI19" i="16"/>
  <c r="AZ19" i="16"/>
  <c r="Y19" i="16"/>
  <c r="P19" i="16"/>
  <c r="G19" i="16"/>
  <c r="AH13" i="16" s="1"/>
  <c r="AA19" i="16"/>
  <c r="BH19" i="16"/>
  <c r="AY19" i="16"/>
  <c r="X19" i="16"/>
  <c r="O19" i="16"/>
  <c r="F19" i="16"/>
  <c r="AG13" i="16" s="1"/>
  <c r="R19" i="16"/>
  <c r="BG19" i="16"/>
  <c r="AX19" i="16"/>
  <c r="W19" i="16"/>
  <c r="N19" i="16"/>
  <c r="E19" i="16"/>
  <c r="AF13" i="16" s="1"/>
  <c r="I19" i="16"/>
  <c r="AJ13" i="16" s="1"/>
  <c r="BF19" i="16"/>
  <c r="AW19" i="16"/>
  <c r="V19" i="16"/>
  <c r="M19" i="16"/>
  <c r="D19" i="16"/>
  <c r="AE13" i="16" s="1"/>
  <c r="BK19" i="16"/>
  <c r="BE19" i="16"/>
  <c r="AV19" i="16"/>
  <c r="U19" i="16"/>
  <c r="L19" i="16"/>
  <c r="C19" i="16"/>
  <c r="AD13" i="16" s="1"/>
  <c r="BD19" i="16"/>
  <c r="AU19" i="16"/>
  <c r="T19" i="16"/>
  <c r="K19" i="16"/>
  <c r="B19" i="16"/>
  <c r="AC13" i="16" s="1"/>
  <c r="BJ19" i="16"/>
  <c r="BA19" i="16"/>
  <c r="Z19" i="16"/>
  <c r="Q19" i="16"/>
  <c r="H19" i="16"/>
  <c r="AI13" i="16" s="1"/>
  <c r="BB19" i="16"/>
  <c r="H416" i="2"/>
  <c r="H1366" i="2" s="1"/>
  <c r="BD43" i="3"/>
  <c r="BE46" i="3"/>
  <c r="E46" i="3"/>
  <c r="AN49" i="3"/>
  <c r="AR15" i="14"/>
  <c r="I28" i="14"/>
  <c r="BA28" i="14"/>
  <c r="G25" i="15"/>
  <c r="H25" i="15" s="1"/>
  <c r="BJ28" i="14"/>
  <c r="R28" i="14"/>
  <c r="BK28" i="14" s="1"/>
  <c r="I235" i="15"/>
  <c r="H261" i="15"/>
  <c r="R176" i="15"/>
  <c r="R177" i="15"/>
  <c r="S172" i="15"/>
  <c r="R107" i="15"/>
  <c r="R106" i="15"/>
  <c r="R105" i="15"/>
  <c r="R175" i="15"/>
  <c r="R261" i="15"/>
  <c r="S235" i="15"/>
  <c r="H176" i="15"/>
  <c r="H107" i="15"/>
  <c r="I172" i="15"/>
  <c r="H105" i="15"/>
  <c r="H106" i="15"/>
  <c r="H175" i="15"/>
  <c r="H177" i="15"/>
  <c r="P43" i="15"/>
  <c r="O78" i="15"/>
  <c r="H95" i="15"/>
  <c r="I112" i="15"/>
  <c r="I1486" i="2"/>
  <c r="E445" i="2"/>
  <c r="C445" i="2"/>
  <c r="C1393" i="2" s="1"/>
  <c r="F440" i="2"/>
  <c r="F1388" i="2" s="1"/>
  <c r="J463" i="2"/>
  <c r="E462" i="2"/>
  <c r="E440" i="2"/>
  <c r="J445" i="2"/>
  <c r="C440" i="2"/>
  <c r="I462" i="2"/>
  <c r="D405" i="2"/>
  <c r="D1356" i="2" s="1"/>
  <c r="F462" i="2"/>
  <c r="F1408" i="2" s="1"/>
  <c r="J416" i="2"/>
  <c r="F463" i="2"/>
  <c r="H462" i="2"/>
  <c r="H1408" i="2" s="1"/>
  <c r="D463" i="2"/>
  <c r="C462" i="2"/>
  <c r="C1408" i="2" s="1"/>
  <c r="G462" i="2"/>
  <c r="I416" i="2"/>
  <c r="I1366" i="2" s="1"/>
  <c r="F443" i="2"/>
  <c r="G463" i="2"/>
  <c r="D462" i="2"/>
  <c r="F416" i="2"/>
  <c r="F1366" i="2" s="1"/>
  <c r="E471" i="2"/>
  <c r="F445" i="2"/>
  <c r="D440" i="2"/>
  <c r="H420" i="2"/>
  <c r="H1370" i="2" s="1"/>
  <c r="J439" i="2"/>
  <c r="C439" i="2"/>
  <c r="H392" i="2"/>
  <c r="F392" i="2"/>
  <c r="D460" i="2"/>
  <c r="F460" i="2"/>
  <c r="F405" i="2"/>
  <c r="F1356" i="2" s="1"/>
  <c r="J460" i="2"/>
  <c r="J1406" i="2" s="1"/>
  <c r="H460" i="2"/>
  <c r="I405" i="2"/>
  <c r="D449" i="2"/>
  <c r="F449" i="2"/>
  <c r="D445" i="2"/>
  <c r="H445" i="2"/>
  <c r="I440" i="2"/>
  <c r="J440" i="2"/>
  <c r="J405" i="2"/>
  <c r="G405" i="2"/>
  <c r="G445" i="2"/>
  <c r="G1393" i="2" s="1"/>
  <c r="G440" i="2"/>
  <c r="G1388" i="2" s="1"/>
  <c r="H405" i="2"/>
  <c r="I443" i="2"/>
  <c r="C405" i="2"/>
  <c r="C1356" i="2" s="1"/>
  <c r="D439" i="2"/>
  <c r="D1387" i="2" s="1"/>
  <c r="J449" i="2"/>
  <c r="I449" i="2"/>
  <c r="C460" i="2"/>
  <c r="C1406" i="2" s="1"/>
  <c r="E460" i="2"/>
  <c r="J392" i="2"/>
  <c r="J1344" i="2" s="1"/>
  <c r="C392" i="2"/>
  <c r="C1344" i="2" s="1"/>
  <c r="H449" i="2"/>
  <c r="C449" i="2"/>
  <c r="C1396" i="2" s="1"/>
  <c r="D392" i="2"/>
  <c r="G392" i="2"/>
  <c r="G439" i="2"/>
  <c r="G1387" i="2" s="1"/>
  <c r="E449" i="2"/>
  <c r="E1396" i="2" s="1"/>
  <c r="I460" i="2"/>
  <c r="E392" i="2"/>
  <c r="E439" i="2"/>
  <c r="E1387" i="2" s="1"/>
  <c r="I439" i="2"/>
  <c r="I1387" i="2" s="1"/>
  <c r="I420" i="2"/>
  <c r="I1370" i="2" s="1"/>
  <c r="C463" i="2"/>
  <c r="H463" i="2"/>
  <c r="G416" i="2"/>
  <c r="D416" i="2"/>
  <c r="H443" i="2"/>
  <c r="H439" i="2"/>
  <c r="E463" i="2"/>
  <c r="C416" i="2"/>
  <c r="C1366" i="2" s="1"/>
  <c r="I474" i="2"/>
  <c r="I1419" i="2" s="1"/>
  <c r="AV9" i="3"/>
  <c r="AW8" i="3"/>
  <c r="AU22" i="14"/>
  <c r="AU29" i="14" s="1"/>
  <c r="AU23" i="14"/>
  <c r="AI28" i="14"/>
  <c r="AW8" i="14"/>
  <c r="AV9" i="14"/>
  <c r="AU22" i="3"/>
  <c r="AU29" i="3" s="1"/>
  <c r="AU23" i="3"/>
  <c r="AI28" i="3"/>
  <c r="F90" i="15"/>
  <c r="I409" i="2"/>
  <c r="I1360" i="2" s="1"/>
  <c r="E465" i="2"/>
  <c r="I465" i="2"/>
  <c r="D473" i="2"/>
  <c r="J431" i="2"/>
  <c r="D421" i="2"/>
  <c r="D1371" i="2" s="1"/>
  <c r="F431" i="2"/>
  <c r="F1380" i="2" s="1"/>
  <c r="D465" i="2"/>
  <c r="E431" i="2"/>
  <c r="E1380" i="2" s="1"/>
  <c r="D409" i="2"/>
  <c r="D1360" i="2" s="1"/>
  <c r="E421" i="2"/>
  <c r="E1371" i="2" s="1"/>
  <c r="C404" i="2"/>
  <c r="H465" i="2"/>
  <c r="H1411" i="2" s="1"/>
  <c r="G397" i="2"/>
  <c r="G1349" i="2" s="1"/>
  <c r="G409" i="2"/>
  <c r="G1360" i="2" s="1"/>
  <c r="F408" i="2"/>
  <c r="F1359" i="2" s="1"/>
  <c r="I417" i="2"/>
  <c r="I1367" i="2" s="1"/>
  <c r="D397" i="2"/>
  <c r="D1349" i="2" s="1"/>
  <c r="C409" i="2"/>
  <c r="C1360" i="2" s="1"/>
  <c r="C465" i="2"/>
  <c r="C1411" i="2" s="1"/>
  <c r="C421" i="2"/>
  <c r="H408" i="2"/>
  <c r="H1359" i="2" s="1"/>
  <c r="C431" i="2"/>
  <c r="C1380" i="2" s="1"/>
  <c r="H421" i="2"/>
  <c r="H1371" i="2" s="1"/>
  <c r="E417" i="2"/>
  <c r="E1367" i="2" s="1"/>
  <c r="D450" i="2"/>
  <c r="J409" i="2"/>
  <c r="J1360" i="2" s="1"/>
  <c r="G465" i="2"/>
  <c r="G1411" i="2" s="1"/>
  <c r="J421" i="2"/>
  <c r="J1371" i="2" s="1"/>
  <c r="C408" i="2"/>
  <c r="C1359" i="2" s="1"/>
  <c r="E397" i="2"/>
  <c r="E1349" i="2" s="1"/>
  <c r="F397" i="2"/>
  <c r="F1349" i="2" s="1"/>
  <c r="E450" i="2"/>
  <c r="E409" i="2"/>
  <c r="E1360" i="2" s="1"/>
  <c r="J465" i="2"/>
  <c r="F421" i="2"/>
  <c r="F1371" i="2" s="1"/>
  <c r="I408" i="2"/>
  <c r="I1359" i="2" s="1"/>
  <c r="J398" i="2"/>
  <c r="J1350" i="2" s="1"/>
  <c r="F409" i="2"/>
  <c r="F1360" i="2" s="1"/>
  <c r="I421" i="2"/>
  <c r="I1371" i="2" s="1"/>
  <c r="I431" i="2"/>
  <c r="D404" i="2"/>
  <c r="D1355" i="2" s="1"/>
  <c r="H431" i="2"/>
  <c r="C398" i="2"/>
  <c r="C1350" i="2" s="1"/>
  <c r="E441" i="2"/>
  <c r="D393" i="2"/>
  <c r="G423" i="2"/>
  <c r="G1373" i="2" s="1"/>
  <c r="G444" i="2"/>
  <c r="H471" i="2"/>
  <c r="H428" i="2"/>
  <c r="D464" i="2"/>
  <c r="F476" i="2"/>
  <c r="C444" i="2"/>
  <c r="C1392" i="2" s="1"/>
  <c r="G431" i="2"/>
  <c r="G1380" i="2" s="1"/>
  <c r="I471" i="2"/>
  <c r="D454" i="2"/>
  <c r="F464" i="2"/>
  <c r="H444" i="2"/>
  <c r="G455" i="2"/>
  <c r="J444" i="2"/>
  <c r="H455" i="2"/>
  <c r="H1402" i="2" s="1"/>
  <c r="G442" i="2"/>
  <c r="I444" i="2"/>
  <c r="D476" i="2"/>
  <c r="I397" i="2"/>
  <c r="I1349" i="2" s="1"/>
  <c r="D461" i="2"/>
  <c r="H430" i="2"/>
  <c r="E408" i="2"/>
  <c r="E1359" i="2" s="1"/>
  <c r="F454" i="2"/>
  <c r="E437" i="2"/>
  <c r="D471" i="2"/>
  <c r="D442" i="2"/>
  <c r="D444" i="2"/>
  <c r="G420" i="2"/>
  <c r="G1370" i="2" s="1"/>
  <c r="G396" i="2"/>
  <c r="G1348" i="2" s="1"/>
  <c r="J397" i="2"/>
  <c r="J1349" i="2" s="1"/>
  <c r="G461" i="2"/>
  <c r="I430" i="2"/>
  <c r="I1379" i="2" s="1"/>
  <c r="D408" i="2"/>
  <c r="D1359" i="2" s="1"/>
  <c r="F442" i="2"/>
  <c r="C471" i="2"/>
  <c r="E420" i="2"/>
  <c r="E1370" i="2" s="1"/>
  <c r="H454" i="2"/>
  <c r="E396" i="2"/>
  <c r="E1348" i="2" s="1"/>
  <c r="C397" i="2"/>
  <c r="C1349" i="2" s="1"/>
  <c r="J418" i="2"/>
  <c r="J1368" i="2" s="1"/>
  <c r="J430" i="2"/>
  <c r="G408" i="2"/>
  <c r="G1359" i="2" s="1"/>
  <c r="I393" i="2"/>
  <c r="H452" i="2"/>
  <c r="F430" i="2"/>
  <c r="F1379" i="2" s="1"/>
  <c r="C442" i="2"/>
  <c r="C1390" i="2" s="1"/>
  <c r="J471" i="2"/>
  <c r="F420" i="2"/>
  <c r="F1370" i="2" s="1"/>
  <c r="G454" i="2"/>
  <c r="J441" i="2"/>
  <c r="G418" i="2"/>
  <c r="G1368" i="2" s="1"/>
  <c r="E430" i="2"/>
  <c r="E427" i="2"/>
  <c r="D453" i="2"/>
  <c r="D1400" i="2" s="1"/>
  <c r="J450" i="2"/>
  <c r="J1397" i="2" s="1"/>
  <c r="C473" i="2"/>
  <c r="C1418" i="2" s="1"/>
  <c r="G458" i="2"/>
  <c r="G450" i="2"/>
  <c r="D474" i="2"/>
  <c r="H442" i="2"/>
  <c r="H401" i="2"/>
  <c r="H1353" i="2" s="1"/>
  <c r="J473" i="2"/>
  <c r="J1418" i="2" s="1"/>
  <c r="I450" i="2"/>
  <c r="E433" i="2"/>
  <c r="E454" i="2"/>
  <c r="C450" i="2"/>
  <c r="C1397" i="2" s="1"/>
  <c r="E407" i="2"/>
  <c r="E1358" i="2" s="1"/>
  <c r="G443" i="2"/>
  <c r="C399" i="2"/>
  <c r="C1351" i="2" s="1"/>
  <c r="C430" i="2"/>
  <c r="C1379" i="2" s="1"/>
  <c r="E442" i="2"/>
  <c r="F444" i="2"/>
  <c r="G471" i="2"/>
  <c r="E473" i="2"/>
  <c r="I448" i="2"/>
  <c r="D420" i="2"/>
  <c r="D1370" i="2" s="1"/>
  <c r="C454" i="2"/>
  <c r="F450" i="2"/>
  <c r="I407" i="2"/>
  <c r="I1358" i="2" s="1"/>
  <c r="E443" i="2"/>
  <c r="G399" i="2"/>
  <c r="G1351" i="2" s="1"/>
  <c r="G430" i="2"/>
  <c r="G1379" i="2" s="1"/>
  <c r="G473" i="2"/>
  <c r="G1418" i="2" s="1"/>
  <c r="H473" i="2"/>
  <c r="H1418" i="2" s="1"/>
  <c r="G427" i="2"/>
  <c r="H453" i="2"/>
  <c r="J443" i="2"/>
  <c r="J454" i="2"/>
  <c r="C423" i="2"/>
  <c r="G474" i="2"/>
  <c r="C443" i="2"/>
  <c r="C1391" i="2" s="1"/>
  <c r="I442" i="2"/>
  <c r="I473" i="2"/>
  <c r="I1418" i="2" s="1"/>
  <c r="C420" i="2"/>
  <c r="I478" i="2"/>
  <c r="H399" i="2"/>
  <c r="H1351" i="2" s="1"/>
  <c r="F474" i="2"/>
  <c r="F427" i="2"/>
  <c r="F1376" i="2" s="1"/>
  <c r="C412" i="2"/>
  <c r="H425" i="2"/>
  <c r="D425" i="2"/>
  <c r="D1374" i="2" s="1"/>
  <c r="E458" i="2"/>
  <c r="H474" i="2"/>
  <c r="I427" i="2"/>
  <c r="E404" i="2"/>
  <c r="E1355" i="2" s="1"/>
  <c r="I412" i="2"/>
  <c r="I1363" i="2" s="1"/>
  <c r="E425" i="2"/>
  <c r="E474" i="2"/>
  <c r="D427" i="2"/>
  <c r="I458" i="2"/>
  <c r="J425" i="2"/>
  <c r="J474" i="2"/>
  <c r="H427" i="2"/>
  <c r="H1376" i="2" s="1"/>
  <c r="D412" i="2"/>
  <c r="D1363" i="2" s="1"/>
  <c r="J427" i="2"/>
  <c r="G407" i="2"/>
  <c r="G1358" i="2" s="1"/>
  <c r="D418" i="2"/>
  <c r="D1368" i="2" s="1"/>
  <c r="G425" i="2"/>
  <c r="I464" i="2"/>
  <c r="I1410" i="2" s="1"/>
  <c r="D419" i="2"/>
  <c r="D1369" i="2" s="1"/>
  <c r="H417" i="2"/>
  <c r="H1367" i="2" s="1"/>
  <c r="J476" i="2"/>
  <c r="D396" i="2"/>
  <c r="D1348" i="2" s="1"/>
  <c r="C441" i="2"/>
  <c r="C1389" i="2" s="1"/>
  <c r="I394" i="2"/>
  <c r="E461" i="2"/>
  <c r="C451" i="2"/>
  <c r="H418" i="2"/>
  <c r="H1368" i="2" s="1"/>
  <c r="C469" i="2"/>
  <c r="C1414" i="2" s="1"/>
  <c r="J412" i="2"/>
  <c r="J1363" i="2" s="1"/>
  <c r="F398" i="2"/>
  <c r="F1350" i="2" s="1"/>
  <c r="E464" i="2"/>
  <c r="H476" i="2"/>
  <c r="F461" i="2"/>
  <c r="E398" i="2"/>
  <c r="E1350" i="2" s="1"/>
  <c r="C464" i="2"/>
  <c r="C1410" i="2" s="1"/>
  <c r="C476" i="2"/>
  <c r="I461" i="2"/>
  <c r="H469" i="2"/>
  <c r="F425" i="2"/>
  <c r="G464" i="2"/>
  <c r="F419" i="2"/>
  <c r="F1369" i="2" s="1"/>
  <c r="J417" i="2"/>
  <c r="J1367" i="2" s="1"/>
  <c r="F428" i="2"/>
  <c r="I476" i="2"/>
  <c r="I396" i="2"/>
  <c r="I1348" i="2" s="1"/>
  <c r="F441" i="2"/>
  <c r="C394" i="2"/>
  <c r="C461" i="2"/>
  <c r="C1407" i="2" s="1"/>
  <c r="I451" i="2"/>
  <c r="I418" i="2"/>
  <c r="I1368" i="2" s="1"/>
  <c r="G412" i="2"/>
  <c r="G1363" i="2" s="1"/>
  <c r="I411" i="2"/>
  <c r="I1362" i="2" s="1"/>
  <c r="H398" i="2"/>
  <c r="H1350" i="2" s="1"/>
  <c r="C417" i="2"/>
  <c r="C1367" i="2" s="1"/>
  <c r="F469" i="2"/>
  <c r="E412" i="2"/>
  <c r="E1363" i="2" s="1"/>
  <c r="G398" i="2"/>
  <c r="G1350" i="2" s="1"/>
  <c r="C425" i="2"/>
  <c r="C1374" i="2" s="1"/>
  <c r="H464" i="2"/>
  <c r="J419" i="2"/>
  <c r="J1369" i="2" s="1"/>
  <c r="D417" i="2"/>
  <c r="D1367" i="2" s="1"/>
  <c r="D428" i="2"/>
  <c r="E476" i="2"/>
  <c r="E1421" i="2" s="1"/>
  <c r="C396" i="2"/>
  <c r="C1348" i="2" s="1"/>
  <c r="G441" i="2"/>
  <c r="J394" i="2"/>
  <c r="H461" i="2"/>
  <c r="G451" i="2"/>
  <c r="G1398" i="2" s="1"/>
  <c r="C418" i="2"/>
  <c r="F412" i="2"/>
  <c r="F1363" i="2" s="1"/>
  <c r="E411" i="2"/>
  <c r="E1362" i="2" s="1"/>
  <c r="D398" i="2"/>
  <c r="D1350" i="2" s="1"/>
  <c r="F396" i="2"/>
  <c r="F1348" i="2" s="1"/>
  <c r="H441" i="2"/>
  <c r="F418" i="2"/>
  <c r="F1368" i="2" s="1"/>
  <c r="G417" i="2"/>
  <c r="G1367" i="2" s="1"/>
  <c r="H396" i="2"/>
  <c r="H1348" i="2" s="1"/>
  <c r="I441" i="2"/>
  <c r="D451" i="2"/>
  <c r="D1398" i="2" s="1"/>
  <c r="H419" i="2"/>
  <c r="H1369" i="2" s="1"/>
  <c r="C428" i="2"/>
  <c r="C1377" i="2" s="1"/>
  <c r="G394" i="2"/>
  <c r="H411" i="2"/>
  <c r="H1362" i="2" s="1"/>
  <c r="D448" i="2"/>
  <c r="G478" i="2"/>
  <c r="F426" i="2"/>
  <c r="E469" i="2"/>
  <c r="E1414" i="2" s="1"/>
  <c r="I455" i="2"/>
  <c r="J478" i="2"/>
  <c r="C477" i="2"/>
  <c r="C1422" i="2" s="1"/>
  <c r="G434" i="2"/>
  <c r="G448" i="2"/>
  <c r="E470" i="2"/>
  <c r="E478" i="2"/>
  <c r="E477" i="2"/>
  <c r="G452" i="2"/>
  <c r="D434" i="2"/>
  <c r="D426" i="2"/>
  <c r="D470" i="2"/>
  <c r="D437" i="2"/>
  <c r="H477" i="2"/>
  <c r="J452" i="2"/>
  <c r="H434" i="2"/>
  <c r="E401" i="2"/>
  <c r="E1353" i="2" s="1"/>
  <c r="F423" i="2"/>
  <c r="F1373" i="2" s="1"/>
  <c r="E448" i="2"/>
  <c r="J393" i="2"/>
  <c r="C426" i="2"/>
  <c r="C1375" i="2" s="1"/>
  <c r="D423" i="2"/>
  <c r="D1373" i="2" s="1"/>
  <c r="E399" i="2"/>
  <c r="E1351" i="2" s="1"/>
  <c r="F433" i="2"/>
  <c r="C448" i="2"/>
  <c r="C1395" i="2" s="1"/>
  <c r="G419" i="2"/>
  <c r="G1369" i="2" s="1"/>
  <c r="H470" i="2"/>
  <c r="I428" i="2"/>
  <c r="I1377" i="2" s="1"/>
  <c r="F393" i="2"/>
  <c r="F1345" i="2" s="1"/>
  <c r="F478" i="2"/>
  <c r="H466" i="2"/>
  <c r="H1412" i="2" s="1"/>
  <c r="J437" i="2"/>
  <c r="J1385" i="2" s="1"/>
  <c r="J455" i="2"/>
  <c r="F394" i="2"/>
  <c r="D395" i="2"/>
  <c r="D1347" i="2" s="1"/>
  <c r="G477" i="2"/>
  <c r="E451" i="2"/>
  <c r="I422" i="2"/>
  <c r="I1372" i="2" s="1"/>
  <c r="E423" i="2"/>
  <c r="E1373" i="2" s="1"/>
  <c r="D399" i="2"/>
  <c r="D1351" i="2" s="1"/>
  <c r="E452" i="2"/>
  <c r="J469" i="2"/>
  <c r="F411" i="2"/>
  <c r="F1362" i="2" s="1"/>
  <c r="G393" i="2"/>
  <c r="C401" i="2"/>
  <c r="C1353" i="2" s="1"/>
  <c r="F437" i="2"/>
  <c r="J395" i="2"/>
  <c r="J1347" i="2" s="1"/>
  <c r="F477" i="2"/>
  <c r="F1422" i="2" s="1"/>
  <c r="D433" i="2"/>
  <c r="H448" i="2"/>
  <c r="I419" i="2"/>
  <c r="I1369" i="2" s="1"/>
  <c r="J470" i="2"/>
  <c r="J1415" i="2" s="1"/>
  <c r="G428" i="2"/>
  <c r="C393" i="2"/>
  <c r="C478" i="2"/>
  <c r="D466" i="2"/>
  <c r="I437" i="2"/>
  <c r="E455" i="2"/>
  <c r="D394" i="2"/>
  <c r="E395" i="2"/>
  <c r="E1347" i="2" s="1"/>
  <c r="J477" i="2"/>
  <c r="J1422" i="2" s="1"/>
  <c r="F451" i="2"/>
  <c r="E422" i="2"/>
  <c r="E1372" i="2" s="1"/>
  <c r="J423" i="2"/>
  <c r="J1373" i="2" s="1"/>
  <c r="J399" i="2"/>
  <c r="J1351" i="2" s="1"/>
  <c r="D452" i="2"/>
  <c r="G469" i="2"/>
  <c r="E434" i="2"/>
  <c r="E1383" i="2" s="1"/>
  <c r="C411" i="2"/>
  <c r="G401" i="2"/>
  <c r="G1353" i="2" s="1"/>
  <c r="G470" i="2"/>
  <c r="C437" i="2"/>
  <c r="H426" i="2"/>
  <c r="H1375" i="2" s="1"/>
  <c r="F455" i="2"/>
  <c r="H433" i="2"/>
  <c r="J448" i="2"/>
  <c r="J1395" i="2" s="1"/>
  <c r="C419" i="2"/>
  <c r="H475" i="2"/>
  <c r="C470" i="2"/>
  <c r="C1415" i="2" s="1"/>
  <c r="E428" i="2"/>
  <c r="H393" i="2"/>
  <c r="H478" i="2"/>
  <c r="J466" i="2"/>
  <c r="H437" i="2"/>
  <c r="H1385" i="2" s="1"/>
  <c r="C455" i="2"/>
  <c r="E394" i="2"/>
  <c r="E1346" i="2" s="1"/>
  <c r="I395" i="2"/>
  <c r="I1347" i="2" s="1"/>
  <c r="I477" i="2"/>
  <c r="H451" i="2"/>
  <c r="H422" i="2"/>
  <c r="H1372" i="2" s="1"/>
  <c r="I423" i="2"/>
  <c r="I1373" i="2" s="1"/>
  <c r="F399" i="2"/>
  <c r="F1351" i="2" s="1"/>
  <c r="F452" i="2"/>
  <c r="D469" i="2"/>
  <c r="D1414" i="2" s="1"/>
  <c r="C434" i="2"/>
  <c r="C1383" i="2" s="1"/>
  <c r="G411" i="2"/>
  <c r="G1362" i="2" s="1"/>
  <c r="I470" i="2"/>
  <c r="I1415" i="2" s="1"/>
  <c r="C452" i="2"/>
  <c r="C1399" i="2" s="1"/>
  <c r="F434" i="2"/>
  <c r="G433" i="2"/>
  <c r="G1382" i="2" s="1"/>
  <c r="F466" i="2"/>
  <c r="J426" i="2"/>
  <c r="F422" i="2"/>
  <c r="F1372" i="2" s="1"/>
  <c r="I434" i="2"/>
  <c r="C433" i="2"/>
  <c r="C1382" i="2" s="1"/>
  <c r="J429" i="2"/>
  <c r="I426" i="2"/>
  <c r="I1375" i="2" s="1"/>
  <c r="I433" i="2"/>
  <c r="D429" i="2"/>
  <c r="D1378" i="2" s="1"/>
  <c r="G426" i="2"/>
  <c r="C429" i="2"/>
  <c r="H467" i="2"/>
  <c r="E475" i="2"/>
  <c r="E1420" i="2" s="1"/>
  <c r="G429" i="2"/>
  <c r="C467" i="2"/>
  <c r="C1413" i="2" s="1"/>
  <c r="C475" i="2"/>
  <c r="I467" i="2"/>
  <c r="I1413" i="2" s="1"/>
  <c r="I475" i="2"/>
  <c r="I1420" i="2" s="1"/>
  <c r="I453" i="2"/>
  <c r="D410" i="2"/>
  <c r="D1361" i="2" s="1"/>
  <c r="F458" i="2"/>
  <c r="J438" i="2"/>
  <c r="J453" i="2"/>
  <c r="J401" i="2"/>
  <c r="J1353" i="2" s="1"/>
  <c r="C458" i="2"/>
  <c r="J475" i="2"/>
  <c r="I404" i="2"/>
  <c r="I1355" i="2" s="1"/>
  <c r="I429" i="2"/>
  <c r="I1378" i="2" s="1"/>
  <c r="F414" i="2"/>
  <c r="E466" i="2"/>
  <c r="G432" i="2"/>
  <c r="H407" i="2"/>
  <c r="H1358" i="2" s="1"/>
  <c r="C395" i="2"/>
  <c r="C1347" i="2" s="1"/>
  <c r="E467" i="2"/>
  <c r="E1413" i="2" s="1"/>
  <c r="D422" i="2"/>
  <c r="D1372" i="2" s="1"/>
  <c r="I415" i="2"/>
  <c r="G453" i="2"/>
  <c r="F404" i="2"/>
  <c r="D467" i="2"/>
  <c r="D1413" i="2" s="1"/>
  <c r="I403" i="2"/>
  <c r="F453" i="2"/>
  <c r="F401" i="2"/>
  <c r="F1353" i="2" s="1"/>
  <c r="D458" i="2"/>
  <c r="F475" i="2"/>
  <c r="F1420" i="2" s="1"/>
  <c r="G404" i="2"/>
  <c r="F429" i="2"/>
  <c r="F1378" i="2" s="1"/>
  <c r="H414" i="2"/>
  <c r="G466" i="2"/>
  <c r="J407" i="2"/>
  <c r="J1358" i="2" s="1"/>
  <c r="G395" i="2"/>
  <c r="G1347" i="2" s="1"/>
  <c r="G400" i="2"/>
  <c r="G1352" i="2" s="1"/>
  <c r="J467" i="2"/>
  <c r="G422" i="2"/>
  <c r="G1372" i="2" s="1"/>
  <c r="M479" i="2"/>
  <c r="C410" i="2"/>
  <c r="C432" i="2"/>
  <c r="C1381" i="2" s="1"/>
  <c r="F407" i="2"/>
  <c r="F1358" i="2" s="1"/>
  <c r="J403" i="2"/>
  <c r="J1354" i="2" s="1"/>
  <c r="C453" i="2"/>
  <c r="C1400" i="2" s="1"/>
  <c r="I401" i="2"/>
  <c r="I1353" i="2" s="1"/>
  <c r="J458" i="2"/>
  <c r="G475" i="2"/>
  <c r="H404" i="2"/>
  <c r="H429" i="2"/>
  <c r="J414" i="2"/>
  <c r="J1364" i="2" s="1"/>
  <c r="I466" i="2"/>
  <c r="C407" i="2"/>
  <c r="C1358" i="2" s="1"/>
  <c r="H395" i="2"/>
  <c r="H1347" i="2" s="1"/>
  <c r="J447" i="2"/>
  <c r="J1394" i="2" s="1"/>
  <c r="F467" i="2"/>
  <c r="J422" i="2"/>
  <c r="J1372" i="2" s="1"/>
  <c r="I459" i="2"/>
  <c r="I1405" i="2" s="1"/>
  <c r="C406" i="2"/>
  <c r="C1357" i="2" s="1"/>
  <c r="C436" i="2"/>
  <c r="E447" i="2"/>
  <c r="E1394" i="2" s="1"/>
  <c r="M435" i="2"/>
  <c r="D438" i="2"/>
  <c r="H403" i="2"/>
  <c r="G415" i="2"/>
  <c r="G1365" i="2" s="1"/>
  <c r="F406" i="2"/>
  <c r="F1357" i="2" s="1"/>
  <c r="H410" i="2"/>
  <c r="H1361" i="2" s="1"/>
  <c r="D414" i="2"/>
  <c r="I436" i="2"/>
  <c r="I1384" i="2" s="1"/>
  <c r="F432" i="2"/>
  <c r="F1381" i="2" s="1"/>
  <c r="H400" i="2"/>
  <c r="H1352" i="2" s="1"/>
  <c r="I447" i="2"/>
  <c r="I1394" i="2" s="1"/>
  <c r="M402" i="2"/>
  <c r="H459" i="2"/>
  <c r="I438" i="2"/>
  <c r="I1386" i="2" s="1"/>
  <c r="D400" i="2"/>
  <c r="D1352" i="2" s="1"/>
  <c r="C438" i="2"/>
  <c r="E403" i="2"/>
  <c r="D403" i="2"/>
  <c r="M468" i="2"/>
  <c r="F415" i="2"/>
  <c r="F1365" i="2" s="1"/>
  <c r="G406" i="2"/>
  <c r="G1357" i="2" s="1"/>
  <c r="G410" i="2"/>
  <c r="G1361" i="2" s="1"/>
  <c r="E414" i="2"/>
  <c r="J436" i="2"/>
  <c r="I432" i="2"/>
  <c r="F400" i="2"/>
  <c r="F1352" i="2" s="1"/>
  <c r="M457" i="2"/>
  <c r="C459" i="2"/>
  <c r="D459" i="2"/>
  <c r="G438" i="2"/>
  <c r="G1386" i="2" s="1"/>
  <c r="G403" i="2"/>
  <c r="D415" i="2"/>
  <c r="D1365" i="2" s="1"/>
  <c r="I406" i="2"/>
  <c r="I1357" i="2" s="1"/>
  <c r="J410" i="2"/>
  <c r="J1361" i="2" s="1"/>
  <c r="G414" i="2"/>
  <c r="M446" i="2"/>
  <c r="H432" i="2"/>
  <c r="E400" i="2"/>
  <c r="E1352" i="2" s="1"/>
  <c r="G447" i="2"/>
  <c r="J459" i="2"/>
  <c r="J1405" i="2" s="1"/>
  <c r="H436" i="2"/>
  <c r="H1384" i="2" s="1"/>
  <c r="F438" i="2"/>
  <c r="M413" i="2"/>
  <c r="E415" i="2"/>
  <c r="E406" i="2"/>
  <c r="E1357" i="2" s="1"/>
  <c r="I410" i="2"/>
  <c r="I1361" i="2" s="1"/>
  <c r="M424" i="2"/>
  <c r="F436" i="2"/>
  <c r="E432" i="2"/>
  <c r="E1381" i="2" s="1"/>
  <c r="J400" i="2"/>
  <c r="J1352" i="2" s="1"/>
  <c r="F447" i="2"/>
  <c r="E459" i="2"/>
  <c r="E1405" i="2" s="1"/>
  <c r="E438" i="2"/>
  <c r="E1386" i="2" s="1"/>
  <c r="C403" i="2"/>
  <c r="J415" i="2"/>
  <c r="D406" i="2"/>
  <c r="D1357" i="2" s="1"/>
  <c r="E410" i="2"/>
  <c r="E1361" i="2" s="1"/>
  <c r="C414" i="2"/>
  <c r="D436" i="2"/>
  <c r="E436" i="2"/>
  <c r="D432" i="2"/>
  <c r="D1381" i="2" s="1"/>
  <c r="C400" i="2"/>
  <c r="C1352" i="2" s="1"/>
  <c r="H447" i="2"/>
  <c r="G459" i="2"/>
  <c r="C415" i="2"/>
  <c r="C1365" i="2" s="1"/>
  <c r="J406" i="2"/>
  <c r="J1357" i="2" s="1"/>
  <c r="D447" i="2"/>
  <c r="D1394" i="2" s="1"/>
  <c r="F84" i="15"/>
  <c r="G88" i="15"/>
  <c r="BF23" i="14"/>
  <c r="BF22" i="14"/>
  <c r="BF29" i="14" s="1"/>
  <c r="N252" i="15"/>
  <c r="O251" i="15"/>
  <c r="BE63" i="14"/>
  <c r="BF48" i="14"/>
  <c r="BE58" i="14"/>
  <c r="BE57" i="14"/>
  <c r="AX48" i="14"/>
  <c r="AX58" i="14" s="1"/>
  <c r="AW63" i="14"/>
  <c r="C53" i="15"/>
  <c r="D26" i="15"/>
  <c r="BF23" i="3"/>
  <c r="BF22" i="3"/>
  <c r="BF29" i="3" s="1"/>
  <c r="BG9" i="14"/>
  <c r="BH8" i="14"/>
  <c r="L57" i="15"/>
  <c r="L128" i="15"/>
  <c r="L132" i="15" s="1"/>
  <c r="L163" i="15" s="1"/>
  <c r="B128" i="15"/>
  <c r="B132" i="15" s="1"/>
  <c r="B163" i="15" s="1"/>
  <c r="B57" i="15"/>
  <c r="M53" i="15"/>
  <c r="N26" i="15"/>
  <c r="E251" i="15"/>
  <c r="D252" i="15"/>
  <c r="F48" i="14"/>
  <c r="E58" i="14"/>
  <c r="AF46" i="14" s="1"/>
  <c r="AO47" i="14"/>
  <c r="AF45" i="14"/>
  <c r="AO49" i="14"/>
  <c r="BH8" i="3"/>
  <c r="BG9" i="3"/>
  <c r="F150" i="15"/>
  <c r="F70" i="15"/>
  <c r="F76" i="15"/>
  <c r="H46" i="14"/>
  <c r="G67" i="15"/>
  <c r="G81" i="15"/>
  <c r="G83" i="15"/>
  <c r="G73" i="15"/>
  <c r="G89" i="15"/>
  <c r="H31" i="15"/>
  <c r="H54" i="15" s="1"/>
  <c r="G69" i="15"/>
  <c r="G80" i="15"/>
  <c r="G78" i="15"/>
  <c r="G68" i="15"/>
  <c r="G82" i="15"/>
  <c r="G75" i="15"/>
  <c r="G74" i="15"/>
  <c r="Q28" i="3"/>
  <c r="BI28" i="3"/>
  <c r="BA28" i="3"/>
  <c r="I28" i="3"/>
  <c r="AR15" i="3"/>
  <c r="R114" i="15"/>
  <c r="Q97" i="15"/>
  <c r="R110" i="15"/>
  <c r="Q93" i="15"/>
  <c r="G97" i="15"/>
  <c r="H114" i="15"/>
  <c r="C672" i="2"/>
  <c r="F25" i="12"/>
  <c r="H25" i="12" s="1"/>
  <c r="I26" i="10" s="1"/>
  <c r="C26" i="12"/>
  <c r="H297" i="2"/>
  <c r="H1298" i="2" s="1"/>
  <c r="G297" i="2"/>
  <c r="G1298" i="2" s="1"/>
  <c r="D297" i="2"/>
  <c r="D1298" i="2" s="1"/>
  <c r="F297" i="2"/>
  <c r="F1298" i="2" s="1"/>
  <c r="E297" i="2"/>
  <c r="E1298" i="2" s="1"/>
  <c r="I297" i="2"/>
  <c r="I1298" i="2" s="1"/>
  <c r="C297" i="2"/>
  <c r="J297" i="2"/>
  <c r="J1298" i="2" s="1"/>
  <c r="E294" i="2"/>
  <c r="E1295" i="2" s="1"/>
  <c r="F294" i="2"/>
  <c r="F1295" i="2" s="1"/>
  <c r="G294" i="2"/>
  <c r="G1295" i="2" s="1"/>
  <c r="C294" i="2"/>
  <c r="D294" i="2"/>
  <c r="D1295" i="2" s="1"/>
  <c r="I294" i="2"/>
  <c r="I1295" i="2" s="1"/>
  <c r="H294" i="2"/>
  <c r="H1295" i="2" s="1"/>
  <c r="J294" i="2"/>
  <c r="J1295" i="2" s="1"/>
  <c r="E305" i="2"/>
  <c r="E1305" i="2" s="1"/>
  <c r="F305" i="2"/>
  <c r="F1305" i="2" s="1"/>
  <c r="J305" i="2"/>
  <c r="J1305" i="2" s="1"/>
  <c r="C305" i="2"/>
  <c r="H305" i="2"/>
  <c r="H1305" i="2" s="1"/>
  <c r="G305" i="2"/>
  <c r="G1305" i="2" s="1"/>
  <c r="D305" i="2"/>
  <c r="D1305" i="2" s="1"/>
  <c r="I305" i="2"/>
  <c r="I1305" i="2" s="1"/>
  <c r="F290" i="2"/>
  <c r="F1291" i="2" s="1"/>
  <c r="H290" i="2"/>
  <c r="H1291" i="2" s="1"/>
  <c r="I290" i="2"/>
  <c r="I1291" i="2" s="1"/>
  <c r="C290" i="2"/>
  <c r="E290" i="2"/>
  <c r="E1291" i="2" s="1"/>
  <c r="J290" i="2"/>
  <c r="J1291" i="2" s="1"/>
  <c r="D290" i="2"/>
  <c r="D1291" i="2" s="1"/>
  <c r="G290" i="2"/>
  <c r="G1291" i="2" s="1"/>
  <c r="G330" i="2"/>
  <c r="G1328" i="2" s="1"/>
  <c r="J330" i="2"/>
  <c r="J1328" i="2" s="1"/>
  <c r="D330" i="2"/>
  <c r="D1328" i="2" s="1"/>
  <c r="I330" i="2"/>
  <c r="I1328" i="2" s="1"/>
  <c r="C330" i="2"/>
  <c r="F330" i="2"/>
  <c r="F1328" i="2" s="1"/>
  <c r="H330" i="2"/>
  <c r="H1328" i="2" s="1"/>
  <c r="E330" i="2"/>
  <c r="E1328" i="2" s="1"/>
  <c r="H13" i="10"/>
  <c r="D14" i="10"/>
  <c r="F7" i="12"/>
  <c r="H7" i="12" s="1"/>
  <c r="I8" i="10" s="1"/>
  <c r="J8" i="10" s="1"/>
  <c r="C8" i="12"/>
  <c r="G340" i="2"/>
  <c r="G1337" i="2" s="1"/>
  <c r="C340" i="2"/>
  <c r="D340" i="2"/>
  <c r="D1337" i="2" s="1"/>
  <c r="I340" i="2"/>
  <c r="I1337" i="2" s="1"/>
  <c r="E340" i="2"/>
  <c r="E1337" i="2" s="1"/>
  <c r="F340" i="2"/>
  <c r="F1337" i="2" s="1"/>
  <c r="J340" i="2"/>
  <c r="J1337" i="2" s="1"/>
  <c r="H340" i="2"/>
  <c r="H1337" i="2" s="1"/>
  <c r="C304" i="2"/>
  <c r="D304" i="2"/>
  <c r="D1304" i="2" s="1"/>
  <c r="G304" i="2"/>
  <c r="G1304" i="2" s="1"/>
  <c r="J304" i="2"/>
  <c r="J1304" i="2" s="1"/>
  <c r="E304" i="2"/>
  <c r="E1304" i="2" s="1"/>
  <c r="H304" i="2"/>
  <c r="H1304" i="2" s="1"/>
  <c r="F304" i="2"/>
  <c r="F1304" i="2" s="1"/>
  <c r="I304" i="2"/>
  <c r="I1304" i="2" s="1"/>
  <c r="E288" i="2"/>
  <c r="E1289" i="2" s="1"/>
  <c r="F288" i="2"/>
  <c r="F1289" i="2" s="1"/>
  <c r="D288" i="2"/>
  <c r="D1289" i="2" s="1"/>
  <c r="C288" i="2"/>
  <c r="M298" i="2"/>
  <c r="H288" i="2"/>
  <c r="H1289" i="2" s="1"/>
  <c r="I288" i="2"/>
  <c r="I1289" i="2" s="1"/>
  <c r="G288" i="2"/>
  <c r="G1289" i="2" s="1"/>
  <c r="J288" i="2"/>
  <c r="J1289" i="2" s="1"/>
  <c r="F308" i="2"/>
  <c r="F1308" i="2" s="1"/>
  <c r="C308" i="2"/>
  <c r="J308" i="2"/>
  <c r="J1308" i="2" s="1"/>
  <c r="E308" i="2"/>
  <c r="E1308" i="2" s="1"/>
  <c r="I308" i="2"/>
  <c r="I1308" i="2" s="1"/>
  <c r="D308" i="2"/>
  <c r="D1308" i="2" s="1"/>
  <c r="H308" i="2"/>
  <c r="H1308" i="2" s="1"/>
  <c r="G308" i="2"/>
  <c r="G1308" i="2" s="1"/>
  <c r="C296" i="2"/>
  <c r="I296" i="2"/>
  <c r="I1297" i="2" s="1"/>
  <c r="E296" i="2"/>
  <c r="E1297" i="2" s="1"/>
  <c r="D296" i="2"/>
  <c r="D1297" i="2" s="1"/>
  <c r="G296" i="2"/>
  <c r="G1297" i="2" s="1"/>
  <c r="F296" i="2"/>
  <c r="F1297" i="2" s="1"/>
  <c r="H296" i="2"/>
  <c r="H1297" i="2" s="1"/>
  <c r="J296" i="2"/>
  <c r="J1297" i="2" s="1"/>
  <c r="J282" i="2"/>
  <c r="J1284" i="2" s="1"/>
  <c r="E282" i="2"/>
  <c r="E1284" i="2" s="1"/>
  <c r="D282" i="2"/>
  <c r="D1284" i="2" s="1"/>
  <c r="G282" i="2"/>
  <c r="G1284" i="2" s="1"/>
  <c r="C282" i="2"/>
  <c r="F282" i="2"/>
  <c r="F1284" i="2" s="1"/>
  <c r="H282" i="2"/>
  <c r="H1284" i="2" s="1"/>
  <c r="I282" i="2"/>
  <c r="I1284" i="2" s="1"/>
  <c r="F285" i="2"/>
  <c r="F1287" i="2" s="1"/>
  <c r="E285" i="2"/>
  <c r="E1287" i="2" s="1"/>
  <c r="D285" i="2"/>
  <c r="D1287" i="2" s="1"/>
  <c r="I285" i="2"/>
  <c r="I1287" i="2" s="1"/>
  <c r="H285" i="2"/>
  <c r="H1287" i="2" s="1"/>
  <c r="G285" i="2"/>
  <c r="G1287" i="2" s="1"/>
  <c r="J285" i="2"/>
  <c r="J1287" i="2" s="1"/>
  <c r="C285" i="2"/>
  <c r="F279" i="2"/>
  <c r="F1281" i="2" s="1"/>
  <c r="G279" i="2"/>
  <c r="G1281" i="2" s="1"/>
  <c r="J279" i="2"/>
  <c r="J1281" i="2" s="1"/>
  <c r="C279" i="2"/>
  <c r="E279" i="2"/>
  <c r="E1281" i="2" s="1"/>
  <c r="H279" i="2"/>
  <c r="H1281" i="2" s="1"/>
  <c r="I279" i="2"/>
  <c r="I1281" i="2" s="1"/>
  <c r="D279" i="2"/>
  <c r="D1281" i="2" s="1"/>
  <c r="H286" i="2"/>
  <c r="H1288" i="2" s="1"/>
  <c r="C286" i="2"/>
  <c r="F286" i="2"/>
  <c r="F1288" i="2" s="1"/>
  <c r="I286" i="2"/>
  <c r="I1288" i="2" s="1"/>
  <c r="E286" i="2"/>
  <c r="E1288" i="2" s="1"/>
  <c r="G286" i="2"/>
  <c r="G1288" i="2" s="1"/>
  <c r="J286" i="2"/>
  <c r="J1288" i="2" s="1"/>
  <c r="D286" i="2"/>
  <c r="D1288" i="2" s="1"/>
  <c r="J316" i="2"/>
  <c r="J1315" i="2" s="1"/>
  <c r="E316" i="2"/>
  <c r="E1315" i="2" s="1"/>
  <c r="D316" i="2"/>
  <c r="D1315" i="2" s="1"/>
  <c r="G316" i="2"/>
  <c r="G1315" i="2" s="1"/>
  <c r="F316" i="2"/>
  <c r="F1315" i="2" s="1"/>
  <c r="I316" i="2"/>
  <c r="I1315" i="2" s="1"/>
  <c r="C316" i="2"/>
  <c r="H316" i="2"/>
  <c r="H1315" i="2" s="1"/>
  <c r="F364" i="2"/>
  <c r="B364" i="2"/>
  <c r="H364" i="2"/>
  <c r="G364" i="2"/>
  <c r="I364" i="2"/>
  <c r="D364" i="2"/>
  <c r="E364" i="2"/>
  <c r="C364" i="2"/>
  <c r="B1521" i="2"/>
  <c r="C260" i="2"/>
  <c r="H260" i="2"/>
  <c r="H1264" i="2" s="1"/>
  <c r="G260" i="2"/>
  <c r="G1264" i="2" s="1"/>
  <c r="F260" i="2"/>
  <c r="F1264" i="2" s="1"/>
  <c r="I260" i="2"/>
  <c r="I1264" i="2" s="1"/>
  <c r="J260" i="2"/>
  <c r="J1264" i="2" s="1"/>
  <c r="D260" i="2"/>
  <c r="D1264" i="2" s="1"/>
  <c r="E260" i="2"/>
  <c r="E1264" i="2" s="1"/>
  <c r="H258" i="2"/>
  <c r="H1262" i="2" s="1"/>
  <c r="F258" i="2"/>
  <c r="F1262" i="2" s="1"/>
  <c r="D258" i="2"/>
  <c r="D1262" i="2" s="1"/>
  <c r="G258" i="2"/>
  <c r="G1262" i="2" s="1"/>
  <c r="E258" i="2"/>
  <c r="E1262" i="2" s="1"/>
  <c r="C258" i="2"/>
  <c r="I258" i="2"/>
  <c r="I1262" i="2" s="1"/>
  <c r="J258" i="2"/>
  <c r="J1262" i="2" s="1"/>
  <c r="D333" i="2"/>
  <c r="D1330" i="2" s="1"/>
  <c r="G333" i="2"/>
  <c r="G1330" i="2" s="1"/>
  <c r="E333" i="2"/>
  <c r="E1330" i="2" s="1"/>
  <c r="J333" i="2"/>
  <c r="J1330" i="2" s="1"/>
  <c r="C333" i="2"/>
  <c r="I333" i="2"/>
  <c r="I1330" i="2" s="1"/>
  <c r="F333" i="2"/>
  <c r="F1330" i="2" s="1"/>
  <c r="H333" i="2"/>
  <c r="H1330" i="2" s="1"/>
  <c r="G261" i="2"/>
  <c r="G1265" i="2" s="1"/>
  <c r="E261" i="2"/>
  <c r="E1265" i="2" s="1"/>
  <c r="J261" i="2"/>
  <c r="J1265" i="2" s="1"/>
  <c r="F261" i="2"/>
  <c r="F1265" i="2" s="1"/>
  <c r="C261" i="2"/>
  <c r="H261" i="2"/>
  <c r="H1265" i="2" s="1"/>
  <c r="D261" i="2"/>
  <c r="D1265" i="2" s="1"/>
  <c r="I261" i="2"/>
  <c r="I1265" i="2" s="1"/>
  <c r="E367" i="2"/>
  <c r="G367" i="2"/>
  <c r="C367" i="2"/>
  <c r="D367" i="2"/>
  <c r="I367" i="2"/>
  <c r="B367" i="2"/>
  <c r="H367" i="2"/>
  <c r="F367" i="2"/>
  <c r="C1521" i="2"/>
  <c r="F321" i="2"/>
  <c r="F1319" i="2" s="1"/>
  <c r="M331" i="2"/>
  <c r="I321" i="2"/>
  <c r="I1319" i="2" s="1"/>
  <c r="H321" i="2"/>
  <c r="H1319" i="2" s="1"/>
  <c r="C321" i="2"/>
  <c r="J321" i="2"/>
  <c r="J1319" i="2" s="1"/>
  <c r="D321" i="2"/>
  <c r="D1319" i="2" s="1"/>
  <c r="E321" i="2"/>
  <c r="E1319" i="2" s="1"/>
  <c r="G321" i="2"/>
  <c r="G1319" i="2" s="1"/>
  <c r="E268" i="2"/>
  <c r="E1271" i="2" s="1"/>
  <c r="I268" i="2"/>
  <c r="I1271" i="2" s="1"/>
  <c r="G268" i="2"/>
  <c r="G1271" i="2" s="1"/>
  <c r="C268" i="2"/>
  <c r="H268" i="2"/>
  <c r="H1271" i="2" s="1"/>
  <c r="D268" i="2"/>
  <c r="D1271" i="2" s="1"/>
  <c r="F268" i="2"/>
  <c r="F1271" i="2" s="1"/>
  <c r="J268" i="2"/>
  <c r="J1271" i="2" s="1"/>
  <c r="I312" i="2"/>
  <c r="I1311" i="2" s="1"/>
  <c r="G312" i="2"/>
  <c r="G1311" i="2" s="1"/>
  <c r="F312" i="2"/>
  <c r="F1311" i="2" s="1"/>
  <c r="H312" i="2"/>
  <c r="H1311" i="2" s="1"/>
  <c r="D312" i="2"/>
  <c r="D1311" i="2" s="1"/>
  <c r="E312" i="2"/>
  <c r="E1311" i="2" s="1"/>
  <c r="C312" i="2"/>
  <c r="J312" i="2"/>
  <c r="J1311" i="2" s="1"/>
  <c r="P49" i="14"/>
  <c r="O58" i="14"/>
  <c r="F16" i="12"/>
  <c r="H16" i="12" s="1"/>
  <c r="I17" i="10" s="1"/>
  <c r="C17" i="12"/>
  <c r="I299" i="2"/>
  <c r="I1299" i="2" s="1"/>
  <c r="H299" i="2"/>
  <c r="H1299" i="2" s="1"/>
  <c r="M309" i="2"/>
  <c r="F299" i="2"/>
  <c r="F1299" i="2" s="1"/>
  <c r="G299" i="2"/>
  <c r="G1299" i="2" s="1"/>
  <c r="J299" i="2"/>
  <c r="J1299" i="2" s="1"/>
  <c r="C299" i="2"/>
  <c r="D299" i="2"/>
  <c r="D1299" i="2" s="1"/>
  <c r="E299" i="2"/>
  <c r="E1299" i="2" s="1"/>
  <c r="G289" i="2"/>
  <c r="G1290" i="2" s="1"/>
  <c r="E289" i="2"/>
  <c r="E1290" i="2" s="1"/>
  <c r="I289" i="2"/>
  <c r="I1290" i="2" s="1"/>
  <c r="C289" i="2"/>
  <c r="F289" i="2"/>
  <c r="F1290" i="2" s="1"/>
  <c r="J289" i="2"/>
  <c r="J1290" i="2" s="1"/>
  <c r="H289" i="2"/>
  <c r="H1290" i="2" s="1"/>
  <c r="D289" i="2"/>
  <c r="D1290" i="2" s="1"/>
  <c r="H301" i="2"/>
  <c r="H1301" i="2" s="1"/>
  <c r="G301" i="2"/>
  <c r="G1301" i="2" s="1"/>
  <c r="F301" i="2"/>
  <c r="F1301" i="2" s="1"/>
  <c r="D301" i="2"/>
  <c r="D1301" i="2" s="1"/>
  <c r="J301" i="2"/>
  <c r="J1301" i="2" s="1"/>
  <c r="I301" i="2"/>
  <c r="I1301" i="2" s="1"/>
  <c r="C301" i="2"/>
  <c r="E301" i="2"/>
  <c r="E1301" i="2" s="1"/>
  <c r="I293" i="2"/>
  <c r="I1294" i="2" s="1"/>
  <c r="G293" i="2"/>
  <c r="G1294" i="2" s="1"/>
  <c r="E293" i="2"/>
  <c r="E1294" i="2" s="1"/>
  <c r="C293" i="2"/>
  <c r="F293" i="2"/>
  <c r="F1294" i="2" s="1"/>
  <c r="H293" i="2"/>
  <c r="H1294" i="2" s="1"/>
  <c r="J293" i="2"/>
  <c r="J1294" i="2" s="1"/>
  <c r="D293" i="2"/>
  <c r="D1294" i="2" s="1"/>
  <c r="D336" i="2"/>
  <c r="D1333" i="2" s="1"/>
  <c r="G336" i="2"/>
  <c r="G1333" i="2" s="1"/>
  <c r="I336" i="2"/>
  <c r="I1333" i="2" s="1"/>
  <c r="H336" i="2"/>
  <c r="H1333" i="2" s="1"/>
  <c r="J336" i="2"/>
  <c r="J1333" i="2" s="1"/>
  <c r="E336" i="2"/>
  <c r="E1333" i="2" s="1"/>
  <c r="F336" i="2"/>
  <c r="F1333" i="2" s="1"/>
  <c r="C336" i="2"/>
  <c r="J291" i="2"/>
  <c r="J1292" i="2" s="1"/>
  <c r="E291" i="2"/>
  <c r="E1292" i="2" s="1"/>
  <c r="H291" i="2"/>
  <c r="H1292" i="2" s="1"/>
  <c r="C291" i="2"/>
  <c r="G291" i="2"/>
  <c r="G1292" i="2" s="1"/>
  <c r="D291" i="2"/>
  <c r="D1292" i="2" s="1"/>
  <c r="I291" i="2"/>
  <c r="I1292" i="2" s="1"/>
  <c r="F291" i="2"/>
  <c r="F1292" i="2" s="1"/>
  <c r="I278" i="2"/>
  <c r="I1280" i="2" s="1"/>
  <c r="C278" i="2"/>
  <c r="G278" i="2"/>
  <c r="G1280" i="2" s="1"/>
  <c r="H278" i="2"/>
  <c r="H1280" i="2" s="1"/>
  <c r="E278" i="2"/>
  <c r="E1280" i="2" s="1"/>
  <c r="J278" i="2"/>
  <c r="J1280" i="2" s="1"/>
  <c r="D278" i="2"/>
  <c r="D1280" i="2" s="1"/>
  <c r="F278" i="2"/>
  <c r="F1280" i="2" s="1"/>
  <c r="G277" i="2"/>
  <c r="G1279" i="2" s="1"/>
  <c r="E277" i="2"/>
  <c r="E1279" i="2" s="1"/>
  <c r="I277" i="2"/>
  <c r="I1279" i="2" s="1"/>
  <c r="F277" i="2"/>
  <c r="F1279" i="2" s="1"/>
  <c r="M287" i="2"/>
  <c r="C277" i="2"/>
  <c r="H277" i="2"/>
  <c r="H1279" i="2" s="1"/>
  <c r="J277" i="2"/>
  <c r="J1279" i="2" s="1"/>
  <c r="D277" i="2"/>
  <c r="D1279" i="2" s="1"/>
  <c r="G302" i="2"/>
  <c r="G1302" i="2" s="1"/>
  <c r="E302" i="2"/>
  <c r="E1302" i="2" s="1"/>
  <c r="D302" i="2"/>
  <c r="D1302" i="2" s="1"/>
  <c r="J302" i="2"/>
  <c r="J1302" i="2" s="1"/>
  <c r="F302" i="2"/>
  <c r="F1302" i="2" s="1"/>
  <c r="C302" i="2"/>
  <c r="H302" i="2"/>
  <c r="H1302" i="2" s="1"/>
  <c r="I302" i="2"/>
  <c r="I1302" i="2" s="1"/>
  <c r="I235" i="2"/>
  <c r="B1504" i="2"/>
  <c r="E235" i="2"/>
  <c r="D235" i="2"/>
  <c r="F235" i="2"/>
  <c r="H235" i="2"/>
  <c r="B235" i="2"/>
  <c r="G235" i="2"/>
  <c r="C235" i="2"/>
  <c r="G324" i="2"/>
  <c r="G1322" i="2" s="1"/>
  <c r="D324" i="2"/>
  <c r="D1322" i="2" s="1"/>
  <c r="F324" i="2"/>
  <c r="F1322" i="2" s="1"/>
  <c r="E324" i="2"/>
  <c r="E1322" i="2" s="1"/>
  <c r="I324" i="2"/>
  <c r="I1322" i="2" s="1"/>
  <c r="J324" i="2"/>
  <c r="J1322" i="2" s="1"/>
  <c r="C324" i="2"/>
  <c r="H324" i="2"/>
  <c r="H1322" i="2" s="1"/>
  <c r="C11" i="12"/>
  <c r="F10" i="12"/>
  <c r="H10" i="12" s="1"/>
  <c r="I11" i="10" s="1"/>
  <c r="J11" i="10" s="1"/>
  <c r="D273" i="2"/>
  <c r="D1276" i="2" s="1"/>
  <c r="G273" i="2"/>
  <c r="G1276" i="2" s="1"/>
  <c r="F273" i="2"/>
  <c r="F1276" i="2" s="1"/>
  <c r="I273" i="2"/>
  <c r="I1276" i="2" s="1"/>
  <c r="E273" i="2"/>
  <c r="E1276" i="2" s="1"/>
  <c r="H273" i="2"/>
  <c r="H1276" i="2" s="1"/>
  <c r="J273" i="2"/>
  <c r="J1276" i="2" s="1"/>
  <c r="C273" i="2"/>
  <c r="D255" i="2"/>
  <c r="D1259" i="2" s="1"/>
  <c r="G255" i="2"/>
  <c r="G1259" i="2" s="1"/>
  <c r="I255" i="2"/>
  <c r="I1259" i="2" s="1"/>
  <c r="J255" i="2"/>
  <c r="J1259" i="2" s="1"/>
  <c r="E255" i="2"/>
  <c r="E1259" i="2" s="1"/>
  <c r="H255" i="2"/>
  <c r="H1259" i="2" s="1"/>
  <c r="M265" i="2"/>
  <c r="F255" i="2"/>
  <c r="F1259" i="2" s="1"/>
  <c r="C255" i="2"/>
  <c r="C20" i="12"/>
  <c r="F19" i="12"/>
  <c r="H19" i="12" s="1"/>
  <c r="I20" i="10" s="1"/>
  <c r="H314" i="2"/>
  <c r="H1313" i="2" s="1"/>
  <c r="F314" i="2"/>
  <c r="F1313" i="2" s="1"/>
  <c r="C314" i="2"/>
  <c r="I314" i="2"/>
  <c r="I1313" i="2" s="1"/>
  <c r="D314" i="2"/>
  <c r="D1313" i="2" s="1"/>
  <c r="G314" i="2"/>
  <c r="G1313" i="2" s="1"/>
  <c r="J314" i="2"/>
  <c r="J1313" i="2" s="1"/>
  <c r="E314" i="2"/>
  <c r="E1313" i="2" s="1"/>
  <c r="H269" i="2"/>
  <c r="H1272" i="2" s="1"/>
  <c r="C269" i="2"/>
  <c r="G269" i="2"/>
  <c r="G1272" i="2" s="1"/>
  <c r="D269" i="2"/>
  <c r="D1272" i="2" s="1"/>
  <c r="I269" i="2"/>
  <c r="I1272" i="2" s="1"/>
  <c r="E269" i="2"/>
  <c r="E1272" i="2" s="1"/>
  <c r="F269" i="2"/>
  <c r="F1272" i="2" s="1"/>
  <c r="J269" i="2"/>
  <c r="J1272" i="2" s="1"/>
  <c r="H257" i="2"/>
  <c r="H1261" i="2" s="1"/>
  <c r="D257" i="2"/>
  <c r="D1261" i="2" s="1"/>
  <c r="C257" i="2"/>
  <c r="I257" i="2"/>
  <c r="I1261" i="2" s="1"/>
  <c r="F257" i="2"/>
  <c r="F1261" i="2" s="1"/>
  <c r="G257" i="2"/>
  <c r="G1261" i="2" s="1"/>
  <c r="J257" i="2"/>
  <c r="J1261" i="2" s="1"/>
  <c r="E257" i="2"/>
  <c r="E1261" i="2" s="1"/>
  <c r="F263" i="2"/>
  <c r="F1267" i="2" s="1"/>
  <c r="C263" i="2"/>
  <c r="G263" i="2"/>
  <c r="G1267" i="2" s="1"/>
  <c r="H263" i="2"/>
  <c r="H1267" i="2" s="1"/>
  <c r="D263" i="2"/>
  <c r="D1267" i="2" s="1"/>
  <c r="I263" i="2"/>
  <c r="I1267" i="2" s="1"/>
  <c r="E263" i="2"/>
  <c r="E1267" i="2" s="1"/>
  <c r="J263" i="2"/>
  <c r="J1267" i="2" s="1"/>
  <c r="H315" i="2"/>
  <c r="H1314" i="2" s="1"/>
  <c r="D315" i="2"/>
  <c r="D1314" i="2" s="1"/>
  <c r="J315" i="2"/>
  <c r="J1314" i="2" s="1"/>
  <c r="I315" i="2"/>
  <c r="I1314" i="2" s="1"/>
  <c r="F315" i="2"/>
  <c r="F1314" i="2" s="1"/>
  <c r="E315" i="2"/>
  <c r="E1314" i="2" s="1"/>
  <c r="G315" i="2"/>
  <c r="G1314" i="2" s="1"/>
  <c r="C315" i="2"/>
  <c r="J337" i="2"/>
  <c r="J1334" i="2" s="1"/>
  <c r="D337" i="2"/>
  <c r="D1334" i="2" s="1"/>
  <c r="F337" i="2"/>
  <c r="F1334" i="2" s="1"/>
  <c r="C337" i="2"/>
  <c r="E337" i="2"/>
  <c r="E1334" i="2" s="1"/>
  <c r="G337" i="2"/>
  <c r="G1334" i="2" s="1"/>
  <c r="I337" i="2"/>
  <c r="I1334" i="2" s="1"/>
  <c r="H337" i="2"/>
  <c r="H1334" i="2" s="1"/>
  <c r="E313" i="2"/>
  <c r="E1312" i="2" s="1"/>
  <c r="F313" i="2"/>
  <c r="F1312" i="2" s="1"/>
  <c r="G313" i="2"/>
  <c r="G1312" i="2" s="1"/>
  <c r="I313" i="2"/>
  <c r="I1312" i="2" s="1"/>
  <c r="H313" i="2"/>
  <c r="H1312" i="2" s="1"/>
  <c r="D313" i="2"/>
  <c r="D1312" i="2" s="1"/>
  <c r="C313" i="2"/>
  <c r="J313" i="2"/>
  <c r="J1312" i="2" s="1"/>
  <c r="I264" i="2"/>
  <c r="I1268" i="2" s="1"/>
  <c r="J264" i="2"/>
  <c r="J1268" i="2" s="1"/>
  <c r="C264" i="2"/>
  <c r="E264" i="2"/>
  <c r="E1268" i="2" s="1"/>
  <c r="G264" i="2"/>
  <c r="G1268" i="2" s="1"/>
  <c r="D264" i="2"/>
  <c r="D1268" i="2" s="1"/>
  <c r="F264" i="2"/>
  <c r="F1268" i="2" s="1"/>
  <c r="H264" i="2"/>
  <c r="H1268" i="2" s="1"/>
  <c r="BB46" i="14"/>
  <c r="BH49" i="14"/>
  <c r="X49" i="3"/>
  <c r="W58" i="3"/>
  <c r="AY46" i="3"/>
  <c r="AX43" i="3"/>
  <c r="I51" i="14"/>
  <c r="X49" i="14"/>
  <c r="W58" i="14"/>
  <c r="C5" i="12"/>
  <c r="F4" i="12"/>
  <c r="H4" i="12" s="1"/>
  <c r="I5" i="10" s="1"/>
  <c r="J5" i="10" s="1"/>
  <c r="G300" i="2"/>
  <c r="G1300" i="2" s="1"/>
  <c r="D300" i="2"/>
  <c r="D1300" i="2" s="1"/>
  <c r="F300" i="2"/>
  <c r="F1300" i="2" s="1"/>
  <c r="E300" i="2"/>
  <c r="E1300" i="2" s="1"/>
  <c r="H300" i="2"/>
  <c r="H1300" i="2" s="1"/>
  <c r="J300" i="2"/>
  <c r="J1300" i="2" s="1"/>
  <c r="I300" i="2"/>
  <c r="I1300" i="2" s="1"/>
  <c r="C300" i="2"/>
  <c r="I303" i="2"/>
  <c r="I1303" i="2" s="1"/>
  <c r="F303" i="2"/>
  <c r="F1303" i="2" s="1"/>
  <c r="C303" i="2"/>
  <c r="G303" i="2"/>
  <c r="G1303" i="2" s="1"/>
  <c r="H303" i="2"/>
  <c r="H1303" i="2" s="1"/>
  <c r="E303" i="2"/>
  <c r="E1303" i="2" s="1"/>
  <c r="J303" i="2"/>
  <c r="J1303" i="2" s="1"/>
  <c r="D303" i="2"/>
  <c r="D1303" i="2" s="1"/>
  <c r="F306" i="2"/>
  <c r="F1306" i="2" s="1"/>
  <c r="C306" i="2"/>
  <c r="H306" i="2"/>
  <c r="H1306" i="2" s="1"/>
  <c r="E306" i="2"/>
  <c r="E1306" i="2" s="1"/>
  <c r="D306" i="2"/>
  <c r="D1306" i="2" s="1"/>
  <c r="G306" i="2"/>
  <c r="G1306" i="2" s="1"/>
  <c r="J306" i="2"/>
  <c r="J1306" i="2" s="1"/>
  <c r="I306" i="2"/>
  <c r="I1306" i="2" s="1"/>
  <c r="C239" i="2"/>
  <c r="E239" i="2"/>
  <c r="F239" i="2"/>
  <c r="B239" i="2"/>
  <c r="D1504" i="2"/>
  <c r="D239" i="2"/>
  <c r="G239" i="2"/>
  <c r="I239" i="2"/>
  <c r="H239" i="2"/>
  <c r="D325" i="2"/>
  <c r="D1323" i="2" s="1"/>
  <c r="C325" i="2"/>
  <c r="H325" i="2"/>
  <c r="H1323" i="2" s="1"/>
  <c r="I325" i="2"/>
  <c r="I1323" i="2" s="1"/>
  <c r="J325" i="2"/>
  <c r="J1323" i="2" s="1"/>
  <c r="F325" i="2"/>
  <c r="F1323" i="2" s="1"/>
  <c r="E325" i="2"/>
  <c r="E1323" i="2" s="1"/>
  <c r="G325" i="2"/>
  <c r="G1323" i="2" s="1"/>
  <c r="E266" i="2"/>
  <c r="E1269" i="2" s="1"/>
  <c r="F266" i="2"/>
  <c r="F1269" i="2" s="1"/>
  <c r="G266" i="2"/>
  <c r="G1269" i="2" s="1"/>
  <c r="H266" i="2"/>
  <c r="H1269" i="2" s="1"/>
  <c r="I266" i="2"/>
  <c r="I1269" i="2" s="1"/>
  <c r="J266" i="2"/>
  <c r="J1269" i="2" s="1"/>
  <c r="M276" i="2"/>
  <c r="D266" i="2"/>
  <c r="D1269" i="2" s="1"/>
  <c r="C266" i="2"/>
  <c r="H319" i="2"/>
  <c r="H1318" i="2" s="1"/>
  <c r="F319" i="2"/>
  <c r="F1318" i="2" s="1"/>
  <c r="G319" i="2"/>
  <c r="G1318" i="2" s="1"/>
  <c r="I319" i="2"/>
  <c r="I1318" i="2" s="1"/>
  <c r="C319" i="2"/>
  <c r="D319" i="2"/>
  <c r="D1318" i="2" s="1"/>
  <c r="E319" i="2"/>
  <c r="E1318" i="2" s="1"/>
  <c r="J319" i="2"/>
  <c r="J1318" i="2" s="1"/>
  <c r="F318" i="2"/>
  <c r="F1317" i="2" s="1"/>
  <c r="E318" i="2"/>
  <c r="E1317" i="2" s="1"/>
  <c r="G318" i="2"/>
  <c r="G1317" i="2" s="1"/>
  <c r="C318" i="2"/>
  <c r="J318" i="2"/>
  <c r="J1317" i="2" s="1"/>
  <c r="D318" i="2"/>
  <c r="D1317" i="2" s="1"/>
  <c r="I318" i="2"/>
  <c r="I1317" i="2" s="1"/>
  <c r="H318" i="2"/>
  <c r="H1317" i="2" s="1"/>
  <c r="C271" i="2"/>
  <c r="J271" i="2"/>
  <c r="J1274" i="2" s="1"/>
  <c r="I271" i="2"/>
  <c r="I1274" i="2" s="1"/>
  <c r="G271" i="2"/>
  <c r="G1274" i="2" s="1"/>
  <c r="F271" i="2"/>
  <c r="F1274" i="2" s="1"/>
  <c r="H271" i="2"/>
  <c r="H1274" i="2" s="1"/>
  <c r="D271" i="2"/>
  <c r="D1274" i="2" s="1"/>
  <c r="E271" i="2"/>
  <c r="E1274" i="2" s="1"/>
  <c r="F267" i="2"/>
  <c r="F1270" i="2" s="1"/>
  <c r="C267" i="2"/>
  <c r="J267" i="2"/>
  <c r="J1270" i="2" s="1"/>
  <c r="G267" i="2"/>
  <c r="G1270" i="2" s="1"/>
  <c r="I267" i="2"/>
  <c r="I1270" i="2" s="1"/>
  <c r="E267" i="2"/>
  <c r="E1270" i="2" s="1"/>
  <c r="D267" i="2"/>
  <c r="D1270" i="2" s="1"/>
  <c r="H267" i="2"/>
  <c r="H1270" i="2" s="1"/>
  <c r="J341" i="2"/>
  <c r="J1338" i="2" s="1"/>
  <c r="F341" i="2"/>
  <c r="F1338" i="2" s="1"/>
  <c r="H341" i="2"/>
  <c r="H1338" i="2" s="1"/>
  <c r="E341" i="2"/>
  <c r="E1338" i="2" s="1"/>
  <c r="I341" i="2"/>
  <c r="I1338" i="2" s="1"/>
  <c r="D341" i="2"/>
  <c r="D1338" i="2" s="1"/>
  <c r="C341" i="2"/>
  <c r="G341" i="2"/>
  <c r="G1338" i="2" s="1"/>
  <c r="F262" i="2"/>
  <c r="F1266" i="2" s="1"/>
  <c r="I262" i="2"/>
  <c r="I1266" i="2" s="1"/>
  <c r="E262" i="2"/>
  <c r="E1266" i="2" s="1"/>
  <c r="D262" i="2"/>
  <c r="D1266" i="2" s="1"/>
  <c r="H262" i="2"/>
  <c r="H1266" i="2" s="1"/>
  <c r="J262" i="2"/>
  <c r="J1266" i="2" s="1"/>
  <c r="G262" i="2"/>
  <c r="G1266" i="2" s="1"/>
  <c r="C262" i="2"/>
  <c r="D328" i="2"/>
  <c r="D1326" i="2" s="1"/>
  <c r="H328" i="2"/>
  <c r="H1326" i="2" s="1"/>
  <c r="C328" i="2"/>
  <c r="E328" i="2"/>
  <c r="E1326" i="2" s="1"/>
  <c r="I328" i="2"/>
  <c r="I1326" i="2" s="1"/>
  <c r="J328" i="2"/>
  <c r="J1326" i="2" s="1"/>
  <c r="G328" i="2"/>
  <c r="G1326" i="2" s="1"/>
  <c r="F328" i="2"/>
  <c r="F1326" i="2" s="1"/>
  <c r="G329" i="2"/>
  <c r="G1327" i="2" s="1"/>
  <c r="D329" i="2"/>
  <c r="D1327" i="2" s="1"/>
  <c r="I329" i="2"/>
  <c r="I1327" i="2" s="1"/>
  <c r="F329" i="2"/>
  <c r="F1327" i="2" s="1"/>
  <c r="C329" i="2"/>
  <c r="E329" i="2"/>
  <c r="E1327" i="2" s="1"/>
  <c r="H329" i="2"/>
  <c r="H1327" i="2" s="1"/>
  <c r="J329" i="2"/>
  <c r="J1327" i="2" s="1"/>
  <c r="J326" i="2"/>
  <c r="J1324" i="2" s="1"/>
  <c r="G326" i="2"/>
  <c r="G1324" i="2" s="1"/>
  <c r="F326" i="2"/>
  <c r="F1324" i="2" s="1"/>
  <c r="H326" i="2"/>
  <c r="H1324" i="2" s="1"/>
  <c r="E326" i="2"/>
  <c r="E1324" i="2" s="1"/>
  <c r="D326" i="2"/>
  <c r="D1324" i="2" s="1"/>
  <c r="I326" i="2"/>
  <c r="I1324" i="2" s="1"/>
  <c r="C326" i="2"/>
  <c r="D310" i="2"/>
  <c r="D1309" i="2" s="1"/>
  <c r="I310" i="2"/>
  <c r="I1309" i="2" s="1"/>
  <c r="M320" i="2"/>
  <c r="J310" i="2"/>
  <c r="J1309" i="2" s="1"/>
  <c r="F310" i="2"/>
  <c r="F1309" i="2" s="1"/>
  <c r="H310" i="2"/>
  <c r="H1309" i="2" s="1"/>
  <c r="G310" i="2"/>
  <c r="G1309" i="2" s="1"/>
  <c r="E310" i="2"/>
  <c r="E1309" i="2" s="1"/>
  <c r="C310" i="2"/>
  <c r="G270" i="2"/>
  <c r="G1273" i="2" s="1"/>
  <c r="D270" i="2"/>
  <c r="D1273" i="2" s="1"/>
  <c r="F270" i="2"/>
  <c r="F1273" i="2" s="1"/>
  <c r="I270" i="2"/>
  <c r="I1273" i="2" s="1"/>
  <c r="J270" i="2"/>
  <c r="J1273" i="2" s="1"/>
  <c r="C270" i="2"/>
  <c r="E270" i="2"/>
  <c r="E1273" i="2" s="1"/>
  <c r="H270" i="2"/>
  <c r="H1273" i="2" s="1"/>
  <c r="AY51" i="3"/>
  <c r="AX58" i="3"/>
  <c r="AW56" i="3"/>
  <c r="AW63" i="3" s="1"/>
  <c r="F58" i="3"/>
  <c r="AG46" i="3" s="1"/>
  <c r="G51" i="3"/>
  <c r="AG45" i="3"/>
  <c r="AP47" i="3"/>
  <c r="G48" i="3"/>
  <c r="C658" i="2"/>
  <c r="AX18" i="14"/>
  <c r="P18" i="3"/>
  <c r="BD18" i="3"/>
  <c r="BF18" i="14"/>
  <c r="Z18" i="14"/>
  <c r="BD18" i="14"/>
  <c r="R18" i="3"/>
  <c r="U18" i="3"/>
  <c r="BH18" i="14"/>
  <c r="B18" i="14"/>
  <c r="E18" i="3"/>
  <c r="AV18" i="3"/>
  <c r="BB18" i="14"/>
  <c r="H18" i="14"/>
  <c r="AI13" i="14" s="1"/>
  <c r="G18" i="3"/>
  <c r="X18" i="14"/>
  <c r="R18" i="14"/>
  <c r="BG18" i="3"/>
  <c r="O18" i="14"/>
  <c r="L18" i="3"/>
  <c r="AU18" i="14"/>
  <c r="Y18" i="3"/>
  <c r="T18" i="3"/>
  <c r="K18" i="3"/>
  <c r="BE18" i="14"/>
  <c r="BE18" i="3"/>
  <c r="I18" i="14"/>
  <c r="AJ13" i="14" s="1"/>
  <c r="G18" i="14"/>
  <c r="AH13" i="14" s="1"/>
  <c r="W18" i="3"/>
  <c r="Y18" i="14"/>
  <c r="AW18" i="14"/>
  <c r="I18" i="3"/>
  <c r="AY18" i="3"/>
  <c r="N18" i="14"/>
  <c r="C18" i="14"/>
  <c r="AD13" i="14" s="1"/>
  <c r="Q18" i="14"/>
  <c r="AY18" i="14"/>
  <c r="V18" i="14"/>
  <c r="BK18" i="3"/>
  <c r="E18" i="14"/>
  <c r="AF13" i="14" s="1"/>
  <c r="AU18" i="3"/>
  <c r="BI18" i="14"/>
  <c r="F18" i="3"/>
  <c r="F18" i="14"/>
  <c r="AG13" i="14" s="1"/>
  <c r="Z18" i="3"/>
  <c r="W18" i="14"/>
  <c r="BH18" i="3"/>
  <c r="D18" i="3"/>
  <c r="BI18" i="3"/>
  <c r="BG18" i="14"/>
  <c r="P18" i="14"/>
  <c r="BB18" i="3"/>
  <c r="AZ18" i="14"/>
  <c r="AW18" i="3"/>
  <c r="BA18" i="14"/>
  <c r="T18" i="14"/>
  <c r="M18" i="14"/>
  <c r="H18" i="3"/>
  <c r="B18" i="3"/>
  <c r="C39" i="15" s="1"/>
  <c r="D39" i="15" s="1"/>
  <c r="E39" i="15" s="1"/>
  <c r="F39" i="15" s="1"/>
  <c r="G39" i="15" s="1"/>
  <c r="H39" i="15" s="1"/>
  <c r="I39" i="15" s="1"/>
  <c r="J39" i="15" s="1"/>
  <c r="D18" i="14"/>
  <c r="AE13" i="14" s="1"/>
  <c r="L18" i="14"/>
  <c r="BA18" i="3"/>
  <c r="K18" i="14"/>
  <c r="AA18" i="3"/>
  <c r="M18" i="3"/>
  <c r="U18" i="14"/>
  <c r="BK18" i="14"/>
  <c r="AX18" i="3"/>
  <c r="O18" i="3"/>
  <c r="V18" i="3"/>
  <c r="X18" i="3"/>
  <c r="BJ18" i="3"/>
  <c r="AA18" i="14"/>
  <c r="N18" i="3"/>
  <c r="Q18" i="3"/>
  <c r="BF18" i="3"/>
  <c r="AZ18" i="3"/>
  <c r="BJ18" i="14"/>
  <c r="AV18" i="14"/>
  <c r="F13" i="12"/>
  <c r="H13" i="12" s="1"/>
  <c r="I14" i="10" s="1"/>
  <c r="C14" i="12"/>
  <c r="C23" i="12"/>
  <c r="F22" i="12"/>
  <c r="H22" i="12" s="1"/>
  <c r="I23" i="10" s="1"/>
  <c r="D335" i="2"/>
  <c r="D1332" i="2" s="1"/>
  <c r="I335" i="2"/>
  <c r="I1332" i="2" s="1"/>
  <c r="J335" i="2"/>
  <c r="J1332" i="2" s="1"/>
  <c r="G335" i="2"/>
  <c r="G1332" i="2" s="1"/>
  <c r="C335" i="2"/>
  <c r="F335" i="2"/>
  <c r="F1332" i="2" s="1"/>
  <c r="H335" i="2"/>
  <c r="H1332" i="2" s="1"/>
  <c r="E335" i="2"/>
  <c r="E1332" i="2" s="1"/>
  <c r="F334" i="2"/>
  <c r="F1331" i="2" s="1"/>
  <c r="G334" i="2"/>
  <c r="G1331" i="2" s="1"/>
  <c r="J334" i="2"/>
  <c r="J1331" i="2" s="1"/>
  <c r="E334" i="2"/>
  <c r="E1331" i="2" s="1"/>
  <c r="H334" i="2"/>
  <c r="H1331" i="2" s="1"/>
  <c r="C334" i="2"/>
  <c r="I334" i="2"/>
  <c r="I1331" i="2" s="1"/>
  <c r="D334" i="2"/>
  <c r="D1331" i="2" s="1"/>
  <c r="G295" i="2"/>
  <c r="G1296" i="2" s="1"/>
  <c r="D295" i="2"/>
  <c r="D1296" i="2" s="1"/>
  <c r="C295" i="2"/>
  <c r="H295" i="2"/>
  <c r="H1296" i="2" s="1"/>
  <c r="F295" i="2"/>
  <c r="F1296" i="2" s="1"/>
  <c r="J295" i="2"/>
  <c r="J1296" i="2" s="1"/>
  <c r="E295" i="2"/>
  <c r="E1296" i="2" s="1"/>
  <c r="I295" i="2"/>
  <c r="I1296" i="2" s="1"/>
  <c r="D292" i="2"/>
  <c r="D1293" i="2" s="1"/>
  <c r="J292" i="2"/>
  <c r="J1293" i="2" s="1"/>
  <c r="E292" i="2"/>
  <c r="E1293" i="2" s="1"/>
  <c r="F292" i="2"/>
  <c r="F1293" i="2" s="1"/>
  <c r="C292" i="2"/>
  <c r="H292" i="2"/>
  <c r="H1293" i="2" s="1"/>
  <c r="G292" i="2"/>
  <c r="G1293" i="2" s="1"/>
  <c r="I292" i="2"/>
  <c r="I1293" i="2" s="1"/>
  <c r="J307" i="2"/>
  <c r="J1307" i="2" s="1"/>
  <c r="I307" i="2"/>
  <c r="I1307" i="2" s="1"/>
  <c r="H307" i="2"/>
  <c r="H1307" i="2" s="1"/>
  <c r="D307" i="2"/>
  <c r="D1307" i="2" s="1"/>
  <c r="G307" i="2"/>
  <c r="G1307" i="2" s="1"/>
  <c r="C307" i="2"/>
  <c r="E307" i="2"/>
  <c r="E1307" i="2" s="1"/>
  <c r="F307" i="2"/>
  <c r="F1307" i="2" s="1"/>
  <c r="D284" i="2"/>
  <c r="D1286" i="2" s="1"/>
  <c r="E284" i="2"/>
  <c r="E1286" i="2" s="1"/>
  <c r="H284" i="2"/>
  <c r="H1286" i="2" s="1"/>
  <c r="G284" i="2"/>
  <c r="G1286" i="2" s="1"/>
  <c r="I284" i="2"/>
  <c r="I1286" i="2" s="1"/>
  <c r="C284" i="2"/>
  <c r="F284" i="2"/>
  <c r="F1286" i="2" s="1"/>
  <c r="J284" i="2"/>
  <c r="J1286" i="2" s="1"/>
  <c r="D281" i="2"/>
  <c r="D1283" i="2" s="1"/>
  <c r="E281" i="2"/>
  <c r="E1283" i="2" s="1"/>
  <c r="I281" i="2"/>
  <c r="I1283" i="2" s="1"/>
  <c r="G281" i="2"/>
  <c r="G1283" i="2" s="1"/>
  <c r="F281" i="2"/>
  <c r="F1283" i="2" s="1"/>
  <c r="H281" i="2"/>
  <c r="H1283" i="2" s="1"/>
  <c r="C281" i="2"/>
  <c r="J281" i="2"/>
  <c r="J1283" i="2" s="1"/>
  <c r="C283" i="2"/>
  <c r="I283" i="2"/>
  <c r="I1285" i="2" s="1"/>
  <c r="J283" i="2"/>
  <c r="J1285" i="2" s="1"/>
  <c r="E283" i="2"/>
  <c r="E1285" i="2" s="1"/>
  <c r="F283" i="2"/>
  <c r="F1285" i="2" s="1"/>
  <c r="H283" i="2"/>
  <c r="H1285" i="2" s="1"/>
  <c r="G283" i="2"/>
  <c r="G1285" i="2" s="1"/>
  <c r="D283" i="2"/>
  <c r="D1285" i="2" s="1"/>
  <c r="D280" i="2"/>
  <c r="D1282" i="2" s="1"/>
  <c r="J280" i="2"/>
  <c r="J1282" i="2" s="1"/>
  <c r="I280" i="2"/>
  <c r="I1282" i="2" s="1"/>
  <c r="H280" i="2"/>
  <c r="H1282" i="2" s="1"/>
  <c r="F280" i="2"/>
  <c r="F1282" i="2" s="1"/>
  <c r="G280" i="2"/>
  <c r="G1282" i="2" s="1"/>
  <c r="C280" i="2"/>
  <c r="E280" i="2"/>
  <c r="E1282" i="2" s="1"/>
  <c r="G339" i="2"/>
  <c r="G1336" i="2" s="1"/>
  <c r="I339" i="2"/>
  <c r="I1336" i="2" s="1"/>
  <c r="E339" i="2"/>
  <c r="E1336" i="2" s="1"/>
  <c r="H339" i="2"/>
  <c r="H1336" i="2" s="1"/>
  <c r="J339" i="2"/>
  <c r="J1336" i="2" s="1"/>
  <c r="D339" i="2"/>
  <c r="D1336" i="2" s="1"/>
  <c r="F339" i="2"/>
  <c r="F1336" i="2" s="1"/>
  <c r="C339" i="2"/>
  <c r="F332" i="2"/>
  <c r="F1329" i="2" s="1"/>
  <c r="C332" i="2"/>
  <c r="D332" i="2"/>
  <c r="D1329" i="2" s="1"/>
  <c r="I332" i="2"/>
  <c r="I1329" i="2" s="1"/>
  <c r="M342" i="2"/>
  <c r="J332" i="2"/>
  <c r="J1329" i="2" s="1"/>
  <c r="G332" i="2"/>
  <c r="G1329" i="2" s="1"/>
  <c r="E332" i="2"/>
  <c r="E1329" i="2" s="1"/>
  <c r="H332" i="2"/>
  <c r="H1329" i="2" s="1"/>
  <c r="F327" i="2"/>
  <c r="F1325" i="2" s="1"/>
  <c r="G327" i="2"/>
  <c r="G1325" i="2" s="1"/>
  <c r="E327" i="2"/>
  <c r="E1325" i="2" s="1"/>
  <c r="J327" i="2"/>
  <c r="J1325" i="2" s="1"/>
  <c r="I327" i="2"/>
  <c r="I1325" i="2" s="1"/>
  <c r="C327" i="2"/>
  <c r="H327" i="2"/>
  <c r="H1325" i="2" s="1"/>
  <c r="D327" i="2"/>
  <c r="D1325" i="2" s="1"/>
  <c r="H323" i="2"/>
  <c r="H1321" i="2" s="1"/>
  <c r="J323" i="2"/>
  <c r="J1321" i="2" s="1"/>
  <c r="I323" i="2"/>
  <c r="I1321" i="2" s="1"/>
  <c r="D323" i="2"/>
  <c r="D1321" i="2" s="1"/>
  <c r="F323" i="2"/>
  <c r="F1321" i="2" s="1"/>
  <c r="G323" i="2"/>
  <c r="G1321" i="2" s="1"/>
  <c r="C323" i="2"/>
  <c r="E323" i="2"/>
  <c r="E1321" i="2" s="1"/>
  <c r="I274" i="2"/>
  <c r="I1277" i="2" s="1"/>
  <c r="G274" i="2"/>
  <c r="G1277" i="2" s="1"/>
  <c r="F274" i="2"/>
  <c r="F1277" i="2" s="1"/>
  <c r="J274" i="2"/>
  <c r="J1277" i="2" s="1"/>
  <c r="D274" i="2"/>
  <c r="D1277" i="2" s="1"/>
  <c r="C274" i="2"/>
  <c r="E274" i="2"/>
  <c r="E1277" i="2" s="1"/>
  <c r="H274" i="2"/>
  <c r="H1277" i="2" s="1"/>
  <c r="G272" i="2"/>
  <c r="G1275" i="2" s="1"/>
  <c r="J272" i="2"/>
  <c r="J1275" i="2" s="1"/>
  <c r="H272" i="2"/>
  <c r="H1275" i="2" s="1"/>
  <c r="D272" i="2"/>
  <c r="D1275" i="2" s="1"/>
  <c r="E272" i="2"/>
  <c r="E1275" i="2" s="1"/>
  <c r="I272" i="2"/>
  <c r="I1275" i="2" s="1"/>
  <c r="F272" i="2"/>
  <c r="F1275" i="2" s="1"/>
  <c r="C272" i="2"/>
  <c r="F370" i="2"/>
  <c r="I370" i="2"/>
  <c r="G370" i="2"/>
  <c r="H370" i="2"/>
  <c r="C370" i="2"/>
  <c r="B370" i="2"/>
  <c r="D1521" i="2"/>
  <c r="D370" i="2"/>
  <c r="E370" i="2"/>
  <c r="I259" i="2"/>
  <c r="I1263" i="2" s="1"/>
  <c r="D259" i="2"/>
  <c r="D1263" i="2" s="1"/>
  <c r="C259" i="2"/>
  <c r="E259" i="2"/>
  <c r="E1263" i="2" s="1"/>
  <c r="F259" i="2"/>
  <c r="F1263" i="2" s="1"/>
  <c r="G259" i="2"/>
  <c r="G1263" i="2" s="1"/>
  <c r="J259" i="2"/>
  <c r="J1263" i="2" s="1"/>
  <c r="H259" i="2"/>
  <c r="H1263" i="2" s="1"/>
  <c r="E275" i="2"/>
  <c r="E1278" i="2" s="1"/>
  <c r="C275" i="2"/>
  <c r="H275" i="2"/>
  <c r="H1278" i="2" s="1"/>
  <c r="G275" i="2"/>
  <c r="G1278" i="2" s="1"/>
  <c r="F275" i="2"/>
  <c r="F1278" i="2" s="1"/>
  <c r="J275" i="2"/>
  <c r="J1278" i="2" s="1"/>
  <c r="D275" i="2"/>
  <c r="D1278" i="2" s="1"/>
  <c r="I275" i="2"/>
  <c r="I1278" i="2" s="1"/>
  <c r="G237" i="2"/>
  <c r="C1504" i="2"/>
  <c r="F237" i="2"/>
  <c r="C237" i="2"/>
  <c r="B237" i="2"/>
  <c r="D237" i="2"/>
  <c r="I237" i="2"/>
  <c r="H237" i="2"/>
  <c r="E237" i="2"/>
  <c r="C256" i="2"/>
  <c r="D256" i="2"/>
  <c r="D1260" i="2" s="1"/>
  <c r="I256" i="2"/>
  <c r="I1260" i="2" s="1"/>
  <c r="G256" i="2"/>
  <c r="G1260" i="2" s="1"/>
  <c r="J256" i="2"/>
  <c r="J1260" i="2" s="1"/>
  <c r="E256" i="2"/>
  <c r="E1260" i="2" s="1"/>
  <c r="F256" i="2"/>
  <c r="F1260" i="2" s="1"/>
  <c r="H256" i="2"/>
  <c r="H1260" i="2" s="1"/>
  <c r="H338" i="2"/>
  <c r="H1335" i="2" s="1"/>
  <c r="I338" i="2"/>
  <c r="I1335" i="2" s="1"/>
  <c r="J338" i="2"/>
  <c r="J1335" i="2" s="1"/>
  <c r="D338" i="2"/>
  <c r="D1335" i="2" s="1"/>
  <c r="G338" i="2"/>
  <c r="G1335" i="2" s="1"/>
  <c r="C338" i="2"/>
  <c r="E338" i="2"/>
  <c r="E1335" i="2" s="1"/>
  <c r="F338" i="2"/>
  <c r="F1335" i="2" s="1"/>
  <c r="G322" i="2"/>
  <c r="G1320" i="2" s="1"/>
  <c r="E322" i="2"/>
  <c r="E1320" i="2" s="1"/>
  <c r="I322" i="2"/>
  <c r="I1320" i="2" s="1"/>
  <c r="C322" i="2"/>
  <c r="F322" i="2"/>
  <c r="F1320" i="2" s="1"/>
  <c r="D322" i="2"/>
  <c r="D1320" i="2" s="1"/>
  <c r="J322" i="2"/>
  <c r="J1320" i="2" s="1"/>
  <c r="H322" i="2"/>
  <c r="H1320" i="2" s="1"/>
  <c r="D317" i="2"/>
  <c r="D1316" i="2" s="1"/>
  <c r="C317" i="2"/>
  <c r="J317" i="2"/>
  <c r="J1316" i="2" s="1"/>
  <c r="E317" i="2"/>
  <c r="E1316" i="2" s="1"/>
  <c r="H317" i="2"/>
  <c r="H1316" i="2" s="1"/>
  <c r="F317" i="2"/>
  <c r="F1316" i="2" s="1"/>
  <c r="I317" i="2"/>
  <c r="I1316" i="2" s="1"/>
  <c r="G317" i="2"/>
  <c r="G1316" i="2" s="1"/>
  <c r="D311" i="2"/>
  <c r="D1310" i="2" s="1"/>
  <c r="I311" i="2"/>
  <c r="I1310" i="2" s="1"/>
  <c r="H311" i="2"/>
  <c r="H1310" i="2" s="1"/>
  <c r="J311" i="2"/>
  <c r="J1310" i="2" s="1"/>
  <c r="F311" i="2"/>
  <c r="F1310" i="2" s="1"/>
  <c r="E311" i="2"/>
  <c r="E1310" i="2" s="1"/>
  <c r="G311" i="2"/>
  <c r="G1310" i="2" s="1"/>
  <c r="C311" i="2"/>
  <c r="AY50" i="14"/>
  <c r="C667" i="2"/>
  <c r="C649" i="2"/>
  <c r="C674" i="2"/>
  <c r="C631" i="2"/>
  <c r="I130" i="15"/>
  <c r="T112" i="15"/>
  <c r="T95" i="15" s="1"/>
  <c r="S95" i="15"/>
  <c r="R115" i="15"/>
  <c r="Q98" i="15"/>
  <c r="S31" i="15"/>
  <c r="G131" i="15"/>
  <c r="G124" i="15"/>
  <c r="R111" i="15"/>
  <c r="Q94" i="15"/>
  <c r="P131" i="15"/>
  <c r="R55" i="15"/>
  <c r="S28" i="15"/>
  <c r="H130" i="15"/>
  <c r="Q54" i="15"/>
  <c r="R27" i="15"/>
  <c r="R113" i="15"/>
  <c r="Q96" i="15"/>
  <c r="G129" i="15"/>
  <c r="Q56" i="15"/>
  <c r="R29" i="15"/>
  <c r="H93" i="15"/>
  <c r="I110" i="15"/>
  <c r="I27" i="15"/>
  <c r="I115" i="15"/>
  <c r="H98" i="15"/>
  <c r="I113" i="15"/>
  <c r="H96" i="15"/>
  <c r="Q52" i="15"/>
  <c r="R25" i="15"/>
  <c r="H56" i="15"/>
  <c r="I29" i="15"/>
  <c r="I111" i="15"/>
  <c r="H94" i="15"/>
  <c r="Q130" i="15"/>
  <c r="P129" i="15"/>
  <c r="H1039" i="2" l="1"/>
  <c r="H672" i="2"/>
  <c r="E1039" i="2"/>
  <c r="E672" i="2"/>
  <c r="C951" i="2"/>
  <c r="C1329" i="2"/>
  <c r="C946" i="2"/>
  <c r="C1324" i="2"/>
  <c r="C888" i="2"/>
  <c r="C1266" i="2"/>
  <c r="C891" i="2"/>
  <c r="C1269" i="2"/>
  <c r="C928" i="2"/>
  <c r="C1306" i="2"/>
  <c r="C898" i="2"/>
  <c r="C1276" i="2"/>
  <c r="C914" i="2"/>
  <c r="C1292" i="2"/>
  <c r="C916" i="2"/>
  <c r="C1294" i="2"/>
  <c r="C912" i="2"/>
  <c r="C1290" i="2"/>
  <c r="C903" i="2"/>
  <c r="C1281" i="2"/>
  <c r="E1006" i="2"/>
  <c r="E1384" i="2"/>
  <c r="E987" i="2"/>
  <c r="E1365" i="2"/>
  <c r="C1027" i="2"/>
  <c r="C1405" i="2"/>
  <c r="H977" i="2"/>
  <c r="H1355" i="2"/>
  <c r="C983" i="2"/>
  <c r="C1361" i="2"/>
  <c r="H986" i="2"/>
  <c r="H1364" i="2"/>
  <c r="G1003" i="2"/>
  <c r="G1381" i="2"/>
  <c r="J1022" i="2"/>
  <c r="J1400" i="2"/>
  <c r="F1005" i="2"/>
  <c r="F1383" i="2"/>
  <c r="J1034" i="2"/>
  <c r="J1412" i="2"/>
  <c r="H1004" i="2"/>
  <c r="H1382" i="2"/>
  <c r="G1036" i="2"/>
  <c r="G1414" i="2"/>
  <c r="D968" i="2"/>
  <c r="D1346" i="2"/>
  <c r="H1037" i="2"/>
  <c r="H1415" i="2"/>
  <c r="E1017" i="2"/>
  <c r="E1395" i="2"/>
  <c r="D997" i="2"/>
  <c r="D1375" i="2"/>
  <c r="G968" i="2"/>
  <c r="G1346" i="2"/>
  <c r="H1011" i="2"/>
  <c r="H1389" i="2"/>
  <c r="J968" i="2"/>
  <c r="J1346" i="2"/>
  <c r="C1020" i="2"/>
  <c r="C1398" i="2"/>
  <c r="J996" i="2"/>
  <c r="J1374" i="2"/>
  <c r="H1041" i="2"/>
  <c r="H1419" i="2"/>
  <c r="I1045" i="2"/>
  <c r="I1423" i="2"/>
  <c r="J1013" i="2"/>
  <c r="J1391" i="2"/>
  <c r="E1012" i="2"/>
  <c r="E1390" i="2"/>
  <c r="I1019" i="2"/>
  <c r="I1397" i="2"/>
  <c r="J1038" i="2"/>
  <c r="J1416" i="2"/>
  <c r="G1029" i="2"/>
  <c r="G1407" i="2"/>
  <c r="F1023" i="2"/>
  <c r="F1401" i="2"/>
  <c r="E1011" i="2"/>
  <c r="E1389" i="2"/>
  <c r="C993" i="2"/>
  <c r="C1371" i="2"/>
  <c r="J1002" i="2"/>
  <c r="J1380" i="2"/>
  <c r="C1031" i="2"/>
  <c r="C1409" i="2"/>
  <c r="G966" i="2"/>
  <c r="G1344" i="2"/>
  <c r="I1018" i="2"/>
  <c r="I1396" i="2"/>
  <c r="G978" i="2"/>
  <c r="G1356" i="2"/>
  <c r="I978" i="2"/>
  <c r="I1356" i="2"/>
  <c r="C1009" i="2"/>
  <c r="C1387" i="2"/>
  <c r="G1031" i="2"/>
  <c r="G1409" i="2"/>
  <c r="J988" i="2"/>
  <c r="J1366" i="2"/>
  <c r="J1031" i="2"/>
  <c r="J1409" i="2"/>
  <c r="C957" i="2"/>
  <c r="C1335" i="2"/>
  <c r="C897" i="2"/>
  <c r="C1275" i="2"/>
  <c r="C907" i="2"/>
  <c r="C1285" i="2"/>
  <c r="C895" i="2"/>
  <c r="C1273" i="2"/>
  <c r="C960" i="2"/>
  <c r="C1338" i="2"/>
  <c r="C956" i="2"/>
  <c r="C1334" i="2"/>
  <c r="C911" i="2"/>
  <c r="C1289" i="2"/>
  <c r="D1006" i="2"/>
  <c r="D1384" i="2"/>
  <c r="F1016" i="2"/>
  <c r="F1394" i="2"/>
  <c r="G986" i="2"/>
  <c r="G1364" i="2"/>
  <c r="H976" i="2"/>
  <c r="H1354" i="2"/>
  <c r="F1035" i="2"/>
  <c r="F1413" i="2"/>
  <c r="G1042" i="2"/>
  <c r="G1420" i="2"/>
  <c r="F977" i="2"/>
  <c r="F1355" i="2"/>
  <c r="E1034" i="2"/>
  <c r="E1412" i="2"/>
  <c r="J1008" i="2"/>
  <c r="J1386" i="2"/>
  <c r="G1000" i="2"/>
  <c r="G1378" i="2"/>
  <c r="J1000" i="2"/>
  <c r="J1378" i="2"/>
  <c r="H1045" i="2"/>
  <c r="H1423" i="2"/>
  <c r="F1024" i="2"/>
  <c r="F1402" i="2"/>
  <c r="D1021" i="2"/>
  <c r="D1399" i="2"/>
  <c r="E1024" i="2"/>
  <c r="E1402" i="2"/>
  <c r="H1017" i="2"/>
  <c r="H1395" i="2"/>
  <c r="J1036" i="2"/>
  <c r="J1414" i="2"/>
  <c r="F968" i="2"/>
  <c r="F1346" i="2"/>
  <c r="D1005" i="2"/>
  <c r="D1383" i="2"/>
  <c r="J1045" i="2"/>
  <c r="J1423" i="2"/>
  <c r="G1011" i="2"/>
  <c r="G1389" i="2"/>
  <c r="I1020" i="2"/>
  <c r="I1398" i="2"/>
  <c r="F1029" i="2"/>
  <c r="F1407" i="2"/>
  <c r="E1029" i="2"/>
  <c r="E1407" i="2"/>
  <c r="G996" i="2"/>
  <c r="G1374" i="2"/>
  <c r="I1026" i="2"/>
  <c r="I1404" i="2"/>
  <c r="E1026" i="2"/>
  <c r="E1404" i="2"/>
  <c r="C992" i="2"/>
  <c r="C1370" i="2"/>
  <c r="H1022" i="2"/>
  <c r="H1400" i="2"/>
  <c r="F1019" i="2"/>
  <c r="F1397" i="2"/>
  <c r="J1014" i="2"/>
  <c r="J1392" i="2"/>
  <c r="F1043" i="2"/>
  <c r="F1421" i="2"/>
  <c r="C977" i="2"/>
  <c r="C1355" i="2"/>
  <c r="D1040" i="2"/>
  <c r="D1418" i="2"/>
  <c r="D966" i="2"/>
  <c r="D1344" i="2"/>
  <c r="J1018" i="2"/>
  <c r="J1396" i="2"/>
  <c r="J978" i="2"/>
  <c r="J1356" i="2"/>
  <c r="H1028" i="2"/>
  <c r="H1406" i="2"/>
  <c r="J1009" i="2"/>
  <c r="J1387" i="2"/>
  <c r="F1013" i="2"/>
  <c r="F1391" i="2"/>
  <c r="C943" i="2"/>
  <c r="C1321" i="2"/>
  <c r="C958" i="2"/>
  <c r="C1336" i="2"/>
  <c r="C922" i="2"/>
  <c r="C1300" i="2"/>
  <c r="C890" i="2"/>
  <c r="C1268" i="2"/>
  <c r="C883" i="2"/>
  <c r="C1261" i="2"/>
  <c r="C935" i="2"/>
  <c r="C1313" i="2"/>
  <c r="C902" i="2"/>
  <c r="C1280" i="2"/>
  <c r="C933" i="2"/>
  <c r="C1311" i="2"/>
  <c r="C886" i="2"/>
  <c r="C1264" i="2"/>
  <c r="C910" i="2"/>
  <c r="C1288" i="2"/>
  <c r="C930" i="2"/>
  <c r="C1308" i="2"/>
  <c r="C920" i="2"/>
  <c r="C1298" i="2"/>
  <c r="C986" i="2"/>
  <c r="C1364" i="2"/>
  <c r="F1008" i="2"/>
  <c r="F1386" i="2"/>
  <c r="D976" i="2"/>
  <c r="D1354" i="2"/>
  <c r="D1008" i="2"/>
  <c r="D1386" i="2"/>
  <c r="J1026" i="2"/>
  <c r="J1404" i="2"/>
  <c r="G977" i="2"/>
  <c r="G1355" i="2"/>
  <c r="G1022" i="2"/>
  <c r="G1400" i="2"/>
  <c r="F986" i="2"/>
  <c r="F1364" i="2"/>
  <c r="F1026" i="2"/>
  <c r="F1404" i="2"/>
  <c r="H1020" i="2"/>
  <c r="H1398" i="2"/>
  <c r="H967" i="2"/>
  <c r="H1345" i="2"/>
  <c r="I1007" i="2"/>
  <c r="I1385" i="2"/>
  <c r="D1004" i="2"/>
  <c r="D1382" i="2"/>
  <c r="E1021" i="2"/>
  <c r="E1399" i="2"/>
  <c r="J1024" i="2"/>
  <c r="J1402" i="2"/>
  <c r="G1021" i="2"/>
  <c r="G1399" i="2"/>
  <c r="I1024" i="2"/>
  <c r="I1402" i="2"/>
  <c r="G1032" i="2"/>
  <c r="G1410" i="2"/>
  <c r="H1043" i="2"/>
  <c r="H1421" i="2"/>
  <c r="I968" i="2"/>
  <c r="I1346" i="2"/>
  <c r="D998" i="2"/>
  <c r="D1376" i="2"/>
  <c r="G998" i="2"/>
  <c r="G1376" i="2"/>
  <c r="C1023" i="2"/>
  <c r="C1401" i="2"/>
  <c r="E998" i="2"/>
  <c r="E1376" i="2"/>
  <c r="H1023" i="2"/>
  <c r="H1401" i="2"/>
  <c r="H1001" i="2"/>
  <c r="H1379" i="2"/>
  <c r="G1024" i="2"/>
  <c r="G1402" i="2"/>
  <c r="D1032" i="2"/>
  <c r="D1410" i="2"/>
  <c r="H1002" i="2"/>
  <c r="H1380" i="2"/>
  <c r="J1033" i="2"/>
  <c r="J1411" i="2"/>
  <c r="I1033" i="2"/>
  <c r="I1411" i="2"/>
  <c r="E1031" i="2"/>
  <c r="E1409" i="2"/>
  <c r="J1010" i="2"/>
  <c r="J1388" i="2"/>
  <c r="C942" i="2"/>
  <c r="C1320" i="2"/>
  <c r="C899" i="2"/>
  <c r="C1277" i="2"/>
  <c r="C947" i="2"/>
  <c r="C1325" i="2"/>
  <c r="C904" i="2"/>
  <c r="C1282" i="2"/>
  <c r="C905" i="2"/>
  <c r="C1283" i="2"/>
  <c r="C949" i="2"/>
  <c r="C1327" i="2"/>
  <c r="C940" i="2"/>
  <c r="C1318" i="2"/>
  <c r="C889" i="2"/>
  <c r="C1267" i="2"/>
  <c r="C894" i="2"/>
  <c r="C1272" i="2"/>
  <c r="C944" i="2"/>
  <c r="C1322" i="2"/>
  <c r="C919" i="2"/>
  <c r="C1297" i="2"/>
  <c r="C959" i="2"/>
  <c r="C1337" i="2"/>
  <c r="I1003" i="2"/>
  <c r="I1381" i="2"/>
  <c r="E976" i="2"/>
  <c r="E1354" i="2"/>
  <c r="J1035" i="2"/>
  <c r="J1413" i="2"/>
  <c r="I987" i="2"/>
  <c r="I1365" i="2"/>
  <c r="H1035" i="2"/>
  <c r="H1413" i="2"/>
  <c r="I1005" i="2"/>
  <c r="I1383" i="2"/>
  <c r="I1044" i="2"/>
  <c r="I1422" i="2"/>
  <c r="E999" i="2"/>
  <c r="E1377" i="2"/>
  <c r="C1007" i="2"/>
  <c r="C1385" i="2"/>
  <c r="D1034" i="2"/>
  <c r="D1412" i="2"/>
  <c r="F1004" i="2"/>
  <c r="F1382" i="2"/>
  <c r="H1005" i="2"/>
  <c r="H1383" i="2"/>
  <c r="E1044" i="2"/>
  <c r="E1422" i="2"/>
  <c r="F1036" i="2"/>
  <c r="F1414" i="2"/>
  <c r="C968" i="2"/>
  <c r="C1346" i="2"/>
  <c r="F996" i="2"/>
  <c r="F1374" i="2"/>
  <c r="E1032" i="2"/>
  <c r="E1410" i="2"/>
  <c r="E1041" i="2"/>
  <c r="E1419" i="2"/>
  <c r="H996" i="2"/>
  <c r="H1374" i="2"/>
  <c r="I1012" i="2"/>
  <c r="I1390" i="2"/>
  <c r="G1013" i="2"/>
  <c r="G1391" i="2"/>
  <c r="H1012" i="2"/>
  <c r="H1390" i="2"/>
  <c r="E1001" i="2"/>
  <c r="E1379" i="2"/>
  <c r="H1021" i="2"/>
  <c r="H1399" i="2"/>
  <c r="D1029" i="2"/>
  <c r="D1407" i="2"/>
  <c r="H1014" i="2"/>
  <c r="H1392" i="2"/>
  <c r="H999" i="2"/>
  <c r="H1377" i="2"/>
  <c r="D1019" i="2"/>
  <c r="D1397" i="2"/>
  <c r="E1033" i="2"/>
  <c r="E1411" i="2"/>
  <c r="H1009" i="2"/>
  <c r="H1387" i="2"/>
  <c r="H1018" i="2"/>
  <c r="H1396" i="2"/>
  <c r="I1010" i="2"/>
  <c r="I1388" i="2"/>
  <c r="D1010" i="2"/>
  <c r="D1388" i="2"/>
  <c r="G1030" i="2"/>
  <c r="G1408" i="2"/>
  <c r="I1030" i="2"/>
  <c r="I1408" i="2"/>
  <c r="E1015" i="2"/>
  <c r="E1393" i="2"/>
  <c r="D1039" i="2"/>
  <c r="D1417" i="2"/>
  <c r="C908" i="2"/>
  <c r="C1286" i="2"/>
  <c r="C929" i="2"/>
  <c r="C1307" i="2"/>
  <c r="C953" i="2"/>
  <c r="C1331" i="2"/>
  <c r="C939" i="2"/>
  <c r="C1317" i="2"/>
  <c r="C955" i="2"/>
  <c r="C1333" i="2"/>
  <c r="C909" i="2"/>
  <c r="C1287" i="2"/>
  <c r="C926" i="2"/>
  <c r="C1304" i="2"/>
  <c r="C950" i="2"/>
  <c r="C1328" i="2"/>
  <c r="G1027" i="2"/>
  <c r="G1405" i="2"/>
  <c r="F1006" i="2"/>
  <c r="F1384" i="2"/>
  <c r="J1006" i="2"/>
  <c r="J1384" i="2"/>
  <c r="C1008" i="2"/>
  <c r="C1386" i="2"/>
  <c r="D1026" i="2"/>
  <c r="D1404" i="2"/>
  <c r="I1022" i="2"/>
  <c r="I1400" i="2"/>
  <c r="C1000" i="2"/>
  <c r="C1378" i="2"/>
  <c r="G1037" i="2"/>
  <c r="G1415" i="2"/>
  <c r="C1045" i="2"/>
  <c r="C1423" i="2"/>
  <c r="J1021" i="2"/>
  <c r="J1399" i="2"/>
  <c r="E1045" i="2"/>
  <c r="E1423" i="2"/>
  <c r="F997" i="2"/>
  <c r="F1375" i="2"/>
  <c r="I1011" i="2"/>
  <c r="I1389" i="2"/>
  <c r="D999" i="2"/>
  <c r="D1377" i="2"/>
  <c r="F1011" i="2"/>
  <c r="F1389" i="2"/>
  <c r="H1036" i="2"/>
  <c r="H1414" i="2"/>
  <c r="J998" i="2"/>
  <c r="J1376" i="2"/>
  <c r="E996" i="2"/>
  <c r="E1374" i="2"/>
  <c r="C985" i="2"/>
  <c r="C1363" i="2"/>
  <c r="I1017" i="2"/>
  <c r="I1395" i="2"/>
  <c r="D1041" i="2"/>
  <c r="D1419" i="2"/>
  <c r="I967" i="2"/>
  <c r="I1345" i="2"/>
  <c r="C1038" i="2"/>
  <c r="C1416" i="2"/>
  <c r="D1014" i="2"/>
  <c r="D1392" i="2"/>
  <c r="F1032" i="2"/>
  <c r="F1410" i="2"/>
  <c r="H1038" i="2"/>
  <c r="H1416" i="2"/>
  <c r="I1002" i="2"/>
  <c r="I1380" i="2"/>
  <c r="E1019" i="2"/>
  <c r="E1397" i="2"/>
  <c r="H1013" i="2"/>
  <c r="H1391" i="2"/>
  <c r="E966" i="2"/>
  <c r="E1344" i="2"/>
  <c r="I1013" i="2"/>
  <c r="I1391" i="2"/>
  <c r="H1015" i="2"/>
  <c r="H1393" i="2"/>
  <c r="F1028" i="2"/>
  <c r="F1406" i="2"/>
  <c r="F1015" i="2"/>
  <c r="F1393" i="2"/>
  <c r="C1010" i="2"/>
  <c r="C1388" i="2"/>
  <c r="C938" i="2"/>
  <c r="C1316" i="2"/>
  <c r="C885" i="2"/>
  <c r="C1263" i="2"/>
  <c r="C915" i="2"/>
  <c r="C1293" i="2"/>
  <c r="C954" i="2"/>
  <c r="C1332" i="2"/>
  <c r="C948" i="2"/>
  <c r="C1326" i="2"/>
  <c r="C936" i="2"/>
  <c r="C1314" i="2"/>
  <c r="C924" i="2"/>
  <c r="C1302" i="2"/>
  <c r="C923" i="2"/>
  <c r="C1301" i="2"/>
  <c r="C893" i="2"/>
  <c r="C1271" i="2"/>
  <c r="C941" i="2"/>
  <c r="C1319" i="2"/>
  <c r="C884" i="2"/>
  <c r="C1262" i="2"/>
  <c r="C937" i="2"/>
  <c r="C1315" i="2"/>
  <c r="C913" i="2"/>
  <c r="C1291" i="2"/>
  <c r="C927" i="2"/>
  <c r="C1305" i="2"/>
  <c r="C917" i="2"/>
  <c r="C1295" i="2"/>
  <c r="H1016" i="2"/>
  <c r="H1394" i="2"/>
  <c r="J987" i="2"/>
  <c r="J1365" i="2"/>
  <c r="G1016" i="2"/>
  <c r="G1394" i="2"/>
  <c r="G976" i="2"/>
  <c r="G1354" i="2"/>
  <c r="E986" i="2"/>
  <c r="E1364" i="2"/>
  <c r="D986" i="2"/>
  <c r="D1364" i="2"/>
  <c r="C1006" i="2"/>
  <c r="C1384" i="2"/>
  <c r="I1034" i="2"/>
  <c r="I1412" i="2"/>
  <c r="J1042" i="2"/>
  <c r="J1420" i="2"/>
  <c r="G997" i="2"/>
  <c r="G1375" i="2"/>
  <c r="J997" i="2"/>
  <c r="J1375" i="2"/>
  <c r="H1042" i="2"/>
  <c r="H1420" i="2"/>
  <c r="F1020" i="2"/>
  <c r="F1398" i="2"/>
  <c r="C967" i="2"/>
  <c r="C1345" i="2"/>
  <c r="F1007" i="2"/>
  <c r="F1385" i="2"/>
  <c r="F1045" i="2"/>
  <c r="F1423" i="2"/>
  <c r="H1044" i="2"/>
  <c r="H1422" i="2"/>
  <c r="E1037" i="2"/>
  <c r="E1415" i="2"/>
  <c r="G1045" i="2"/>
  <c r="G1423" i="2"/>
  <c r="C990" i="2"/>
  <c r="C1368" i="2"/>
  <c r="I1029" i="2"/>
  <c r="I1407" i="2"/>
  <c r="J1043" i="2"/>
  <c r="J1421" i="2"/>
  <c r="G1041" i="2"/>
  <c r="G1419" i="2"/>
  <c r="E1040" i="2"/>
  <c r="E1418" i="2"/>
  <c r="G1019" i="2"/>
  <c r="G1397" i="2"/>
  <c r="J1011" i="2"/>
  <c r="J1389" i="2"/>
  <c r="F1012" i="2"/>
  <c r="F1390" i="2"/>
  <c r="D1012" i="2"/>
  <c r="D1390" i="2"/>
  <c r="D1043" i="2"/>
  <c r="D1421" i="2"/>
  <c r="D1023" i="2"/>
  <c r="D1401" i="2"/>
  <c r="G1014" i="2"/>
  <c r="G1392" i="2"/>
  <c r="D1033" i="2"/>
  <c r="D1411" i="2"/>
  <c r="D988" i="2"/>
  <c r="D1366" i="2"/>
  <c r="I1028" i="2"/>
  <c r="I1406" i="2"/>
  <c r="H978" i="2"/>
  <c r="H1356" i="2"/>
  <c r="D1015" i="2"/>
  <c r="D1393" i="2"/>
  <c r="D1028" i="2"/>
  <c r="D1406" i="2"/>
  <c r="E1038" i="2"/>
  <c r="E1416" i="2"/>
  <c r="D1031" i="2"/>
  <c r="D1409" i="2"/>
  <c r="J1015" i="2"/>
  <c r="J1393" i="2"/>
  <c r="C882" i="2"/>
  <c r="C1260" i="2"/>
  <c r="C900" i="2"/>
  <c r="C1278" i="2"/>
  <c r="C892" i="2"/>
  <c r="C1270" i="2"/>
  <c r="C934" i="2"/>
  <c r="C1312" i="2"/>
  <c r="C901" i="2"/>
  <c r="C1279" i="2"/>
  <c r="C921" i="2"/>
  <c r="C1299" i="2"/>
  <c r="C887" i="2"/>
  <c r="C1265" i="2"/>
  <c r="C952" i="2"/>
  <c r="C1330" i="2"/>
  <c r="C976" i="2"/>
  <c r="C1354" i="2"/>
  <c r="F1022" i="2"/>
  <c r="F1400" i="2"/>
  <c r="C1026" i="2"/>
  <c r="C1404" i="2"/>
  <c r="F1034" i="2"/>
  <c r="F1412" i="2"/>
  <c r="F1021" i="2"/>
  <c r="F1399" i="2"/>
  <c r="C1024" i="2"/>
  <c r="C1402" i="2"/>
  <c r="C991" i="2"/>
  <c r="C1369" i="2"/>
  <c r="C984" i="2"/>
  <c r="C1362" i="2"/>
  <c r="G999" i="2"/>
  <c r="G1377" i="2"/>
  <c r="E1020" i="2"/>
  <c r="E1398" i="2"/>
  <c r="D1007" i="2"/>
  <c r="D1385" i="2"/>
  <c r="G1017" i="2"/>
  <c r="G1395" i="2"/>
  <c r="D1017" i="2"/>
  <c r="D1395" i="2"/>
  <c r="I1043" i="2"/>
  <c r="I1421" i="2"/>
  <c r="C1043" i="2"/>
  <c r="C1421" i="2"/>
  <c r="F1041" i="2"/>
  <c r="F1419" i="2"/>
  <c r="C995" i="2"/>
  <c r="C1373" i="2"/>
  <c r="G1038" i="2"/>
  <c r="G1416" i="2"/>
  <c r="E1023" i="2"/>
  <c r="E1401" i="2"/>
  <c r="G1026" i="2"/>
  <c r="G1404" i="2"/>
  <c r="G1023" i="2"/>
  <c r="G1401" i="2"/>
  <c r="J1001" i="2"/>
  <c r="J1379" i="2"/>
  <c r="D1038" i="2"/>
  <c r="D1416" i="2"/>
  <c r="I1014" i="2"/>
  <c r="I1392" i="2"/>
  <c r="I1038" i="2"/>
  <c r="I1416" i="2"/>
  <c r="G988" i="2"/>
  <c r="G1366" i="2"/>
  <c r="E1028" i="2"/>
  <c r="E1406" i="2"/>
  <c r="F1018" i="2"/>
  <c r="F1396" i="2"/>
  <c r="F966" i="2"/>
  <c r="F1344" i="2"/>
  <c r="E1010" i="2"/>
  <c r="E1388" i="2"/>
  <c r="C932" i="2"/>
  <c r="C1310" i="2"/>
  <c r="C918" i="2"/>
  <c r="C1296" i="2"/>
  <c r="C931" i="2"/>
  <c r="C1309" i="2"/>
  <c r="C896" i="2"/>
  <c r="C1274" i="2"/>
  <c r="C945" i="2"/>
  <c r="C1323" i="2"/>
  <c r="C925" i="2"/>
  <c r="C1303" i="2"/>
  <c r="C881" i="2"/>
  <c r="C1259" i="2"/>
  <c r="C906" i="2"/>
  <c r="C1284" i="2"/>
  <c r="H1003" i="2"/>
  <c r="H1381" i="2"/>
  <c r="D1027" i="2"/>
  <c r="D1405" i="2"/>
  <c r="H1027" i="2"/>
  <c r="H1405" i="2"/>
  <c r="H1000" i="2"/>
  <c r="H1378" i="2"/>
  <c r="G1034" i="2"/>
  <c r="G1412" i="2"/>
  <c r="I976" i="2"/>
  <c r="I1354" i="2"/>
  <c r="C1042" i="2"/>
  <c r="C1420" i="2"/>
  <c r="I1004" i="2"/>
  <c r="I1382" i="2"/>
  <c r="G967" i="2"/>
  <c r="G1345" i="2"/>
  <c r="G1044" i="2"/>
  <c r="G1422" i="2"/>
  <c r="J967" i="2"/>
  <c r="J1345" i="2"/>
  <c r="D1037" i="2"/>
  <c r="D1415" i="2"/>
  <c r="G1005" i="2"/>
  <c r="G1383" i="2"/>
  <c r="H1029" i="2"/>
  <c r="H1407" i="2"/>
  <c r="H1032" i="2"/>
  <c r="H1410" i="2"/>
  <c r="F999" i="2"/>
  <c r="F1377" i="2"/>
  <c r="J1041" i="2"/>
  <c r="J1419" i="2"/>
  <c r="I998" i="2"/>
  <c r="I1376" i="2"/>
  <c r="J1023" i="2"/>
  <c r="J1401" i="2"/>
  <c r="E1013" i="2"/>
  <c r="E1391" i="2"/>
  <c r="F1014" i="2"/>
  <c r="F1392" i="2"/>
  <c r="E1004" i="2"/>
  <c r="E1382" i="2"/>
  <c r="E1007" i="2"/>
  <c r="E1385" i="2"/>
  <c r="G1012" i="2"/>
  <c r="G1390" i="2"/>
  <c r="D967" i="2"/>
  <c r="D1345" i="2"/>
  <c r="H1031" i="2"/>
  <c r="H1409" i="2"/>
  <c r="D1018" i="2"/>
  <c r="D1396" i="2"/>
  <c r="H966" i="2"/>
  <c r="H1344" i="2"/>
  <c r="D1030" i="2"/>
  <c r="D1408" i="2"/>
  <c r="F1031" i="2"/>
  <c r="F1409" i="2"/>
  <c r="E1030" i="2"/>
  <c r="E1408" i="2"/>
  <c r="D576" i="2"/>
  <c r="D943" i="2"/>
  <c r="G562" i="2"/>
  <c r="G929" i="2"/>
  <c r="G565" i="2"/>
  <c r="G932" i="2"/>
  <c r="I571" i="2"/>
  <c r="I938" i="2"/>
  <c r="J575" i="2"/>
  <c r="J942" i="2"/>
  <c r="E590" i="2"/>
  <c r="E957" i="2"/>
  <c r="F515" i="2"/>
  <c r="F882" i="2"/>
  <c r="I533" i="2"/>
  <c r="I900" i="2"/>
  <c r="H518" i="2"/>
  <c r="H885" i="2"/>
  <c r="G530" i="2"/>
  <c r="G897" i="2"/>
  <c r="I532" i="2"/>
  <c r="I899" i="2"/>
  <c r="H576" i="2"/>
  <c r="H943" i="2"/>
  <c r="F580" i="2"/>
  <c r="F947" i="2"/>
  <c r="I591" i="2"/>
  <c r="I958" i="2"/>
  <c r="J537" i="2"/>
  <c r="J904" i="2"/>
  <c r="I540" i="2"/>
  <c r="I907" i="2"/>
  <c r="E538" i="2"/>
  <c r="E905" i="2"/>
  <c r="E541" i="2"/>
  <c r="E908" i="2"/>
  <c r="I562" i="2"/>
  <c r="I929" i="2"/>
  <c r="J548" i="2"/>
  <c r="J915" i="2"/>
  <c r="D551" i="2"/>
  <c r="D918" i="2"/>
  <c r="G586" i="2"/>
  <c r="G953" i="2"/>
  <c r="I587" i="2"/>
  <c r="I954" i="2"/>
  <c r="J528" i="2"/>
  <c r="J895" i="2"/>
  <c r="H564" i="2"/>
  <c r="H931" i="2"/>
  <c r="D579" i="2"/>
  <c r="D946" i="2"/>
  <c r="E582" i="2"/>
  <c r="E949" i="2"/>
  <c r="J581" i="2"/>
  <c r="J948" i="2"/>
  <c r="J521" i="2"/>
  <c r="J888" i="2"/>
  <c r="D593" i="2"/>
  <c r="D960" i="2"/>
  <c r="E525" i="2"/>
  <c r="E892" i="2"/>
  <c r="H529" i="2"/>
  <c r="H896" i="2"/>
  <c r="D572" i="2"/>
  <c r="D939" i="2"/>
  <c r="D573" i="2"/>
  <c r="D940" i="2"/>
  <c r="E578" i="2"/>
  <c r="E945" i="2"/>
  <c r="I561" i="2"/>
  <c r="I928" i="2"/>
  <c r="D558" i="2"/>
  <c r="D925" i="2"/>
  <c r="G523" i="2"/>
  <c r="G890" i="2"/>
  <c r="H567" i="2"/>
  <c r="H934" i="2"/>
  <c r="E589" i="2"/>
  <c r="E956" i="2"/>
  <c r="F569" i="2"/>
  <c r="F936" i="2"/>
  <c r="D522" i="2"/>
  <c r="D889" i="2"/>
  <c r="F516" i="2"/>
  <c r="F883" i="2"/>
  <c r="I527" i="2"/>
  <c r="I894" i="2"/>
  <c r="D568" i="2"/>
  <c r="D935" i="2"/>
  <c r="F514" i="2"/>
  <c r="F881" i="2"/>
  <c r="D577" i="2"/>
  <c r="D944" i="2"/>
  <c r="D557" i="2"/>
  <c r="D924" i="2"/>
  <c r="F534" i="2"/>
  <c r="F901" i="2"/>
  <c r="H535" i="2"/>
  <c r="H902" i="2"/>
  <c r="H588" i="2"/>
  <c r="H955" i="2"/>
  <c r="D556" i="2"/>
  <c r="D923" i="2"/>
  <c r="G554" i="2"/>
  <c r="G921" i="2"/>
  <c r="H566" i="2"/>
  <c r="H933" i="2"/>
  <c r="H520" i="2"/>
  <c r="H887" i="2"/>
  <c r="I585" i="2"/>
  <c r="I952" i="2"/>
  <c r="J519" i="2"/>
  <c r="J886" i="2"/>
  <c r="J543" i="2"/>
  <c r="J910" i="2"/>
  <c r="I536" i="2"/>
  <c r="I903" i="2"/>
  <c r="J542" i="2"/>
  <c r="J909" i="2"/>
  <c r="H539" i="2"/>
  <c r="H906" i="2"/>
  <c r="H552" i="2"/>
  <c r="H919" i="2"/>
  <c r="H563" i="2"/>
  <c r="H930" i="2"/>
  <c r="G544" i="2"/>
  <c r="G911" i="2"/>
  <c r="I559" i="2"/>
  <c r="I926" i="2"/>
  <c r="H592" i="2"/>
  <c r="H959" i="2"/>
  <c r="H583" i="2"/>
  <c r="H950" i="2"/>
  <c r="D546" i="2"/>
  <c r="D913" i="2"/>
  <c r="D560" i="2"/>
  <c r="D927" i="2"/>
  <c r="H550" i="2"/>
  <c r="H917" i="2"/>
  <c r="C620" i="2"/>
  <c r="C987" i="2"/>
  <c r="E616" i="2"/>
  <c r="E983" i="2"/>
  <c r="E636" i="2"/>
  <c r="E1003" i="2"/>
  <c r="H639" i="2"/>
  <c r="H1006" i="2"/>
  <c r="I612" i="2"/>
  <c r="I979" i="2"/>
  <c r="F636" i="2"/>
  <c r="F1003" i="2"/>
  <c r="H602" i="2"/>
  <c r="H969" i="2"/>
  <c r="I608" i="2"/>
  <c r="I975" i="2"/>
  <c r="F675" i="2"/>
  <c r="F1042" i="2"/>
  <c r="I633" i="2"/>
  <c r="I1000" i="2"/>
  <c r="D616" i="2"/>
  <c r="D983" i="2"/>
  <c r="G617" i="2"/>
  <c r="G984" i="2"/>
  <c r="J628" i="2"/>
  <c r="J995" i="2"/>
  <c r="F677" i="2"/>
  <c r="F1044" i="2"/>
  <c r="D606" i="2"/>
  <c r="D973" i="2"/>
  <c r="J640" i="2"/>
  <c r="J1007" i="2"/>
  <c r="E669" i="2"/>
  <c r="E1036" i="2"/>
  <c r="D653" i="2"/>
  <c r="D1020" i="2"/>
  <c r="E617" i="2"/>
  <c r="E984" i="2"/>
  <c r="E676" i="2"/>
  <c r="E1043" i="2"/>
  <c r="C1011" i="2"/>
  <c r="G613" i="2"/>
  <c r="G980" i="2"/>
  <c r="H673" i="2"/>
  <c r="H1040" i="2"/>
  <c r="D625" i="2"/>
  <c r="D992" i="2"/>
  <c r="E625" i="2"/>
  <c r="E992" i="2"/>
  <c r="G625" i="2"/>
  <c r="G992" i="2"/>
  <c r="D610" i="2"/>
  <c r="D977" i="2"/>
  <c r="E615" i="2"/>
  <c r="E982" i="2"/>
  <c r="D604" i="2"/>
  <c r="D971" i="2"/>
  <c r="D615" i="2"/>
  <c r="D982" i="2"/>
  <c r="E642" i="2"/>
  <c r="E1009" i="2"/>
  <c r="C611" i="2"/>
  <c r="C978" i="2"/>
  <c r="F611" i="2"/>
  <c r="F978" i="2"/>
  <c r="E575" i="2"/>
  <c r="E942" i="2"/>
  <c r="E565" i="2"/>
  <c r="E932" i="2"/>
  <c r="F571" i="2"/>
  <c r="F938" i="2"/>
  <c r="D575" i="2"/>
  <c r="D942" i="2"/>
  <c r="E515" i="2"/>
  <c r="E882" i="2"/>
  <c r="D533" i="2"/>
  <c r="D900" i="2"/>
  <c r="J518" i="2"/>
  <c r="J885" i="2"/>
  <c r="H532" i="2"/>
  <c r="H899" i="2"/>
  <c r="E576" i="2"/>
  <c r="E943" i="2"/>
  <c r="D580" i="2"/>
  <c r="D947" i="2"/>
  <c r="H584" i="2"/>
  <c r="H951" i="2"/>
  <c r="F584" i="2"/>
  <c r="F951" i="2"/>
  <c r="G591" i="2"/>
  <c r="G958" i="2"/>
  <c r="D537" i="2"/>
  <c r="D904" i="2"/>
  <c r="D538" i="2"/>
  <c r="D905" i="2"/>
  <c r="D541" i="2"/>
  <c r="D908" i="2"/>
  <c r="J562" i="2"/>
  <c r="J929" i="2"/>
  <c r="D548" i="2"/>
  <c r="D915" i="2"/>
  <c r="G551" i="2"/>
  <c r="G918" i="2"/>
  <c r="F586" i="2"/>
  <c r="F953" i="2"/>
  <c r="D587" i="2"/>
  <c r="D954" i="2"/>
  <c r="I528" i="2"/>
  <c r="I895" i="2"/>
  <c r="F564" i="2"/>
  <c r="F931" i="2"/>
  <c r="E579" i="2"/>
  <c r="E946" i="2"/>
  <c r="I581" i="2"/>
  <c r="I948" i="2"/>
  <c r="H521" i="2"/>
  <c r="H888" i="2"/>
  <c r="I593" i="2"/>
  <c r="I960" i="2"/>
  <c r="I525" i="2"/>
  <c r="I892" i="2"/>
  <c r="F529" i="2"/>
  <c r="F896" i="2"/>
  <c r="J572" i="2"/>
  <c r="J939" i="2"/>
  <c r="J524" i="2"/>
  <c r="J891" i="2"/>
  <c r="F578" i="2"/>
  <c r="F945" i="2"/>
  <c r="J561" i="2"/>
  <c r="J928" i="2"/>
  <c r="J558" i="2"/>
  <c r="J925" i="2"/>
  <c r="I555" i="2"/>
  <c r="I922" i="2"/>
  <c r="E523" i="2"/>
  <c r="E890" i="2"/>
  <c r="I567" i="2"/>
  <c r="I934" i="2"/>
  <c r="I569" i="2"/>
  <c r="I936" i="2"/>
  <c r="H522" i="2"/>
  <c r="H889" i="2"/>
  <c r="I516" i="2"/>
  <c r="I883" i="2"/>
  <c r="D527" i="2"/>
  <c r="D894" i="2"/>
  <c r="I568" i="2"/>
  <c r="I935" i="2"/>
  <c r="J531" i="2"/>
  <c r="J898" i="2"/>
  <c r="G577" i="2"/>
  <c r="G944" i="2"/>
  <c r="E557" i="2"/>
  <c r="E924" i="2"/>
  <c r="I534" i="2"/>
  <c r="I901" i="2"/>
  <c r="G535" i="2"/>
  <c r="G902" i="2"/>
  <c r="H547" i="2"/>
  <c r="H914" i="2"/>
  <c r="I588" i="2"/>
  <c r="I955" i="2"/>
  <c r="E549" i="2"/>
  <c r="E916" i="2"/>
  <c r="F556" i="2"/>
  <c r="F923" i="2"/>
  <c r="I545" i="2"/>
  <c r="I912" i="2"/>
  <c r="F554" i="2"/>
  <c r="F921" i="2"/>
  <c r="F566" i="2"/>
  <c r="F933" i="2"/>
  <c r="G526" i="2"/>
  <c r="G893" i="2"/>
  <c r="H574" i="2"/>
  <c r="H941" i="2"/>
  <c r="E517" i="2"/>
  <c r="E884" i="2"/>
  <c r="I519" i="2"/>
  <c r="I886" i="2"/>
  <c r="I570" i="2"/>
  <c r="I937" i="2"/>
  <c r="G543" i="2"/>
  <c r="G910" i="2"/>
  <c r="H536" i="2"/>
  <c r="H903" i="2"/>
  <c r="G542" i="2"/>
  <c r="G909" i="2"/>
  <c r="F539" i="2"/>
  <c r="F906" i="2"/>
  <c r="F552" i="2"/>
  <c r="F919" i="2"/>
  <c r="D563" i="2"/>
  <c r="D930" i="2"/>
  <c r="I544" i="2"/>
  <c r="I911" i="2"/>
  <c r="F559" i="2"/>
  <c r="F926" i="2"/>
  <c r="J592" i="2"/>
  <c r="J959" i="2"/>
  <c r="F583" i="2"/>
  <c r="F950" i="2"/>
  <c r="J546" i="2"/>
  <c r="J913" i="2"/>
  <c r="G560" i="2"/>
  <c r="G927" i="2"/>
  <c r="I550" i="2"/>
  <c r="I917" i="2"/>
  <c r="I553" i="2"/>
  <c r="I920" i="2"/>
  <c r="D612" i="2"/>
  <c r="D979" i="2"/>
  <c r="J660" i="2"/>
  <c r="J1027" i="2"/>
  <c r="D620" i="2"/>
  <c r="D987" i="2"/>
  <c r="I639" i="2"/>
  <c r="I1006" i="2"/>
  <c r="E649" i="2"/>
  <c r="E1016" i="2"/>
  <c r="C613" i="2"/>
  <c r="C980" i="2"/>
  <c r="C655" i="2"/>
  <c r="C1022" i="2"/>
  <c r="G607" i="2"/>
  <c r="G974" i="2"/>
  <c r="D627" i="2"/>
  <c r="D994" i="2"/>
  <c r="I610" i="2"/>
  <c r="I977" i="2"/>
  <c r="F627" i="2"/>
  <c r="F994" i="2"/>
  <c r="C1005" i="2"/>
  <c r="I602" i="2"/>
  <c r="I969" i="2"/>
  <c r="C1037" i="2"/>
  <c r="E627" i="2"/>
  <c r="E994" i="2"/>
  <c r="J602" i="2"/>
  <c r="J969" i="2"/>
  <c r="E628" i="2"/>
  <c r="E995" i="2"/>
  <c r="H667" i="2"/>
  <c r="H1034" i="2"/>
  <c r="E606" i="2"/>
  <c r="E973" i="2"/>
  <c r="F618" i="2"/>
  <c r="F985" i="2"/>
  <c r="C622" i="2"/>
  <c r="C989" i="2"/>
  <c r="F605" i="2"/>
  <c r="F972" i="2"/>
  <c r="D603" i="2"/>
  <c r="D970" i="2"/>
  <c r="C646" i="2"/>
  <c r="C1013" i="2"/>
  <c r="G673" i="2"/>
  <c r="G1040" i="2"/>
  <c r="E613" i="2"/>
  <c r="E980" i="2"/>
  <c r="G623" i="2"/>
  <c r="G990" i="2"/>
  <c r="I604" i="2"/>
  <c r="I971" i="2"/>
  <c r="E622" i="2"/>
  <c r="E989" i="2"/>
  <c r="I622" i="2"/>
  <c r="I989" i="2"/>
  <c r="E635" i="2"/>
  <c r="E1002" i="2"/>
  <c r="I615" i="2"/>
  <c r="I982" i="2"/>
  <c r="C599" i="2"/>
  <c r="C966" i="2"/>
  <c r="C663" i="2"/>
  <c r="C1030" i="2"/>
  <c r="I672" i="2"/>
  <c r="I1039" i="2"/>
  <c r="F565" i="2"/>
  <c r="F932" i="2"/>
  <c r="H571" i="2"/>
  <c r="H938" i="2"/>
  <c r="G590" i="2"/>
  <c r="G957" i="2"/>
  <c r="J533" i="2"/>
  <c r="J900" i="2"/>
  <c r="G518" i="2"/>
  <c r="G885" i="2"/>
  <c r="F530" i="2"/>
  <c r="F897" i="2"/>
  <c r="E532" i="2"/>
  <c r="E899" i="2"/>
  <c r="H580" i="2"/>
  <c r="H947" i="2"/>
  <c r="E584" i="2"/>
  <c r="E951" i="2"/>
  <c r="E537" i="2"/>
  <c r="E904" i="2"/>
  <c r="D540" i="2"/>
  <c r="D907" i="2"/>
  <c r="J538" i="2"/>
  <c r="J905" i="2"/>
  <c r="J541" i="2"/>
  <c r="J908" i="2"/>
  <c r="F562" i="2"/>
  <c r="F929" i="2"/>
  <c r="I548" i="2"/>
  <c r="I915" i="2"/>
  <c r="I551" i="2"/>
  <c r="I918" i="2"/>
  <c r="D586" i="2"/>
  <c r="D953" i="2"/>
  <c r="E587" i="2"/>
  <c r="E954" i="2"/>
  <c r="F528" i="2"/>
  <c r="F895" i="2"/>
  <c r="J564" i="2"/>
  <c r="J931" i="2"/>
  <c r="H579" i="2"/>
  <c r="H946" i="2"/>
  <c r="F582" i="2"/>
  <c r="F949" i="2"/>
  <c r="E581" i="2"/>
  <c r="E948" i="2"/>
  <c r="D521" i="2"/>
  <c r="D888" i="2"/>
  <c r="E593" i="2"/>
  <c r="E960" i="2"/>
  <c r="G525" i="2"/>
  <c r="G892" i="2"/>
  <c r="G529" i="2"/>
  <c r="G896" i="2"/>
  <c r="I573" i="2"/>
  <c r="I940" i="2"/>
  <c r="I524" i="2"/>
  <c r="I891" i="2"/>
  <c r="J578" i="2"/>
  <c r="J945" i="2"/>
  <c r="G561" i="2"/>
  <c r="G928" i="2"/>
  <c r="E558" i="2"/>
  <c r="E925" i="2"/>
  <c r="J555" i="2"/>
  <c r="J922" i="2"/>
  <c r="G567" i="2"/>
  <c r="G934" i="2"/>
  <c r="F589" i="2"/>
  <c r="F956" i="2"/>
  <c r="J569" i="2"/>
  <c r="J936" i="2"/>
  <c r="G522" i="2"/>
  <c r="G889" i="2"/>
  <c r="G527" i="2"/>
  <c r="G894" i="2"/>
  <c r="H514" i="2"/>
  <c r="H881" i="2"/>
  <c r="H531" i="2"/>
  <c r="H898" i="2"/>
  <c r="H577" i="2"/>
  <c r="H944" i="2"/>
  <c r="G557" i="2"/>
  <c r="G924" i="2"/>
  <c r="E534" i="2"/>
  <c r="E901" i="2"/>
  <c r="E547" i="2"/>
  <c r="E914" i="2"/>
  <c r="G588" i="2"/>
  <c r="G955" i="2"/>
  <c r="G549" i="2"/>
  <c r="G916" i="2"/>
  <c r="G556" i="2"/>
  <c r="G923" i="2"/>
  <c r="E545" i="2"/>
  <c r="E912" i="2"/>
  <c r="G566" i="2"/>
  <c r="G933" i="2"/>
  <c r="I526" i="2"/>
  <c r="I893" i="2"/>
  <c r="I574" i="2"/>
  <c r="I941" i="2"/>
  <c r="F520" i="2"/>
  <c r="F887" i="2"/>
  <c r="J585" i="2"/>
  <c r="J952" i="2"/>
  <c r="G517" i="2"/>
  <c r="G884" i="2"/>
  <c r="F519" i="2"/>
  <c r="F886" i="2"/>
  <c r="F570" i="2"/>
  <c r="F937" i="2"/>
  <c r="E543" i="2"/>
  <c r="E910" i="2"/>
  <c r="E536" i="2"/>
  <c r="E903" i="2"/>
  <c r="H542" i="2"/>
  <c r="H909" i="2"/>
  <c r="G552" i="2"/>
  <c r="G919" i="2"/>
  <c r="I563" i="2"/>
  <c r="I930" i="2"/>
  <c r="H544" i="2"/>
  <c r="H911" i="2"/>
  <c r="H559" i="2"/>
  <c r="H926" i="2"/>
  <c r="F592" i="2"/>
  <c r="F959" i="2"/>
  <c r="E546" i="2"/>
  <c r="E913" i="2"/>
  <c r="H560" i="2"/>
  <c r="H927" i="2"/>
  <c r="D550" i="2"/>
  <c r="D917" i="2"/>
  <c r="E553" i="2"/>
  <c r="E920" i="2"/>
  <c r="D607" i="2"/>
  <c r="D974" i="2"/>
  <c r="J609" i="2"/>
  <c r="J976" i="2"/>
  <c r="G602" i="2"/>
  <c r="G969" i="2"/>
  <c r="F608" i="2"/>
  <c r="F975" i="2"/>
  <c r="E668" i="2"/>
  <c r="E1035" i="2"/>
  <c r="I675" i="2"/>
  <c r="I1042" i="2"/>
  <c r="D669" i="2"/>
  <c r="D1036" i="2"/>
  <c r="E601" i="2"/>
  <c r="E968" i="2"/>
  <c r="G608" i="2"/>
  <c r="G975" i="2"/>
  <c r="I627" i="2"/>
  <c r="I994" i="2"/>
  <c r="D628" i="2"/>
  <c r="D995" i="2"/>
  <c r="H603" i="2"/>
  <c r="H970" i="2"/>
  <c r="D622" i="2"/>
  <c r="D989" i="2"/>
  <c r="H605" i="2"/>
  <c r="H972" i="2"/>
  <c r="I603" i="2"/>
  <c r="I970" i="2"/>
  <c r="J618" i="2"/>
  <c r="J985" i="2"/>
  <c r="D618" i="2"/>
  <c r="D985" i="2"/>
  <c r="I618" i="2"/>
  <c r="I985" i="2"/>
  <c r="F631" i="2"/>
  <c r="F998" i="2"/>
  <c r="G634" i="2"/>
  <c r="G1001" i="2"/>
  <c r="C1019" i="2"/>
  <c r="G614" i="2"/>
  <c r="G981" i="2"/>
  <c r="I626" i="2"/>
  <c r="I993" i="2"/>
  <c r="F604" i="2"/>
  <c r="F971" i="2"/>
  <c r="H626" i="2"/>
  <c r="H993" i="2"/>
  <c r="F614" i="2"/>
  <c r="F981" i="2"/>
  <c r="J599" i="2"/>
  <c r="J966" i="2"/>
  <c r="H621" i="2"/>
  <c r="H988" i="2"/>
  <c r="G672" i="2"/>
  <c r="G1039" i="2"/>
  <c r="F575" i="2"/>
  <c r="F942" i="2"/>
  <c r="J565" i="2"/>
  <c r="J932" i="2"/>
  <c r="E571" i="2"/>
  <c r="E938" i="2"/>
  <c r="D590" i="2"/>
  <c r="D957" i="2"/>
  <c r="G515" i="2"/>
  <c r="G882" i="2"/>
  <c r="F533" i="2"/>
  <c r="F900" i="2"/>
  <c r="F518" i="2"/>
  <c r="F885" i="2"/>
  <c r="I530" i="2"/>
  <c r="I897" i="2"/>
  <c r="G576" i="2"/>
  <c r="G943" i="2"/>
  <c r="G584" i="2"/>
  <c r="G951" i="2"/>
  <c r="F591" i="2"/>
  <c r="F958" i="2"/>
  <c r="G540" i="2"/>
  <c r="G907" i="2"/>
  <c r="F541" i="2"/>
  <c r="F908" i="2"/>
  <c r="E562" i="2"/>
  <c r="E929" i="2"/>
  <c r="G548" i="2"/>
  <c r="G915" i="2"/>
  <c r="E551" i="2"/>
  <c r="E918" i="2"/>
  <c r="I586" i="2"/>
  <c r="I953" i="2"/>
  <c r="H587" i="2"/>
  <c r="H954" i="2"/>
  <c r="D528" i="2"/>
  <c r="D895" i="2"/>
  <c r="F579" i="2"/>
  <c r="F946" i="2"/>
  <c r="I582" i="2"/>
  <c r="I949" i="2"/>
  <c r="E521" i="2"/>
  <c r="E888" i="2"/>
  <c r="H593" i="2"/>
  <c r="H960" i="2"/>
  <c r="J525" i="2"/>
  <c r="J892" i="2"/>
  <c r="I529" i="2"/>
  <c r="I896" i="2"/>
  <c r="G572" i="2"/>
  <c r="G939" i="2"/>
  <c r="G573" i="2"/>
  <c r="G940" i="2"/>
  <c r="H524" i="2"/>
  <c r="H891" i="2"/>
  <c r="I578" i="2"/>
  <c r="I945" i="2"/>
  <c r="D561" i="2"/>
  <c r="D928" i="2"/>
  <c r="H558" i="2"/>
  <c r="H925" i="2"/>
  <c r="H555" i="2"/>
  <c r="H922" i="2"/>
  <c r="J523" i="2"/>
  <c r="J890" i="2"/>
  <c r="F567" i="2"/>
  <c r="F934" i="2"/>
  <c r="D589" i="2"/>
  <c r="D956" i="2"/>
  <c r="D569" i="2"/>
  <c r="D936" i="2"/>
  <c r="D516" i="2"/>
  <c r="D883" i="2"/>
  <c r="F568" i="2"/>
  <c r="F935" i="2"/>
  <c r="E514" i="2"/>
  <c r="E881" i="2"/>
  <c r="E531" i="2"/>
  <c r="E898" i="2"/>
  <c r="I557" i="2"/>
  <c r="I924" i="2"/>
  <c r="D534" i="2"/>
  <c r="D901" i="2"/>
  <c r="G534" i="2"/>
  <c r="G901" i="2"/>
  <c r="I535" i="2"/>
  <c r="I902" i="2"/>
  <c r="J547" i="2"/>
  <c r="J914" i="2"/>
  <c r="D588" i="2"/>
  <c r="D955" i="2"/>
  <c r="I549" i="2"/>
  <c r="I916" i="2"/>
  <c r="H556" i="2"/>
  <c r="H923" i="2"/>
  <c r="G545" i="2"/>
  <c r="G912" i="2"/>
  <c r="H554" i="2"/>
  <c r="H921" i="2"/>
  <c r="I566" i="2"/>
  <c r="I933" i="2"/>
  <c r="E526" i="2"/>
  <c r="E893" i="2"/>
  <c r="J520" i="2"/>
  <c r="J887" i="2"/>
  <c r="E585" i="2"/>
  <c r="E952" i="2"/>
  <c r="D517" i="2"/>
  <c r="D884" i="2"/>
  <c r="G519" i="2"/>
  <c r="G886" i="2"/>
  <c r="G570" i="2"/>
  <c r="G937" i="2"/>
  <c r="I543" i="2"/>
  <c r="I910" i="2"/>
  <c r="I542" i="2"/>
  <c r="I909" i="2"/>
  <c r="G539" i="2"/>
  <c r="G906" i="2"/>
  <c r="D552" i="2"/>
  <c r="D919" i="2"/>
  <c r="E563" i="2"/>
  <c r="E930" i="2"/>
  <c r="E559" i="2"/>
  <c r="E926" i="2"/>
  <c r="E592" i="2"/>
  <c r="E959" i="2"/>
  <c r="I583" i="2"/>
  <c r="I950" i="2"/>
  <c r="F553" i="2"/>
  <c r="F920" i="2"/>
  <c r="C607" i="2"/>
  <c r="C974" i="2"/>
  <c r="I616" i="2"/>
  <c r="I983" i="2"/>
  <c r="E607" i="2"/>
  <c r="E974" i="2"/>
  <c r="G641" i="2"/>
  <c r="G1008" i="2"/>
  <c r="G616" i="2"/>
  <c r="G983" i="2"/>
  <c r="I641" i="2"/>
  <c r="I1008" i="2"/>
  <c r="H616" i="2"/>
  <c r="H983" i="2"/>
  <c r="C612" i="2"/>
  <c r="C979" i="2"/>
  <c r="J619" i="2"/>
  <c r="J986" i="2"/>
  <c r="F613" i="2"/>
  <c r="F980" i="2"/>
  <c r="J613" i="2"/>
  <c r="J980" i="2"/>
  <c r="C602" i="2"/>
  <c r="C969" i="2"/>
  <c r="I668" i="2"/>
  <c r="I1035" i="2"/>
  <c r="D633" i="2"/>
  <c r="D1000" i="2"/>
  <c r="J677" i="2"/>
  <c r="J1044" i="2"/>
  <c r="C608" i="2"/>
  <c r="C975" i="2"/>
  <c r="F600" i="2"/>
  <c r="F967" i="2"/>
  <c r="C997" i="2"/>
  <c r="G622" i="2"/>
  <c r="G989" i="2"/>
  <c r="G653" i="2"/>
  <c r="G1020" i="2"/>
  <c r="J624" i="2"/>
  <c r="J991" i="2"/>
  <c r="I617" i="2"/>
  <c r="I984" i="2"/>
  <c r="C1036" i="2"/>
  <c r="H622" i="2"/>
  <c r="H989" i="2"/>
  <c r="H631" i="2"/>
  <c r="H998" i="2"/>
  <c r="E610" i="2"/>
  <c r="E977" i="2"/>
  <c r="G606" i="2"/>
  <c r="G973" i="2"/>
  <c r="D614" i="2"/>
  <c r="D981" i="2"/>
  <c r="G628" i="2"/>
  <c r="G995" i="2"/>
  <c r="F615" i="2"/>
  <c r="F982" i="2"/>
  <c r="E604" i="2"/>
  <c r="E971" i="2"/>
  <c r="C635" i="2"/>
  <c r="C1002" i="2"/>
  <c r="G615" i="2"/>
  <c r="G982" i="2"/>
  <c r="F635" i="2"/>
  <c r="F1002" i="2"/>
  <c r="E651" i="2"/>
  <c r="E1018" i="2"/>
  <c r="G643" i="2"/>
  <c r="G1010" i="2"/>
  <c r="F621" i="2"/>
  <c r="F988" i="2"/>
  <c r="H663" i="2"/>
  <c r="H1030" i="2"/>
  <c r="F672" i="2"/>
  <c r="F1039" i="2"/>
  <c r="I565" i="2"/>
  <c r="I932" i="2"/>
  <c r="H533" i="2"/>
  <c r="H900" i="2"/>
  <c r="J515" i="2"/>
  <c r="J882" i="2"/>
  <c r="H565" i="2"/>
  <c r="H932" i="2"/>
  <c r="J571" i="2"/>
  <c r="J938" i="2"/>
  <c r="I575" i="2"/>
  <c r="I942" i="2"/>
  <c r="J590" i="2"/>
  <c r="J957" i="2"/>
  <c r="I515" i="2"/>
  <c r="I882" i="2"/>
  <c r="G533" i="2"/>
  <c r="G900" i="2"/>
  <c r="E518" i="2"/>
  <c r="E885" i="2"/>
  <c r="E530" i="2"/>
  <c r="E897" i="2"/>
  <c r="D532" i="2"/>
  <c r="D899" i="2"/>
  <c r="F576" i="2"/>
  <c r="F943" i="2"/>
  <c r="I580" i="2"/>
  <c r="I947" i="2"/>
  <c r="J584" i="2"/>
  <c r="J951" i="2"/>
  <c r="D591" i="2"/>
  <c r="D958" i="2"/>
  <c r="G537" i="2"/>
  <c r="G904" i="2"/>
  <c r="H540" i="2"/>
  <c r="H907" i="2"/>
  <c r="H538" i="2"/>
  <c r="H905" i="2"/>
  <c r="H548" i="2"/>
  <c r="H915" i="2"/>
  <c r="J551" i="2"/>
  <c r="J918" i="2"/>
  <c r="F587" i="2"/>
  <c r="F954" i="2"/>
  <c r="G528" i="2"/>
  <c r="G895" i="2"/>
  <c r="I564" i="2"/>
  <c r="I931" i="2"/>
  <c r="G579" i="2"/>
  <c r="G946" i="2"/>
  <c r="D582" i="2"/>
  <c r="D949" i="2"/>
  <c r="H581" i="2"/>
  <c r="H948" i="2"/>
  <c r="I521" i="2"/>
  <c r="I888" i="2"/>
  <c r="F593" i="2"/>
  <c r="F960" i="2"/>
  <c r="J529" i="2"/>
  <c r="J896" i="2"/>
  <c r="E572" i="2"/>
  <c r="E939" i="2"/>
  <c r="F573" i="2"/>
  <c r="F940" i="2"/>
  <c r="G524" i="2"/>
  <c r="G891" i="2"/>
  <c r="H578" i="2"/>
  <c r="H945" i="2"/>
  <c r="E561" i="2"/>
  <c r="E928" i="2"/>
  <c r="G558" i="2"/>
  <c r="G925" i="2"/>
  <c r="E555" i="2"/>
  <c r="E922" i="2"/>
  <c r="I523" i="2"/>
  <c r="I890" i="2"/>
  <c r="E567" i="2"/>
  <c r="E934" i="2"/>
  <c r="J589" i="2"/>
  <c r="J956" i="2"/>
  <c r="H569" i="2"/>
  <c r="H936" i="2"/>
  <c r="F522" i="2"/>
  <c r="F889" i="2"/>
  <c r="H516" i="2"/>
  <c r="H883" i="2"/>
  <c r="H527" i="2"/>
  <c r="H894" i="2"/>
  <c r="H568" i="2"/>
  <c r="H935" i="2"/>
  <c r="J514" i="2"/>
  <c r="J881" i="2"/>
  <c r="I531" i="2"/>
  <c r="I898" i="2"/>
  <c r="J577" i="2"/>
  <c r="J944" i="2"/>
  <c r="H557" i="2"/>
  <c r="H924" i="2"/>
  <c r="J534" i="2"/>
  <c r="J901" i="2"/>
  <c r="F535" i="2"/>
  <c r="F902" i="2"/>
  <c r="F547" i="2"/>
  <c r="F914" i="2"/>
  <c r="D549" i="2"/>
  <c r="D916" i="2"/>
  <c r="E556" i="2"/>
  <c r="E923" i="2"/>
  <c r="D545" i="2"/>
  <c r="D912" i="2"/>
  <c r="E554" i="2"/>
  <c r="E921" i="2"/>
  <c r="I554" i="2"/>
  <c r="I921" i="2"/>
  <c r="J566" i="2"/>
  <c r="J933" i="2"/>
  <c r="J526" i="2"/>
  <c r="J893" i="2"/>
  <c r="G574" i="2"/>
  <c r="G941" i="2"/>
  <c r="F574" i="2"/>
  <c r="F941" i="2"/>
  <c r="E520" i="2"/>
  <c r="E887" i="2"/>
  <c r="G585" i="2"/>
  <c r="G952" i="2"/>
  <c r="F517" i="2"/>
  <c r="F884" i="2"/>
  <c r="H519" i="2"/>
  <c r="H886" i="2"/>
  <c r="D570" i="2"/>
  <c r="D937" i="2"/>
  <c r="F543" i="2"/>
  <c r="F910" i="2"/>
  <c r="J536" i="2"/>
  <c r="J903" i="2"/>
  <c r="D542" i="2"/>
  <c r="D909" i="2"/>
  <c r="D539" i="2"/>
  <c r="D906" i="2"/>
  <c r="E552" i="2"/>
  <c r="E919" i="2"/>
  <c r="J563" i="2"/>
  <c r="J930" i="2"/>
  <c r="J559" i="2"/>
  <c r="J926" i="2"/>
  <c r="I592" i="2"/>
  <c r="I959" i="2"/>
  <c r="D583" i="2"/>
  <c r="D950" i="2"/>
  <c r="I546" i="2"/>
  <c r="I913" i="2"/>
  <c r="J560" i="2"/>
  <c r="J927" i="2"/>
  <c r="G550" i="2"/>
  <c r="G917" i="2"/>
  <c r="D553" i="2"/>
  <c r="D920" i="2"/>
  <c r="D636" i="2"/>
  <c r="D1003" i="2"/>
  <c r="E641" i="2"/>
  <c r="E1008" i="2"/>
  <c r="E612" i="2"/>
  <c r="E979" i="2"/>
  <c r="G612" i="2"/>
  <c r="G979" i="2"/>
  <c r="F612" i="2"/>
  <c r="F979" i="2"/>
  <c r="I660" i="2"/>
  <c r="I1027" i="2"/>
  <c r="C1003" i="2"/>
  <c r="H613" i="2"/>
  <c r="H980" i="2"/>
  <c r="J608" i="2"/>
  <c r="J975" i="2"/>
  <c r="G637" i="2"/>
  <c r="G1004" i="2"/>
  <c r="F606" i="2"/>
  <c r="F973" i="2"/>
  <c r="H640" i="2"/>
  <c r="H1007" i="2"/>
  <c r="J650" i="2"/>
  <c r="J1017" i="2"/>
  <c r="E638" i="2"/>
  <c r="E1005" i="2"/>
  <c r="E602" i="2"/>
  <c r="E969" i="2"/>
  <c r="J670" i="2"/>
  <c r="J1037" i="2"/>
  <c r="I632" i="2"/>
  <c r="I999" i="2"/>
  <c r="H617" i="2"/>
  <c r="H984" i="2"/>
  <c r="F623" i="2"/>
  <c r="F990" i="2"/>
  <c r="G618" i="2"/>
  <c r="G985" i="2"/>
  <c r="C665" i="2"/>
  <c r="C1032" i="2"/>
  <c r="H623" i="2"/>
  <c r="H990" i="2"/>
  <c r="D624" i="2"/>
  <c r="D991" i="2"/>
  <c r="H606" i="2"/>
  <c r="H973" i="2"/>
  <c r="C1040" i="2"/>
  <c r="F625" i="2"/>
  <c r="F992" i="2"/>
  <c r="J623" i="2"/>
  <c r="J990" i="2"/>
  <c r="I634" i="2"/>
  <c r="I1001" i="2"/>
  <c r="G635" i="2"/>
  <c r="G1002" i="2"/>
  <c r="J605" i="2"/>
  <c r="J972" i="2"/>
  <c r="C614" i="2"/>
  <c r="C981" i="2"/>
  <c r="H614" i="2"/>
  <c r="H981" i="2"/>
  <c r="G604" i="2"/>
  <c r="G971" i="2"/>
  <c r="D626" i="2"/>
  <c r="D993" i="2"/>
  <c r="G642" i="2"/>
  <c r="G1009" i="2"/>
  <c r="C661" i="2"/>
  <c r="C1028" i="2"/>
  <c r="G648" i="2"/>
  <c r="G1015" i="2"/>
  <c r="I590" i="2"/>
  <c r="I957" i="2"/>
  <c r="D530" i="2"/>
  <c r="D897" i="2"/>
  <c r="J591" i="2"/>
  <c r="J958" i="2"/>
  <c r="F537" i="2"/>
  <c r="F904" i="2"/>
  <c r="F540" i="2"/>
  <c r="F907" i="2"/>
  <c r="F551" i="2"/>
  <c r="F918" i="2"/>
  <c r="H586" i="2"/>
  <c r="H953" i="2"/>
  <c r="H528" i="2"/>
  <c r="H895" i="2"/>
  <c r="D564" i="2"/>
  <c r="D931" i="2"/>
  <c r="J579" i="2"/>
  <c r="J946" i="2"/>
  <c r="G582" i="2"/>
  <c r="G949" i="2"/>
  <c r="D581" i="2"/>
  <c r="D948" i="2"/>
  <c r="F521" i="2"/>
  <c r="F888" i="2"/>
  <c r="J593" i="2"/>
  <c r="J960" i="2"/>
  <c r="F525" i="2"/>
  <c r="F892" i="2"/>
  <c r="F572" i="2"/>
  <c r="F939" i="2"/>
  <c r="H573" i="2"/>
  <c r="H940" i="2"/>
  <c r="F524" i="2"/>
  <c r="F891" i="2"/>
  <c r="H561" i="2"/>
  <c r="H928" i="2"/>
  <c r="F555" i="2"/>
  <c r="F922" i="2"/>
  <c r="H523" i="2"/>
  <c r="H890" i="2"/>
  <c r="J567" i="2"/>
  <c r="J934" i="2"/>
  <c r="H589" i="2"/>
  <c r="H956" i="2"/>
  <c r="J522" i="2"/>
  <c r="J889" i="2"/>
  <c r="E516" i="2"/>
  <c r="E883" i="2"/>
  <c r="J527" i="2"/>
  <c r="J894" i="2"/>
  <c r="E568" i="2"/>
  <c r="E935" i="2"/>
  <c r="I514" i="2"/>
  <c r="I881" i="2"/>
  <c r="F531" i="2"/>
  <c r="F898" i="2"/>
  <c r="I577" i="2"/>
  <c r="I944" i="2"/>
  <c r="H534" i="2"/>
  <c r="H901" i="2"/>
  <c r="D535" i="2"/>
  <c r="D902" i="2"/>
  <c r="I547" i="2"/>
  <c r="I914" i="2"/>
  <c r="F588" i="2"/>
  <c r="F955" i="2"/>
  <c r="J549" i="2"/>
  <c r="J916" i="2"/>
  <c r="H545" i="2"/>
  <c r="H912" i="2"/>
  <c r="D554" i="2"/>
  <c r="D921" i="2"/>
  <c r="F526" i="2"/>
  <c r="F893" i="2"/>
  <c r="E574" i="2"/>
  <c r="E941" i="2"/>
  <c r="G520" i="2"/>
  <c r="G887" i="2"/>
  <c r="D585" i="2"/>
  <c r="D952" i="2"/>
  <c r="H517" i="2"/>
  <c r="H884" i="2"/>
  <c r="E570" i="2"/>
  <c r="E937" i="2"/>
  <c r="G536" i="2"/>
  <c r="G903" i="2"/>
  <c r="E542" i="2"/>
  <c r="E909" i="2"/>
  <c r="E539" i="2"/>
  <c r="E906" i="2"/>
  <c r="I552" i="2"/>
  <c r="I919" i="2"/>
  <c r="D544" i="2"/>
  <c r="D911" i="2"/>
  <c r="G559" i="2"/>
  <c r="G926" i="2"/>
  <c r="D592" i="2"/>
  <c r="D959" i="2"/>
  <c r="J583" i="2"/>
  <c r="J950" i="2"/>
  <c r="H546" i="2"/>
  <c r="H913" i="2"/>
  <c r="F560" i="2"/>
  <c r="F927" i="2"/>
  <c r="F550" i="2"/>
  <c r="F917" i="2"/>
  <c r="G553" i="2"/>
  <c r="G920" i="2"/>
  <c r="E660" i="2"/>
  <c r="E1027" i="2"/>
  <c r="F620" i="2"/>
  <c r="F987" i="2"/>
  <c r="G620" i="2"/>
  <c r="G987" i="2"/>
  <c r="J627" i="2"/>
  <c r="J994" i="2"/>
  <c r="D668" i="2"/>
  <c r="D1035" i="2"/>
  <c r="C1035" i="2"/>
  <c r="I630" i="2"/>
  <c r="I997" i="2"/>
  <c r="I628" i="2"/>
  <c r="I995" i="2"/>
  <c r="I624" i="2"/>
  <c r="I991" i="2"/>
  <c r="F617" i="2"/>
  <c r="F984" i="2"/>
  <c r="D602" i="2"/>
  <c r="D969" i="2"/>
  <c r="C1044" i="2"/>
  <c r="C996" i="2"/>
  <c r="I623" i="2"/>
  <c r="I990" i="2"/>
  <c r="J622" i="2"/>
  <c r="J989" i="2"/>
  <c r="E605" i="2"/>
  <c r="E972" i="2"/>
  <c r="I665" i="2"/>
  <c r="I1032" i="2"/>
  <c r="I613" i="2"/>
  <c r="I980" i="2"/>
  <c r="J652" i="2"/>
  <c r="J1019" i="2"/>
  <c r="C604" i="2"/>
  <c r="C971" i="2"/>
  <c r="H657" i="2"/>
  <c r="H1024" i="2"/>
  <c r="C1014" i="2"/>
  <c r="I614" i="2"/>
  <c r="I981" i="2"/>
  <c r="J626" i="2"/>
  <c r="J993" i="2"/>
  <c r="H666" i="2"/>
  <c r="H1033" i="2"/>
  <c r="I674" i="2"/>
  <c r="I1041" i="2"/>
  <c r="D515" i="2"/>
  <c r="D882" i="2"/>
  <c r="J532" i="2"/>
  <c r="J899" i="2"/>
  <c r="F538" i="2"/>
  <c r="F905" i="2"/>
  <c r="D565" i="2"/>
  <c r="D932" i="2"/>
  <c r="H530" i="2"/>
  <c r="H897" i="2"/>
  <c r="F532" i="2"/>
  <c r="F899" i="2"/>
  <c r="I576" i="2"/>
  <c r="I943" i="2"/>
  <c r="E580" i="2"/>
  <c r="E947" i="2"/>
  <c r="I584" i="2"/>
  <c r="I951" i="2"/>
  <c r="H591" i="2"/>
  <c r="H958" i="2"/>
  <c r="H537" i="2"/>
  <c r="H904" i="2"/>
  <c r="E540" i="2"/>
  <c r="E907" i="2"/>
  <c r="G538" i="2"/>
  <c r="G905" i="2"/>
  <c r="G541" i="2"/>
  <c r="G908" i="2"/>
  <c r="D562" i="2"/>
  <c r="D929" i="2"/>
  <c r="F548" i="2"/>
  <c r="F915" i="2"/>
  <c r="H551" i="2"/>
  <c r="H918" i="2"/>
  <c r="E586" i="2"/>
  <c r="E953" i="2"/>
  <c r="G587" i="2"/>
  <c r="G954" i="2"/>
  <c r="E528" i="2"/>
  <c r="E895" i="2"/>
  <c r="E564" i="2"/>
  <c r="E931" i="2"/>
  <c r="J582" i="2"/>
  <c r="J949" i="2"/>
  <c r="F581" i="2"/>
  <c r="F948" i="2"/>
  <c r="G593" i="2"/>
  <c r="G960" i="2"/>
  <c r="H525" i="2"/>
  <c r="H892" i="2"/>
  <c r="E529" i="2"/>
  <c r="E896" i="2"/>
  <c r="H572" i="2"/>
  <c r="H939" i="2"/>
  <c r="J573" i="2"/>
  <c r="J940" i="2"/>
  <c r="E524" i="2"/>
  <c r="E891" i="2"/>
  <c r="D578" i="2"/>
  <c r="D945" i="2"/>
  <c r="F558" i="2"/>
  <c r="F925" i="2"/>
  <c r="D555" i="2"/>
  <c r="D922" i="2"/>
  <c r="F523" i="2"/>
  <c r="F890" i="2"/>
  <c r="I589" i="2"/>
  <c r="I956" i="2"/>
  <c r="G569" i="2"/>
  <c r="G936" i="2"/>
  <c r="E522" i="2"/>
  <c r="E889" i="2"/>
  <c r="J516" i="2"/>
  <c r="J883" i="2"/>
  <c r="F527" i="2"/>
  <c r="F894" i="2"/>
  <c r="J568" i="2"/>
  <c r="J935" i="2"/>
  <c r="G514" i="2"/>
  <c r="G881" i="2"/>
  <c r="G531" i="2"/>
  <c r="G898" i="2"/>
  <c r="E577" i="2"/>
  <c r="E944" i="2"/>
  <c r="F557" i="2"/>
  <c r="F924" i="2"/>
  <c r="J535" i="2"/>
  <c r="J902" i="2"/>
  <c r="D547" i="2"/>
  <c r="D914" i="2"/>
  <c r="E588" i="2"/>
  <c r="E955" i="2"/>
  <c r="H549" i="2"/>
  <c r="H916" i="2"/>
  <c r="I556" i="2"/>
  <c r="I923" i="2"/>
  <c r="J545" i="2"/>
  <c r="J912" i="2"/>
  <c r="E566" i="2"/>
  <c r="E933" i="2"/>
  <c r="D526" i="2"/>
  <c r="D893" i="2"/>
  <c r="D574" i="2"/>
  <c r="D941" i="2"/>
  <c r="I520" i="2"/>
  <c r="I887" i="2"/>
  <c r="H585" i="2"/>
  <c r="H952" i="2"/>
  <c r="J517" i="2"/>
  <c r="J884" i="2"/>
  <c r="E519" i="2"/>
  <c r="E886" i="2"/>
  <c r="J570" i="2"/>
  <c r="J937" i="2"/>
  <c r="H543" i="2"/>
  <c r="H910" i="2"/>
  <c r="F536" i="2"/>
  <c r="F903" i="2"/>
  <c r="F542" i="2"/>
  <c r="F909" i="2"/>
  <c r="J539" i="2"/>
  <c r="J906" i="2"/>
  <c r="F563" i="2"/>
  <c r="F930" i="2"/>
  <c r="F544" i="2"/>
  <c r="F911" i="2"/>
  <c r="D559" i="2"/>
  <c r="D926" i="2"/>
  <c r="G583" i="2"/>
  <c r="G950" i="2"/>
  <c r="F546" i="2"/>
  <c r="F913" i="2"/>
  <c r="E560" i="2"/>
  <c r="E927" i="2"/>
  <c r="E550" i="2"/>
  <c r="E917" i="2"/>
  <c r="H553" i="2"/>
  <c r="H920" i="2"/>
  <c r="D649" i="2"/>
  <c r="D1016" i="2"/>
  <c r="I649" i="2"/>
  <c r="I1016" i="2"/>
  <c r="F633" i="2"/>
  <c r="F1000" i="2"/>
  <c r="C654" i="2"/>
  <c r="C1021" i="2"/>
  <c r="H627" i="2"/>
  <c r="H994" i="2"/>
  <c r="G624" i="2"/>
  <c r="G991" i="2"/>
  <c r="F628" i="2"/>
  <c r="F995" i="2"/>
  <c r="C999" i="2"/>
  <c r="F603" i="2"/>
  <c r="F970" i="2"/>
  <c r="G605" i="2"/>
  <c r="G972" i="2"/>
  <c r="F624" i="2"/>
  <c r="F991" i="2"/>
  <c r="C1001" i="2"/>
  <c r="J673" i="2"/>
  <c r="J1040" i="2"/>
  <c r="D655" i="2"/>
  <c r="D1022" i="2"/>
  <c r="C645" i="2"/>
  <c r="C1012" i="2"/>
  <c r="E603" i="2"/>
  <c r="E970" i="2"/>
  <c r="J604" i="2"/>
  <c r="J971" i="2"/>
  <c r="E614" i="2"/>
  <c r="E981" i="2"/>
  <c r="C605" i="2"/>
  <c r="C972" i="2"/>
  <c r="F626" i="2"/>
  <c r="F993" i="2"/>
  <c r="G666" i="2"/>
  <c r="G1033" i="2"/>
  <c r="C1033" i="2"/>
  <c r="C988" i="2"/>
  <c r="I625" i="2"/>
  <c r="I992" i="2"/>
  <c r="F663" i="2"/>
  <c r="F1030" i="2"/>
  <c r="F643" i="2"/>
  <c r="F1010" i="2"/>
  <c r="J617" i="2"/>
  <c r="J984" i="2"/>
  <c r="J580" i="2"/>
  <c r="J947" i="2"/>
  <c r="I541" i="2"/>
  <c r="I908" i="2"/>
  <c r="D571" i="2"/>
  <c r="D938" i="2"/>
  <c r="G575" i="2"/>
  <c r="G942" i="2"/>
  <c r="H590" i="2"/>
  <c r="H957" i="2"/>
  <c r="D518" i="2"/>
  <c r="D885" i="2"/>
  <c r="G571" i="2"/>
  <c r="G938" i="2"/>
  <c r="H575" i="2"/>
  <c r="H942" i="2"/>
  <c r="F590" i="2"/>
  <c r="F957" i="2"/>
  <c r="H515" i="2"/>
  <c r="H882" i="2"/>
  <c r="E533" i="2"/>
  <c r="E900" i="2"/>
  <c r="I518" i="2"/>
  <c r="I885" i="2"/>
  <c r="J530" i="2"/>
  <c r="J897" i="2"/>
  <c r="G532" i="2"/>
  <c r="G899" i="2"/>
  <c r="J576" i="2"/>
  <c r="J943" i="2"/>
  <c r="G580" i="2"/>
  <c r="G947" i="2"/>
  <c r="D584" i="2"/>
  <c r="D951" i="2"/>
  <c r="E591" i="2"/>
  <c r="E958" i="2"/>
  <c r="I537" i="2"/>
  <c r="I904" i="2"/>
  <c r="J540" i="2"/>
  <c r="J907" i="2"/>
  <c r="I538" i="2"/>
  <c r="I905" i="2"/>
  <c r="H541" i="2"/>
  <c r="H908" i="2"/>
  <c r="H562" i="2"/>
  <c r="H929" i="2"/>
  <c r="E548" i="2"/>
  <c r="E915" i="2"/>
  <c r="J586" i="2"/>
  <c r="J953" i="2"/>
  <c r="J587" i="2"/>
  <c r="J954" i="2"/>
  <c r="G564" i="2"/>
  <c r="G931" i="2"/>
  <c r="I579" i="2"/>
  <c r="I946" i="2"/>
  <c r="H582" i="2"/>
  <c r="H949" i="2"/>
  <c r="G581" i="2"/>
  <c r="G948" i="2"/>
  <c r="G521" i="2"/>
  <c r="G888" i="2"/>
  <c r="D525" i="2"/>
  <c r="D892" i="2"/>
  <c r="D529" i="2"/>
  <c r="D896" i="2"/>
  <c r="I572" i="2"/>
  <c r="I939" i="2"/>
  <c r="E573" i="2"/>
  <c r="E940" i="2"/>
  <c r="D524" i="2"/>
  <c r="D891" i="2"/>
  <c r="G578" i="2"/>
  <c r="G945" i="2"/>
  <c r="F561" i="2"/>
  <c r="F928" i="2"/>
  <c r="I558" i="2"/>
  <c r="I925" i="2"/>
  <c r="G555" i="2"/>
  <c r="G922" i="2"/>
  <c r="D523" i="2"/>
  <c r="D890" i="2"/>
  <c r="D567" i="2"/>
  <c r="D934" i="2"/>
  <c r="G589" i="2"/>
  <c r="G956" i="2"/>
  <c r="E569" i="2"/>
  <c r="E936" i="2"/>
  <c r="I522" i="2"/>
  <c r="I889" i="2"/>
  <c r="G516" i="2"/>
  <c r="G883" i="2"/>
  <c r="E527" i="2"/>
  <c r="E894" i="2"/>
  <c r="G568" i="2"/>
  <c r="G935" i="2"/>
  <c r="D514" i="2"/>
  <c r="D881" i="2"/>
  <c r="D531" i="2"/>
  <c r="D898" i="2"/>
  <c r="F577" i="2"/>
  <c r="F944" i="2"/>
  <c r="J557" i="2"/>
  <c r="J924" i="2"/>
  <c r="E535" i="2"/>
  <c r="E902" i="2"/>
  <c r="G547" i="2"/>
  <c r="G914" i="2"/>
  <c r="J588" i="2"/>
  <c r="J955" i="2"/>
  <c r="F549" i="2"/>
  <c r="F916" i="2"/>
  <c r="J556" i="2"/>
  <c r="J923" i="2"/>
  <c r="F545" i="2"/>
  <c r="F912" i="2"/>
  <c r="J554" i="2"/>
  <c r="J921" i="2"/>
  <c r="D566" i="2"/>
  <c r="D933" i="2"/>
  <c r="H526" i="2"/>
  <c r="H893" i="2"/>
  <c r="J574" i="2"/>
  <c r="J941" i="2"/>
  <c r="D520" i="2"/>
  <c r="D887" i="2"/>
  <c r="F585" i="2"/>
  <c r="F952" i="2"/>
  <c r="I517" i="2"/>
  <c r="I884" i="2"/>
  <c r="D519" i="2"/>
  <c r="D886" i="2"/>
  <c r="H570" i="2"/>
  <c r="H937" i="2"/>
  <c r="D543" i="2"/>
  <c r="D910" i="2"/>
  <c r="D536" i="2"/>
  <c r="D903" i="2"/>
  <c r="I539" i="2"/>
  <c r="I906" i="2"/>
  <c r="J552" i="2"/>
  <c r="J919" i="2"/>
  <c r="G563" i="2"/>
  <c r="G930" i="2"/>
  <c r="J544" i="2"/>
  <c r="J911" i="2"/>
  <c r="E544" i="2"/>
  <c r="E911" i="2"/>
  <c r="G592" i="2"/>
  <c r="G959" i="2"/>
  <c r="E583" i="2"/>
  <c r="E950" i="2"/>
  <c r="G546" i="2"/>
  <c r="G913" i="2"/>
  <c r="I560" i="2"/>
  <c r="I927" i="2"/>
  <c r="J550" i="2"/>
  <c r="J917" i="2"/>
  <c r="J553" i="2"/>
  <c r="J920" i="2"/>
  <c r="J612" i="2"/>
  <c r="J979" i="2"/>
  <c r="J607" i="2"/>
  <c r="J974" i="2"/>
  <c r="J616" i="2"/>
  <c r="J983" i="2"/>
  <c r="F607" i="2"/>
  <c r="F974" i="2"/>
  <c r="H607" i="2"/>
  <c r="H974" i="2"/>
  <c r="J649" i="2"/>
  <c r="J1016" i="2"/>
  <c r="G627" i="2"/>
  <c r="G994" i="2"/>
  <c r="E675" i="2"/>
  <c r="E1042" i="2"/>
  <c r="C1004" i="2"/>
  <c r="I670" i="2"/>
  <c r="I1037" i="2"/>
  <c r="H630" i="2"/>
  <c r="H997" i="2"/>
  <c r="J606" i="2"/>
  <c r="J973" i="2"/>
  <c r="C1017" i="2"/>
  <c r="E608" i="2"/>
  <c r="E975" i="2"/>
  <c r="H624" i="2"/>
  <c r="H991" i="2"/>
  <c r="D605" i="2"/>
  <c r="D972" i="2"/>
  <c r="C603" i="2"/>
  <c r="C970" i="2"/>
  <c r="E618" i="2"/>
  <c r="E985" i="2"/>
  <c r="C662" i="2"/>
  <c r="C1029" i="2"/>
  <c r="D623" i="2"/>
  <c r="D990" i="2"/>
  <c r="D629" i="2"/>
  <c r="D996" i="2"/>
  <c r="I673" i="2"/>
  <c r="I1040" i="2"/>
  <c r="C606" i="2"/>
  <c r="C973" i="2"/>
  <c r="H608" i="2"/>
  <c r="H975" i="2"/>
  <c r="F634" i="2"/>
  <c r="F1001" i="2"/>
  <c r="G603" i="2"/>
  <c r="G970" i="2"/>
  <c r="J615" i="2"/>
  <c r="J982" i="2"/>
  <c r="C615" i="2"/>
  <c r="C982" i="2"/>
  <c r="E626" i="2"/>
  <c r="E993" i="2"/>
  <c r="I642" i="2"/>
  <c r="I1009" i="2"/>
  <c r="C1018" i="2"/>
  <c r="D642" i="2"/>
  <c r="D1009" i="2"/>
  <c r="J661" i="2"/>
  <c r="J1028" i="2"/>
  <c r="H625" i="2"/>
  <c r="H992" i="2"/>
  <c r="I621" i="2"/>
  <c r="I988" i="2"/>
  <c r="D611" i="2"/>
  <c r="D978" i="2"/>
  <c r="C648" i="2"/>
  <c r="C1015" i="2"/>
  <c r="J672" i="2"/>
  <c r="J1039" i="2"/>
  <c r="D639" i="2"/>
  <c r="F649" i="2"/>
  <c r="G619" i="2"/>
  <c r="H609" i="2"/>
  <c r="F668" i="2"/>
  <c r="G675" i="2"/>
  <c r="F610" i="2"/>
  <c r="E667" i="2"/>
  <c r="J641" i="2"/>
  <c r="G633" i="2"/>
  <c r="J633" i="2"/>
  <c r="H678" i="2"/>
  <c r="F657" i="2"/>
  <c r="D654" i="2"/>
  <c r="E657" i="2"/>
  <c r="H650" i="2"/>
  <c r="J669" i="2"/>
  <c r="F601" i="2"/>
  <c r="D638" i="2"/>
  <c r="J678" i="2"/>
  <c r="G644" i="2"/>
  <c r="I653" i="2"/>
  <c r="F662" i="2"/>
  <c r="E662" i="2"/>
  <c r="G629" i="2"/>
  <c r="I659" i="2"/>
  <c r="E659" i="2"/>
  <c r="H655" i="2"/>
  <c r="F652" i="2"/>
  <c r="J647" i="2"/>
  <c r="F676" i="2"/>
  <c r="D673" i="2"/>
  <c r="D599" i="2"/>
  <c r="J651" i="2"/>
  <c r="J611" i="2"/>
  <c r="H661" i="2"/>
  <c r="J642" i="2"/>
  <c r="F646" i="2"/>
  <c r="F641" i="2"/>
  <c r="D609" i="2"/>
  <c r="D641" i="2"/>
  <c r="J659" i="2"/>
  <c r="G610" i="2"/>
  <c r="G655" i="2"/>
  <c r="F619" i="2"/>
  <c r="F659" i="2"/>
  <c r="H653" i="2"/>
  <c r="H600" i="2"/>
  <c r="I640" i="2"/>
  <c r="D637" i="2"/>
  <c r="E654" i="2"/>
  <c r="J657" i="2"/>
  <c r="G654" i="2"/>
  <c r="I657" i="2"/>
  <c r="G665" i="2"/>
  <c r="H676" i="2"/>
  <c r="I601" i="2"/>
  <c r="D631" i="2"/>
  <c r="G631" i="2"/>
  <c r="E631" i="2"/>
  <c r="H656" i="2"/>
  <c r="H634" i="2"/>
  <c r="G657" i="2"/>
  <c r="D665" i="2"/>
  <c r="H635" i="2"/>
  <c r="J666" i="2"/>
  <c r="I666" i="2"/>
  <c r="E664" i="2"/>
  <c r="J643" i="2"/>
  <c r="I636" i="2"/>
  <c r="E609" i="2"/>
  <c r="J668" i="2"/>
  <c r="I620" i="2"/>
  <c r="H668" i="2"/>
  <c r="I638" i="2"/>
  <c r="I677" i="2"/>
  <c r="E632" i="2"/>
  <c r="D667" i="2"/>
  <c r="F637" i="2"/>
  <c r="H638" i="2"/>
  <c r="E677" i="2"/>
  <c r="F669" i="2"/>
  <c r="F629" i="2"/>
  <c r="E665" i="2"/>
  <c r="E674" i="2"/>
  <c r="H629" i="2"/>
  <c r="I645" i="2"/>
  <c r="G646" i="2"/>
  <c r="H645" i="2"/>
  <c r="E634" i="2"/>
  <c r="H654" i="2"/>
  <c r="D662" i="2"/>
  <c r="H647" i="2"/>
  <c r="H632" i="2"/>
  <c r="D652" i="2"/>
  <c r="E666" i="2"/>
  <c r="H642" i="2"/>
  <c r="H651" i="2"/>
  <c r="I643" i="2"/>
  <c r="D643" i="2"/>
  <c r="G663" i="2"/>
  <c r="I663" i="2"/>
  <c r="E648" i="2"/>
  <c r="D672" i="2"/>
  <c r="G660" i="2"/>
  <c r="F639" i="2"/>
  <c r="J639" i="2"/>
  <c r="D659" i="2"/>
  <c r="I655" i="2"/>
  <c r="G670" i="2"/>
  <c r="J654" i="2"/>
  <c r="E678" i="2"/>
  <c r="F630" i="2"/>
  <c r="I644" i="2"/>
  <c r="D632" i="2"/>
  <c r="F644" i="2"/>
  <c r="H669" i="2"/>
  <c r="J631" i="2"/>
  <c r="E629" i="2"/>
  <c r="I650" i="2"/>
  <c r="D674" i="2"/>
  <c r="I600" i="2"/>
  <c r="D647" i="2"/>
  <c r="F665" i="2"/>
  <c r="H671" i="2"/>
  <c r="I635" i="2"/>
  <c r="E652" i="2"/>
  <c r="H646" i="2"/>
  <c r="E599" i="2"/>
  <c r="I646" i="2"/>
  <c r="H648" i="2"/>
  <c r="F661" i="2"/>
  <c r="F648" i="2"/>
  <c r="H649" i="2"/>
  <c r="J620" i="2"/>
  <c r="G649" i="2"/>
  <c r="G609" i="2"/>
  <c r="E619" i="2"/>
  <c r="D619" i="2"/>
  <c r="I667" i="2"/>
  <c r="J675" i="2"/>
  <c r="G630" i="2"/>
  <c r="J630" i="2"/>
  <c r="H675" i="2"/>
  <c r="F653" i="2"/>
  <c r="F640" i="2"/>
  <c r="F678" i="2"/>
  <c r="H677" i="2"/>
  <c r="E670" i="2"/>
  <c r="G678" i="2"/>
  <c r="I662" i="2"/>
  <c r="J676" i="2"/>
  <c r="G674" i="2"/>
  <c r="E673" i="2"/>
  <c r="G652" i="2"/>
  <c r="J644" i="2"/>
  <c r="F645" i="2"/>
  <c r="D645" i="2"/>
  <c r="D676" i="2"/>
  <c r="D656" i="2"/>
  <c r="G647" i="2"/>
  <c r="D666" i="2"/>
  <c r="D621" i="2"/>
  <c r="I661" i="2"/>
  <c r="H611" i="2"/>
  <c r="D648" i="2"/>
  <c r="D661" i="2"/>
  <c r="E671" i="2"/>
  <c r="D664" i="2"/>
  <c r="J648" i="2"/>
  <c r="F655" i="2"/>
  <c r="F667" i="2"/>
  <c r="F654" i="2"/>
  <c r="G632" i="2"/>
  <c r="E653" i="2"/>
  <c r="D640" i="2"/>
  <c r="G650" i="2"/>
  <c r="D650" i="2"/>
  <c r="I676" i="2"/>
  <c r="F674" i="2"/>
  <c r="G671" i="2"/>
  <c r="E656" i="2"/>
  <c r="G659" i="2"/>
  <c r="G656" i="2"/>
  <c r="J634" i="2"/>
  <c r="D671" i="2"/>
  <c r="I647" i="2"/>
  <c r="I671" i="2"/>
  <c r="G621" i="2"/>
  <c r="E661" i="2"/>
  <c r="F651" i="2"/>
  <c r="F599" i="2"/>
  <c r="E643" i="2"/>
  <c r="H636" i="2"/>
  <c r="D660" i="2"/>
  <c r="H660" i="2"/>
  <c r="H633" i="2"/>
  <c r="G667" i="2"/>
  <c r="I609" i="2"/>
  <c r="I637" i="2"/>
  <c r="G600" i="2"/>
  <c r="G677" i="2"/>
  <c r="J600" i="2"/>
  <c r="D670" i="2"/>
  <c r="G638" i="2"/>
  <c r="H662" i="2"/>
  <c r="H665" i="2"/>
  <c r="F632" i="2"/>
  <c r="J674" i="2"/>
  <c r="I631" i="2"/>
  <c r="J656" i="2"/>
  <c r="E646" i="2"/>
  <c r="F647" i="2"/>
  <c r="E637" i="2"/>
  <c r="E640" i="2"/>
  <c r="G645" i="2"/>
  <c r="D600" i="2"/>
  <c r="H664" i="2"/>
  <c r="D651" i="2"/>
  <c r="H599" i="2"/>
  <c r="D663" i="2"/>
  <c r="F664" i="2"/>
  <c r="E663" i="2"/>
  <c r="E639" i="2"/>
  <c r="E620" i="2"/>
  <c r="H610" i="2"/>
  <c r="H619" i="2"/>
  <c r="G636" i="2"/>
  <c r="J655" i="2"/>
  <c r="F638" i="2"/>
  <c r="J667" i="2"/>
  <c r="H637" i="2"/>
  <c r="G669" i="2"/>
  <c r="D601" i="2"/>
  <c r="H670" i="2"/>
  <c r="E650" i="2"/>
  <c r="D630" i="2"/>
  <c r="G601" i="2"/>
  <c r="H644" i="2"/>
  <c r="J601" i="2"/>
  <c r="J629" i="2"/>
  <c r="H674" i="2"/>
  <c r="I678" i="2"/>
  <c r="J646" i="2"/>
  <c r="E645" i="2"/>
  <c r="I652" i="2"/>
  <c r="J671" i="2"/>
  <c r="G662" i="2"/>
  <c r="F656" i="2"/>
  <c r="E644" i="2"/>
  <c r="J635" i="2"/>
  <c r="G599" i="2"/>
  <c r="I651" i="2"/>
  <c r="G611" i="2"/>
  <c r="I611" i="2"/>
  <c r="G664" i="2"/>
  <c r="J621" i="2"/>
  <c r="J664" i="2"/>
  <c r="P88" i="15"/>
  <c r="K1417" i="2"/>
  <c r="J1461" i="2" s="1"/>
  <c r="J1460" i="2" s="1"/>
  <c r="BH51" i="3"/>
  <c r="BH58" i="3" s="1"/>
  <c r="O58" i="3"/>
  <c r="AX57" i="14"/>
  <c r="B61" i="15"/>
  <c r="C616" i="2"/>
  <c r="C618" i="2"/>
  <c r="C617" i="2"/>
  <c r="C623" i="2"/>
  <c r="C625" i="2"/>
  <c r="C624" i="2"/>
  <c r="C628" i="2"/>
  <c r="C626" i="2"/>
  <c r="L64" i="15"/>
  <c r="L213" i="15" s="1"/>
  <c r="G52" i="15"/>
  <c r="B60" i="15"/>
  <c r="P124" i="15"/>
  <c r="B59" i="15"/>
  <c r="B62" i="15"/>
  <c r="O70" i="15"/>
  <c r="O90" i="15"/>
  <c r="O84" i="15"/>
  <c r="F47" i="17"/>
  <c r="AO51" i="17"/>
  <c r="AX47" i="16"/>
  <c r="AW65" i="16"/>
  <c r="O76" i="15"/>
  <c r="AE51" i="16"/>
  <c r="BF47" i="16"/>
  <c r="BE65" i="16"/>
  <c r="F47" i="16"/>
  <c r="AO51" i="16"/>
  <c r="AX47" i="17"/>
  <c r="AW65" i="17"/>
  <c r="O150" i="15"/>
  <c r="P89" i="15"/>
  <c r="P82" i="15"/>
  <c r="Q23" i="15"/>
  <c r="Q87" i="15" s="1"/>
  <c r="P67" i="15"/>
  <c r="P74" i="15"/>
  <c r="P81" i="15"/>
  <c r="P73" i="15"/>
  <c r="P69" i="15"/>
  <c r="P68" i="15"/>
  <c r="P83" i="15"/>
  <c r="P75" i="15"/>
  <c r="P80" i="15"/>
  <c r="BF47" i="17"/>
  <c r="BE65" i="17"/>
  <c r="N53" i="17"/>
  <c r="M60" i="17"/>
  <c r="BF53" i="16"/>
  <c r="BE60" i="16"/>
  <c r="BE59" i="16"/>
  <c r="AX53" i="17"/>
  <c r="AW60" i="17"/>
  <c r="AW59" i="17"/>
  <c r="AX53" i="16"/>
  <c r="AW60" i="16"/>
  <c r="AW59" i="16"/>
  <c r="V53" i="16"/>
  <c r="U60" i="16"/>
  <c r="BF53" i="17"/>
  <c r="BE59" i="17"/>
  <c r="BE60" i="17"/>
  <c r="F53" i="16"/>
  <c r="AO48" i="16"/>
  <c r="E60" i="16"/>
  <c r="AF47" i="16" s="1"/>
  <c r="AF46" i="16"/>
  <c r="N53" i="16"/>
  <c r="M60" i="16"/>
  <c r="F53" i="17"/>
  <c r="AO48" i="17"/>
  <c r="AF46" i="17"/>
  <c r="E60" i="17"/>
  <c r="AF47" i="17" s="1"/>
  <c r="V53" i="17"/>
  <c r="U60" i="17"/>
  <c r="BF23" i="17"/>
  <c r="BF30" i="17" s="1"/>
  <c r="BF24" i="17"/>
  <c r="BF23" i="16"/>
  <c r="BF30" i="16" s="1"/>
  <c r="BF24" i="16"/>
  <c r="AX8" i="17"/>
  <c r="AW9" i="17"/>
  <c r="BG9" i="16"/>
  <c r="BH8" i="16"/>
  <c r="AX8" i="16"/>
  <c r="AW9" i="16"/>
  <c r="AV23" i="17"/>
  <c r="AV30" i="17" s="1"/>
  <c r="AV24" i="17"/>
  <c r="AV23" i="16"/>
  <c r="AV30" i="16" s="1"/>
  <c r="AV24" i="16"/>
  <c r="BH8" i="17"/>
  <c r="BG9" i="17"/>
  <c r="D21" i="15"/>
  <c r="C11" i="17"/>
  <c r="AD8" i="17"/>
  <c r="C11" i="16"/>
  <c r="AD8" i="16"/>
  <c r="E21" i="15"/>
  <c r="D11" i="17"/>
  <c r="AE8" i="17"/>
  <c r="D11" i="16"/>
  <c r="AE8" i="16"/>
  <c r="O21" i="15"/>
  <c r="D46" i="17"/>
  <c r="AE43" i="17"/>
  <c r="AE43" i="16"/>
  <c r="D46" i="16"/>
  <c r="N21" i="15"/>
  <c r="AD43" i="17"/>
  <c r="C46" i="17"/>
  <c r="AD43" i="16"/>
  <c r="C46" i="16"/>
  <c r="AC43" i="17"/>
  <c r="B46" i="17"/>
  <c r="B46" i="16"/>
  <c r="AC43" i="16"/>
  <c r="B52" i="14"/>
  <c r="AU52" i="14" s="1"/>
  <c r="AV52" i="14" s="1"/>
  <c r="B54" i="17"/>
  <c r="B54" i="16"/>
  <c r="B11" i="17"/>
  <c r="AC8" i="17"/>
  <c r="B11" i="16"/>
  <c r="AC8" i="16"/>
  <c r="BF46" i="3"/>
  <c r="BE43" i="3"/>
  <c r="BD57" i="3"/>
  <c r="BD56" i="3"/>
  <c r="BD63" i="3" s="1"/>
  <c r="F46" i="3"/>
  <c r="AO49" i="3"/>
  <c r="BB28" i="14"/>
  <c r="AS15" i="14"/>
  <c r="I95" i="15"/>
  <c r="J112" i="15"/>
  <c r="J95" i="15" s="1"/>
  <c r="I105" i="15"/>
  <c r="I176" i="15"/>
  <c r="J172" i="15"/>
  <c r="I177" i="15"/>
  <c r="I106" i="15"/>
  <c r="I107" i="15"/>
  <c r="I175" i="15"/>
  <c r="S177" i="15"/>
  <c r="T172" i="15"/>
  <c r="S175" i="15"/>
  <c r="S107" i="15"/>
  <c r="S176" i="15"/>
  <c r="S105" i="15"/>
  <c r="S106" i="15"/>
  <c r="J235" i="15"/>
  <c r="J261" i="15" s="1"/>
  <c r="I261" i="15"/>
  <c r="Q43" i="15"/>
  <c r="P78" i="15"/>
  <c r="T235" i="15"/>
  <c r="T261" i="15" s="1"/>
  <c r="S261" i="15"/>
  <c r="C21" i="15"/>
  <c r="AC8" i="3"/>
  <c r="AC9" i="3" s="1"/>
  <c r="B4" i="13" s="1"/>
  <c r="M21" i="15"/>
  <c r="AC42" i="14"/>
  <c r="B52" i="3"/>
  <c r="C642" i="2"/>
  <c r="C643" i="2"/>
  <c r="C651" i="2"/>
  <c r="C621" i="2"/>
  <c r="G84" i="15"/>
  <c r="C664" i="2"/>
  <c r="C666" i="2"/>
  <c r="C610" i="2"/>
  <c r="AV22" i="14"/>
  <c r="AV29" i="14" s="1"/>
  <c r="AV23" i="14"/>
  <c r="AX8" i="14"/>
  <c r="AW9" i="14"/>
  <c r="AX8" i="3"/>
  <c r="AW9" i="3"/>
  <c r="AV22" i="3"/>
  <c r="AV29" i="3" s="1"/>
  <c r="AV23" i="3"/>
  <c r="G150" i="15"/>
  <c r="C656" i="2"/>
  <c r="C647" i="2"/>
  <c r="C653" i="2"/>
  <c r="C673" i="2"/>
  <c r="C634" i="2"/>
  <c r="C671" i="2"/>
  <c r="C652" i="2"/>
  <c r="C601" i="2"/>
  <c r="J413" i="2"/>
  <c r="H424" i="2"/>
  <c r="C637" i="2"/>
  <c r="C632" i="2"/>
  <c r="C677" i="2"/>
  <c r="J457" i="2"/>
  <c r="F468" i="2"/>
  <c r="E446" i="2"/>
  <c r="C669" i="2"/>
  <c r="C676" i="2"/>
  <c r="C629" i="2"/>
  <c r="C619" i="2"/>
  <c r="F479" i="2"/>
  <c r="D424" i="2"/>
  <c r="C678" i="2"/>
  <c r="E479" i="2"/>
  <c r="D446" i="2"/>
  <c r="C644" i="2"/>
  <c r="F424" i="2"/>
  <c r="G424" i="2"/>
  <c r="G435" i="2"/>
  <c r="J435" i="2"/>
  <c r="E402" i="2"/>
  <c r="H413" i="2"/>
  <c r="H435" i="2"/>
  <c r="G468" i="2"/>
  <c r="C650" i="2"/>
  <c r="E435" i="2"/>
  <c r="H446" i="2"/>
  <c r="F435" i="2"/>
  <c r="C675" i="2"/>
  <c r="C435" i="2"/>
  <c r="C660" i="2"/>
  <c r="H479" i="2"/>
  <c r="C668" i="2"/>
  <c r="D457" i="2"/>
  <c r="D435" i="2"/>
  <c r="E468" i="2"/>
  <c r="D479" i="2"/>
  <c r="I402" i="2"/>
  <c r="I424" i="2"/>
  <c r="G402" i="2"/>
  <c r="G479" i="2"/>
  <c r="C640" i="2"/>
  <c r="F413" i="2"/>
  <c r="C424" i="2"/>
  <c r="C479" i="2"/>
  <c r="H457" i="2"/>
  <c r="J468" i="2"/>
  <c r="D413" i="2"/>
  <c r="D402" i="2"/>
  <c r="C600" i="2"/>
  <c r="H402" i="2"/>
  <c r="E413" i="2"/>
  <c r="C638" i="2"/>
  <c r="I479" i="2"/>
  <c r="C633" i="2"/>
  <c r="C670" i="2"/>
  <c r="C630" i="2"/>
  <c r="C657" i="2"/>
  <c r="J424" i="2"/>
  <c r="I435" i="2"/>
  <c r="I468" i="2"/>
  <c r="I457" i="2"/>
  <c r="H468" i="2"/>
  <c r="D468" i="2"/>
  <c r="G446" i="2"/>
  <c r="C641" i="2"/>
  <c r="C457" i="2"/>
  <c r="J479" i="2"/>
  <c r="C468" i="2"/>
  <c r="C636" i="2"/>
  <c r="C639" i="2"/>
  <c r="E457" i="2"/>
  <c r="C659" i="2"/>
  <c r="I413" i="2"/>
  <c r="C413" i="2"/>
  <c r="F402" i="2"/>
  <c r="F457" i="2"/>
  <c r="J402" i="2"/>
  <c r="J446" i="2"/>
  <c r="F446" i="2"/>
  <c r="E424" i="2"/>
  <c r="C402" i="2"/>
  <c r="G457" i="2"/>
  <c r="I446" i="2"/>
  <c r="C446" i="2"/>
  <c r="G413" i="2"/>
  <c r="C609" i="2"/>
  <c r="H87" i="15"/>
  <c r="H88" i="15"/>
  <c r="G90" i="15"/>
  <c r="BG23" i="3"/>
  <c r="BG22" i="3"/>
  <c r="BG29" i="3" s="1"/>
  <c r="E252" i="15"/>
  <c r="F251" i="15"/>
  <c r="BG22" i="14"/>
  <c r="BG29" i="14" s="1"/>
  <c r="BG23" i="14"/>
  <c r="C128" i="15"/>
  <c r="C132" i="15" s="1"/>
  <c r="C163" i="15" s="1"/>
  <c r="C57" i="15"/>
  <c r="BI8" i="3"/>
  <c r="BH9" i="3"/>
  <c r="O26" i="15"/>
  <c r="N53" i="15"/>
  <c r="BG48" i="14"/>
  <c r="BF63" i="14"/>
  <c r="BF58" i="14"/>
  <c r="BF57" i="14"/>
  <c r="G48" i="14"/>
  <c r="AP47" i="14"/>
  <c r="AG45" i="14"/>
  <c r="F58" i="14"/>
  <c r="AG46" i="14" s="1"/>
  <c r="AP49" i="14"/>
  <c r="M128" i="15"/>
  <c r="M132" i="15" s="1"/>
  <c r="M163" i="15" s="1"/>
  <c r="M57" i="15"/>
  <c r="AY48" i="14"/>
  <c r="AY58" i="14" s="1"/>
  <c r="AX63" i="14"/>
  <c r="G70" i="15"/>
  <c r="BI8" i="14"/>
  <c r="BH9" i="14"/>
  <c r="D53" i="15"/>
  <c r="E26" i="15"/>
  <c r="O252" i="15"/>
  <c r="P251" i="15"/>
  <c r="H82" i="15"/>
  <c r="H67" i="15"/>
  <c r="H78" i="15"/>
  <c r="I31" i="15"/>
  <c r="I54" i="15" s="1"/>
  <c r="H83" i="15"/>
  <c r="H80" i="15"/>
  <c r="H81" i="15"/>
  <c r="H75" i="15"/>
  <c r="H68" i="15"/>
  <c r="H73" i="15"/>
  <c r="H69" i="15"/>
  <c r="H89" i="15"/>
  <c r="H74" i="15"/>
  <c r="G76" i="15"/>
  <c r="I46" i="14"/>
  <c r="AS15" i="3"/>
  <c r="BB28" i="3"/>
  <c r="R28" i="3"/>
  <c r="BK28" i="3" s="1"/>
  <c r="BJ28" i="3"/>
  <c r="S114" i="15"/>
  <c r="R97" i="15"/>
  <c r="S110" i="15"/>
  <c r="R93" i="15"/>
  <c r="H97" i="15"/>
  <c r="I114" i="15"/>
  <c r="Q49" i="3"/>
  <c r="P58" i="3"/>
  <c r="C515" i="2"/>
  <c r="I342" i="2"/>
  <c r="I320" i="2"/>
  <c r="D276" i="2"/>
  <c r="AX56" i="3"/>
  <c r="AX63" i="3" s="1"/>
  <c r="C522" i="2"/>
  <c r="E265" i="2"/>
  <c r="C577" i="2"/>
  <c r="G287" i="2"/>
  <c r="H309" i="2"/>
  <c r="C566" i="2"/>
  <c r="AD42" i="3"/>
  <c r="AD43" i="3" s="1"/>
  <c r="C13" i="13" s="1"/>
  <c r="C1522" i="2"/>
  <c r="C1524" i="2" s="1"/>
  <c r="C45" i="3"/>
  <c r="C45" i="14"/>
  <c r="AD42" i="14"/>
  <c r="C519" i="2"/>
  <c r="J298" i="2"/>
  <c r="C583" i="2"/>
  <c r="C575" i="2"/>
  <c r="D342" i="2"/>
  <c r="C551" i="2"/>
  <c r="K658" i="2"/>
  <c r="H724" i="2" s="1"/>
  <c r="H723" i="2" s="1"/>
  <c r="F320" i="2"/>
  <c r="F265" i="2"/>
  <c r="J265" i="2"/>
  <c r="C531" i="2"/>
  <c r="J287" i="2"/>
  <c r="C588" i="2"/>
  <c r="E309" i="2"/>
  <c r="I309" i="2"/>
  <c r="P58" i="14"/>
  <c r="Q49" i="14"/>
  <c r="D331" i="2"/>
  <c r="B45" i="14"/>
  <c r="AC42" i="3"/>
  <c r="AC43" i="3" s="1"/>
  <c r="B45" i="3"/>
  <c r="B1522" i="2"/>
  <c r="B1524" i="2" s="1"/>
  <c r="C543" i="2"/>
  <c r="C298" i="2"/>
  <c r="C544" i="2"/>
  <c r="H14" i="10"/>
  <c r="J14" i="10" s="1"/>
  <c r="D15" i="10"/>
  <c r="C546" i="2"/>
  <c r="C560" i="2"/>
  <c r="C550" i="2"/>
  <c r="F26" i="12"/>
  <c r="H26" i="12" s="1"/>
  <c r="I27" i="10" s="1"/>
  <c r="C27" i="12"/>
  <c r="F27" i="12" s="1"/>
  <c r="H27" i="12" s="1"/>
  <c r="I28" i="10" s="1"/>
  <c r="J342" i="2"/>
  <c r="C342" i="2"/>
  <c r="C584" i="2"/>
  <c r="C541" i="2"/>
  <c r="C562" i="2"/>
  <c r="C586" i="2"/>
  <c r="C24" i="12"/>
  <c r="F24" i="12" s="1"/>
  <c r="H24" i="12" s="1"/>
  <c r="I25" i="10" s="1"/>
  <c r="F23" i="12"/>
  <c r="H23" i="12" s="1"/>
  <c r="I24" i="10" s="1"/>
  <c r="AC13" i="14"/>
  <c r="K1403" i="2"/>
  <c r="H1473" i="2" s="1"/>
  <c r="H1472" i="2" s="1"/>
  <c r="H48" i="3"/>
  <c r="AQ47" i="3"/>
  <c r="AH45" i="3"/>
  <c r="G58" i="3"/>
  <c r="AH46" i="3" s="1"/>
  <c r="H51" i="3"/>
  <c r="AY58" i="3"/>
  <c r="AZ51" i="3"/>
  <c r="E320" i="2"/>
  <c r="J320" i="2"/>
  <c r="C579" i="2"/>
  <c r="C521" i="2"/>
  <c r="C529" i="2"/>
  <c r="C573" i="2"/>
  <c r="J276" i="2"/>
  <c r="F276" i="2"/>
  <c r="C578" i="2"/>
  <c r="C558" i="2"/>
  <c r="F5" i="12"/>
  <c r="H5" i="12" s="1"/>
  <c r="I6" i="10" s="1"/>
  <c r="J6" i="10" s="1"/>
  <c r="C6" i="12"/>
  <c r="F6" i="12" s="1"/>
  <c r="H6" i="12" s="1"/>
  <c r="I7" i="10" s="1"/>
  <c r="J7" i="10" s="1"/>
  <c r="C589" i="2"/>
  <c r="C569" i="2"/>
  <c r="I265" i="2"/>
  <c r="C12" i="12"/>
  <c r="F12" i="12" s="1"/>
  <c r="H12" i="12" s="1"/>
  <c r="I13" i="10" s="1"/>
  <c r="J13" i="10" s="1"/>
  <c r="F11" i="12"/>
  <c r="H11" i="12" s="1"/>
  <c r="I12" i="10" s="1"/>
  <c r="J12" i="10" s="1"/>
  <c r="B11" i="14"/>
  <c r="B11" i="3"/>
  <c r="AC8" i="14"/>
  <c r="B1505" i="2"/>
  <c r="B1507" i="2" s="1"/>
  <c r="C557" i="2"/>
  <c r="H287" i="2"/>
  <c r="I287" i="2"/>
  <c r="C556" i="2"/>
  <c r="D309" i="2"/>
  <c r="F309" i="2"/>
  <c r="C18" i="12"/>
  <c r="F18" i="12" s="1"/>
  <c r="H18" i="12" s="1"/>
  <c r="I19" i="10" s="1"/>
  <c r="F17" i="12"/>
  <c r="H17" i="12" s="1"/>
  <c r="I18" i="10" s="1"/>
  <c r="J331" i="2"/>
  <c r="C539" i="2"/>
  <c r="C552" i="2"/>
  <c r="C563" i="2"/>
  <c r="I298" i="2"/>
  <c r="D298" i="2"/>
  <c r="C553" i="2"/>
  <c r="C1505" i="2"/>
  <c r="C1507" i="2" s="1"/>
  <c r="C11" i="3"/>
  <c r="AD8" i="14"/>
  <c r="AD8" i="3"/>
  <c r="AD9" i="3" s="1"/>
  <c r="C4" i="13" s="1"/>
  <c r="C11" i="14"/>
  <c r="C533" i="2"/>
  <c r="D45" i="3"/>
  <c r="AE42" i="3"/>
  <c r="AE43" i="3" s="1"/>
  <c r="D13" i="13" s="1"/>
  <c r="D45" i="14"/>
  <c r="AE42" i="14"/>
  <c r="D1522" i="2"/>
  <c r="D1524" i="2" s="1"/>
  <c r="C576" i="2"/>
  <c r="E342" i="2"/>
  <c r="C591" i="2"/>
  <c r="C587" i="2"/>
  <c r="H320" i="2"/>
  <c r="H276" i="2"/>
  <c r="AE8" i="14"/>
  <c r="D11" i="14"/>
  <c r="D1505" i="2"/>
  <c r="D1507" i="2" s="1"/>
  <c r="D11" i="3"/>
  <c r="AE8" i="3"/>
  <c r="AE9" i="3" s="1"/>
  <c r="D4" i="13" s="1"/>
  <c r="Y49" i="3"/>
  <c r="X58" i="3"/>
  <c r="C527" i="2"/>
  <c r="C265" i="2"/>
  <c r="C514" i="2"/>
  <c r="D265" i="2"/>
  <c r="D287" i="2"/>
  <c r="J309" i="2"/>
  <c r="E331" i="2"/>
  <c r="H331" i="2"/>
  <c r="C520" i="2"/>
  <c r="C585" i="2"/>
  <c r="C570" i="2"/>
  <c r="E298" i="2"/>
  <c r="C559" i="2"/>
  <c r="C565" i="2"/>
  <c r="C532" i="2"/>
  <c r="C580" i="2"/>
  <c r="G342" i="2"/>
  <c r="C537" i="2"/>
  <c r="C538" i="2"/>
  <c r="AX57" i="3"/>
  <c r="C320" i="2"/>
  <c r="C564" i="2"/>
  <c r="D320" i="2"/>
  <c r="C582" i="2"/>
  <c r="C525" i="2"/>
  <c r="G276" i="2"/>
  <c r="C555" i="2"/>
  <c r="AZ46" i="3"/>
  <c r="AY43" i="3"/>
  <c r="F287" i="2"/>
  <c r="C547" i="2"/>
  <c r="C549" i="2"/>
  <c r="C545" i="2"/>
  <c r="G309" i="2"/>
  <c r="I331" i="2"/>
  <c r="G298" i="2"/>
  <c r="F8" i="12"/>
  <c r="H8" i="12" s="1"/>
  <c r="I9" i="10" s="1"/>
  <c r="J9" i="10" s="1"/>
  <c r="C9" i="12"/>
  <c r="F9" i="12" s="1"/>
  <c r="H9" i="12" s="1"/>
  <c r="I10" i="10" s="1"/>
  <c r="J10" i="10" s="1"/>
  <c r="AZ50" i="14"/>
  <c r="C571" i="2"/>
  <c r="C590" i="2"/>
  <c r="C518" i="2"/>
  <c r="C530" i="2"/>
  <c r="H342" i="2"/>
  <c r="F342" i="2"/>
  <c r="C540" i="2"/>
  <c r="C548" i="2"/>
  <c r="F14" i="12"/>
  <c r="H14" i="12" s="1"/>
  <c r="I15" i="10" s="1"/>
  <c r="C15" i="12"/>
  <c r="F15" i="12" s="1"/>
  <c r="H15" i="12" s="1"/>
  <c r="I16" i="10" s="1"/>
  <c r="K1025" i="2"/>
  <c r="H1098" i="2" s="1"/>
  <c r="H1097" i="2" s="1"/>
  <c r="C528" i="2"/>
  <c r="G320" i="2"/>
  <c r="C581" i="2"/>
  <c r="C593" i="2"/>
  <c r="C572" i="2"/>
  <c r="C276" i="2"/>
  <c r="C524" i="2"/>
  <c r="I276" i="2"/>
  <c r="E276" i="2"/>
  <c r="C561" i="2"/>
  <c r="Y49" i="14"/>
  <c r="X58" i="14"/>
  <c r="BI49" i="14"/>
  <c r="C523" i="2"/>
  <c r="C567" i="2"/>
  <c r="C516" i="2"/>
  <c r="C568" i="2"/>
  <c r="C21" i="12"/>
  <c r="F21" i="12" s="1"/>
  <c r="H21" i="12" s="1"/>
  <c r="I22" i="10" s="1"/>
  <c r="F20" i="12"/>
  <c r="H20" i="12" s="1"/>
  <c r="I21" i="10" s="1"/>
  <c r="H265" i="2"/>
  <c r="G265" i="2"/>
  <c r="C287" i="2"/>
  <c r="C534" i="2"/>
  <c r="E287" i="2"/>
  <c r="C535" i="2"/>
  <c r="C309" i="2"/>
  <c r="C554" i="2"/>
  <c r="C526" i="2"/>
  <c r="G331" i="2"/>
  <c r="C331" i="2"/>
  <c r="C574" i="2"/>
  <c r="F331" i="2"/>
  <c r="C517" i="2"/>
  <c r="C536" i="2"/>
  <c r="C542" i="2"/>
  <c r="H298" i="2"/>
  <c r="F298" i="2"/>
  <c r="C592" i="2"/>
  <c r="J113" i="15"/>
  <c r="J96" i="15" s="1"/>
  <c r="I96" i="15"/>
  <c r="I98" i="15"/>
  <c r="J115" i="15"/>
  <c r="J98" i="15" s="1"/>
  <c r="J29" i="15"/>
  <c r="I56" i="15"/>
  <c r="Q129" i="15"/>
  <c r="T31" i="15"/>
  <c r="R98" i="15"/>
  <c r="S115" i="15"/>
  <c r="H52" i="15"/>
  <c r="I25" i="15"/>
  <c r="S25" i="15"/>
  <c r="R52" i="15"/>
  <c r="H129" i="15"/>
  <c r="S29" i="15"/>
  <c r="R56" i="15"/>
  <c r="S55" i="15"/>
  <c r="T28" i="15"/>
  <c r="S111" i="15"/>
  <c r="R94" i="15"/>
  <c r="J55" i="15"/>
  <c r="H124" i="15"/>
  <c r="H131" i="15"/>
  <c r="J27" i="15"/>
  <c r="J111" i="15"/>
  <c r="J94" i="15" s="1"/>
  <c r="I94" i="15"/>
  <c r="I93" i="15"/>
  <c r="J110" i="15"/>
  <c r="J93" i="15" s="1"/>
  <c r="Q124" i="15"/>
  <c r="Q131" i="15"/>
  <c r="S113" i="15"/>
  <c r="R96" i="15"/>
  <c r="S27" i="15"/>
  <c r="R54" i="15"/>
  <c r="R130" i="15"/>
  <c r="BI51" i="3" l="1"/>
  <c r="K672" i="2"/>
  <c r="J712" i="2" s="1"/>
  <c r="J711" i="2" s="1"/>
  <c r="K603" i="2"/>
  <c r="K1039" i="2"/>
  <c r="J1086" i="2" s="1"/>
  <c r="J1085" i="2" s="1"/>
  <c r="K604" i="2"/>
  <c r="K608" i="2"/>
  <c r="C724" i="2" s="1"/>
  <c r="C723" i="2" s="1"/>
  <c r="K607" i="2"/>
  <c r="C722" i="2" s="1"/>
  <c r="C721" i="2" s="1"/>
  <c r="K606" i="2"/>
  <c r="C720" i="2" s="1"/>
  <c r="C719" i="2" s="1"/>
  <c r="K602" i="2"/>
  <c r="C712" i="2" s="1"/>
  <c r="C711" i="2" s="1"/>
  <c r="K605" i="2"/>
  <c r="C718" i="2" s="1"/>
  <c r="C717" i="2" s="1"/>
  <c r="K1031" i="2"/>
  <c r="I1090" i="2" s="1"/>
  <c r="I1089" i="2" s="1"/>
  <c r="K1034" i="2"/>
  <c r="I1096" i="2" s="1"/>
  <c r="I1095" i="2" s="1"/>
  <c r="K1026" i="2"/>
  <c r="I1080" i="2" s="1"/>
  <c r="I1079" i="2" s="1"/>
  <c r="K1038" i="2"/>
  <c r="J1084" i="2" s="1"/>
  <c r="J1083" i="2" s="1"/>
  <c r="P90" i="15"/>
  <c r="L212" i="15"/>
  <c r="K1045" i="2"/>
  <c r="J1098" i="2" s="1"/>
  <c r="J1097" i="2" s="1"/>
  <c r="I87" i="15"/>
  <c r="AY57" i="14"/>
  <c r="K615" i="2"/>
  <c r="D718" i="2" s="1"/>
  <c r="D717" i="2" s="1"/>
  <c r="L214" i="15"/>
  <c r="K614" i="2"/>
  <c r="D716" i="2" s="1"/>
  <c r="D715" i="2" s="1"/>
  <c r="K612" i="2"/>
  <c r="D712" i="2" s="1"/>
  <c r="D711" i="2" s="1"/>
  <c r="K613" i="2"/>
  <c r="D714" i="2" s="1"/>
  <c r="D713" i="2" s="1"/>
  <c r="K622" i="2"/>
  <c r="E712" i="2" s="1"/>
  <c r="E711" i="2" s="1"/>
  <c r="K618" i="2"/>
  <c r="D724" i="2" s="1"/>
  <c r="D723" i="2" s="1"/>
  <c r="K617" i="2"/>
  <c r="D722" i="2" s="1"/>
  <c r="D721" i="2" s="1"/>
  <c r="K616" i="2"/>
  <c r="D720" i="2" s="1"/>
  <c r="D719" i="2" s="1"/>
  <c r="K627" i="2"/>
  <c r="E722" i="2" s="1"/>
  <c r="E721" i="2" s="1"/>
  <c r="K625" i="2"/>
  <c r="E718" i="2" s="1"/>
  <c r="E717" i="2" s="1"/>
  <c r="K626" i="2"/>
  <c r="E720" i="2" s="1"/>
  <c r="E719" i="2" s="1"/>
  <c r="K628" i="2"/>
  <c r="E724" i="2" s="1"/>
  <c r="E723" i="2" s="1"/>
  <c r="K624" i="2"/>
  <c r="E716" i="2" s="1"/>
  <c r="E715" i="2" s="1"/>
  <c r="K623" i="2"/>
  <c r="E714" i="2" s="1"/>
  <c r="E713" i="2" s="1"/>
  <c r="K1029" i="2"/>
  <c r="I1086" i="2" s="1"/>
  <c r="I1085" i="2" s="1"/>
  <c r="I88" i="15"/>
  <c r="K1366" i="2"/>
  <c r="E1459" i="2" s="1"/>
  <c r="E1458" i="2" s="1"/>
  <c r="B64" i="15"/>
  <c r="B214" i="15" s="1"/>
  <c r="P84" i="15"/>
  <c r="K966" i="2"/>
  <c r="C1080" i="2" s="1"/>
  <c r="C1079" i="2" s="1"/>
  <c r="K52" i="14"/>
  <c r="T52" i="14" s="1"/>
  <c r="U52" i="14" s="1"/>
  <c r="V52" i="14" s="1"/>
  <c r="W52" i="14" s="1"/>
  <c r="X52" i="14" s="1"/>
  <c r="Y52" i="14" s="1"/>
  <c r="Z52" i="14" s="1"/>
  <c r="AA52" i="14" s="1"/>
  <c r="BG47" i="16"/>
  <c r="BF65" i="16"/>
  <c r="P76" i="15"/>
  <c r="Q88" i="15"/>
  <c r="BG47" i="17"/>
  <c r="BF65" i="17"/>
  <c r="AY47" i="17"/>
  <c r="AX65" i="17"/>
  <c r="P70" i="15"/>
  <c r="Q82" i="15"/>
  <c r="Q69" i="15"/>
  <c r="R23" i="15"/>
  <c r="R88" i="15" s="1"/>
  <c r="Q68" i="15"/>
  <c r="Q89" i="15"/>
  <c r="Q75" i="15"/>
  <c r="Q74" i="15"/>
  <c r="Q81" i="15"/>
  <c r="Q80" i="15"/>
  <c r="Q83" i="15"/>
  <c r="Q67" i="15"/>
  <c r="Q73" i="15"/>
  <c r="AY47" i="16"/>
  <c r="AX65" i="16"/>
  <c r="AF51" i="16"/>
  <c r="P150" i="15"/>
  <c r="G47" i="16"/>
  <c r="AP51" i="16"/>
  <c r="G47" i="17"/>
  <c r="AP51" i="17"/>
  <c r="G53" i="17"/>
  <c r="AP48" i="17"/>
  <c r="AG46" i="17"/>
  <c r="F60" i="17"/>
  <c r="AG47" i="17" s="1"/>
  <c r="BG53" i="17"/>
  <c r="BF59" i="17"/>
  <c r="BF60" i="17"/>
  <c r="AY53" i="17"/>
  <c r="AX60" i="17"/>
  <c r="AX59" i="17"/>
  <c r="O53" i="16"/>
  <c r="N60" i="16"/>
  <c r="W53" i="16"/>
  <c r="V60" i="16"/>
  <c r="W53" i="17"/>
  <c r="V60" i="17"/>
  <c r="BG53" i="16"/>
  <c r="BF59" i="16"/>
  <c r="BF60" i="16"/>
  <c r="G53" i="16"/>
  <c r="F60" i="16"/>
  <c r="AG47" i="16" s="1"/>
  <c r="AP48" i="16"/>
  <c r="AG46" i="16"/>
  <c r="AY53" i="16"/>
  <c r="AX60" i="16"/>
  <c r="AX59" i="16"/>
  <c r="O53" i="17"/>
  <c r="N60" i="17"/>
  <c r="BG23" i="17"/>
  <c r="BG30" i="17" s="1"/>
  <c r="BG24" i="17"/>
  <c r="BH9" i="16"/>
  <c r="BI8" i="16"/>
  <c r="BI8" i="17"/>
  <c r="BH9" i="17"/>
  <c r="BG23" i="16"/>
  <c r="BG30" i="16" s="1"/>
  <c r="BG24" i="16"/>
  <c r="AW23" i="17"/>
  <c r="AW30" i="17" s="1"/>
  <c r="AW24" i="17"/>
  <c r="AX9" i="17"/>
  <c r="AY8" i="17"/>
  <c r="AW23" i="16"/>
  <c r="AW30" i="16" s="1"/>
  <c r="AW24" i="16"/>
  <c r="AY8" i="16"/>
  <c r="AX9" i="16"/>
  <c r="K46" i="16"/>
  <c r="AU46" i="16"/>
  <c r="B57" i="16"/>
  <c r="AU57" i="16" s="1"/>
  <c r="C57" i="17"/>
  <c r="L46" i="17"/>
  <c r="AV46" i="17"/>
  <c r="AV57" i="17" s="1"/>
  <c r="B57" i="17"/>
  <c r="AU57" i="17" s="1"/>
  <c r="K46" i="17"/>
  <c r="AU46" i="17"/>
  <c r="C52" i="14"/>
  <c r="D52" i="14" s="1"/>
  <c r="AE47" i="14" s="1"/>
  <c r="B22" i="16"/>
  <c r="AL14" i="16" s="1"/>
  <c r="K11" i="16"/>
  <c r="AU11" i="16"/>
  <c r="AU22" i="16" s="1"/>
  <c r="AU26" i="16" s="1"/>
  <c r="AU28" i="16" s="1"/>
  <c r="AU31" i="16" s="1"/>
  <c r="AU54" i="16"/>
  <c r="K54" i="16"/>
  <c r="AC48" i="16"/>
  <c r="C54" i="16"/>
  <c r="AC47" i="14"/>
  <c r="AU54" i="17"/>
  <c r="AC48" i="17"/>
  <c r="K54" i="17"/>
  <c r="C54" i="17"/>
  <c r="D57" i="16"/>
  <c r="M46" i="16"/>
  <c r="AW46" i="16"/>
  <c r="AW57" i="16" s="1"/>
  <c r="L11" i="16"/>
  <c r="AV11" i="16"/>
  <c r="AV22" i="16" s="1"/>
  <c r="AV26" i="16" s="1"/>
  <c r="AV28" i="16" s="1"/>
  <c r="AV31" i="16" s="1"/>
  <c r="AV32" i="16" s="1"/>
  <c r="AM10" i="16" s="1"/>
  <c r="C22" i="16"/>
  <c r="B22" i="17"/>
  <c r="AL14" i="17" s="1"/>
  <c r="K11" i="17"/>
  <c r="AU11" i="17"/>
  <c r="AU22" i="17" s="1"/>
  <c r="AU26" i="17" s="1"/>
  <c r="AU28" i="17" s="1"/>
  <c r="AU31" i="17" s="1"/>
  <c r="M11" i="16"/>
  <c r="D22" i="16"/>
  <c r="AW11" i="16"/>
  <c r="AW22" i="16" s="1"/>
  <c r="AW26" i="16" s="1"/>
  <c r="L11" i="17"/>
  <c r="C22" i="17"/>
  <c r="AV11" i="17"/>
  <c r="AV22" i="17" s="1"/>
  <c r="AV26" i="17" s="1"/>
  <c r="AV28" i="17" s="1"/>
  <c r="AV31" i="17" s="1"/>
  <c r="AV32" i="17" s="1"/>
  <c r="AM10" i="17" s="1"/>
  <c r="C57" i="16"/>
  <c r="L46" i="16"/>
  <c r="AV46" i="16"/>
  <c r="AV57" i="16" s="1"/>
  <c r="AW46" i="17"/>
  <c r="AW57" i="17" s="1"/>
  <c r="M46" i="17"/>
  <c r="D57" i="17"/>
  <c r="D22" i="17"/>
  <c r="M11" i="17"/>
  <c r="AW11" i="17"/>
  <c r="AW22" i="17" s="1"/>
  <c r="AW26" i="17" s="1"/>
  <c r="BE57" i="3"/>
  <c r="BE56" i="3"/>
  <c r="BE63" i="3" s="1"/>
  <c r="BF43" i="3"/>
  <c r="BG46" i="3"/>
  <c r="G46" i="3"/>
  <c r="AP49" i="3"/>
  <c r="R43" i="15"/>
  <c r="Q78" i="15"/>
  <c r="T177" i="15"/>
  <c r="T176" i="15"/>
  <c r="T107" i="15"/>
  <c r="T106" i="15"/>
  <c r="T105" i="15"/>
  <c r="T175" i="15"/>
  <c r="J177" i="15"/>
  <c r="J107" i="15"/>
  <c r="J175" i="15"/>
  <c r="J176" i="15"/>
  <c r="J105" i="15"/>
  <c r="J106" i="15"/>
  <c r="M39" i="15"/>
  <c r="N39" i="15" s="1"/>
  <c r="O39" i="15" s="1"/>
  <c r="P39" i="15" s="1"/>
  <c r="Q39" i="15" s="1"/>
  <c r="R39" i="15" s="1"/>
  <c r="S39" i="15" s="1"/>
  <c r="T39" i="15" s="1"/>
  <c r="K52" i="3"/>
  <c r="C52" i="3"/>
  <c r="D52" i="3" s="1"/>
  <c r="AE47" i="3" s="1"/>
  <c r="AE48" i="3" s="1"/>
  <c r="AU52" i="3"/>
  <c r="AV52" i="3" s="1"/>
  <c r="AW52" i="3" s="1"/>
  <c r="K1030" i="2"/>
  <c r="I1088" i="2" s="1"/>
  <c r="I1087" i="2" s="1"/>
  <c r="K978" i="2"/>
  <c r="D1084" i="2" s="1"/>
  <c r="D1083" i="2" s="1"/>
  <c r="K1010" i="2"/>
  <c r="G1088" i="2" s="1"/>
  <c r="G1087" i="2" s="1"/>
  <c r="K1348" i="2"/>
  <c r="C1463" i="2" s="1"/>
  <c r="C1462" i="2" s="1"/>
  <c r="K1393" i="2"/>
  <c r="G1473" i="2" s="1"/>
  <c r="G1472" i="2" s="1"/>
  <c r="K643" i="2"/>
  <c r="G714" i="2" s="1"/>
  <c r="G713" i="2" s="1"/>
  <c r="K1015" i="2"/>
  <c r="G1098" i="2" s="1"/>
  <c r="G1097" i="2" s="1"/>
  <c r="K663" i="2"/>
  <c r="I714" i="2" s="1"/>
  <c r="I713" i="2" s="1"/>
  <c r="K1408" i="2"/>
  <c r="I1463" i="2" s="1"/>
  <c r="I1462" i="2" s="1"/>
  <c r="K988" i="2"/>
  <c r="E1084" i="2" s="1"/>
  <c r="E1083" i="2" s="1"/>
  <c r="K621" i="2"/>
  <c r="E710" i="2" s="1"/>
  <c r="E709" i="2" s="1"/>
  <c r="K1388" i="2"/>
  <c r="G1463" i="2" s="1"/>
  <c r="G1462" i="2" s="1"/>
  <c r="K1372" i="2"/>
  <c r="E1471" i="2" s="1"/>
  <c r="E1470" i="2" s="1"/>
  <c r="K1356" i="2"/>
  <c r="D1459" i="2" s="1"/>
  <c r="D1458" i="2" s="1"/>
  <c r="K1028" i="2"/>
  <c r="I1084" i="2" s="1"/>
  <c r="I1083" i="2" s="1"/>
  <c r="K648" i="2"/>
  <c r="G724" i="2" s="1"/>
  <c r="G723" i="2" s="1"/>
  <c r="K1409" i="2"/>
  <c r="I1465" i="2" s="1"/>
  <c r="I1464" i="2" s="1"/>
  <c r="K642" i="2"/>
  <c r="G712" i="2" s="1"/>
  <c r="G711" i="2" s="1"/>
  <c r="K1396" i="2"/>
  <c r="H1459" i="2" s="1"/>
  <c r="H1458" i="2" s="1"/>
  <c r="K1387" i="2"/>
  <c r="G1461" i="2" s="1"/>
  <c r="G1460" i="2" s="1"/>
  <c r="K1041" i="2"/>
  <c r="J1090" i="2" s="1"/>
  <c r="J1089" i="2" s="1"/>
  <c r="K611" i="2"/>
  <c r="D710" i="2" s="1"/>
  <c r="D709" i="2" s="1"/>
  <c r="K1344" i="2"/>
  <c r="C1455" i="2" s="1"/>
  <c r="C1454" i="2" s="1"/>
  <c r="K651" i="2"/>
  <c r="H710" i="2" s="1"/>
  <c r="H709" i="2" s="1"/>
  <c r="K661" i="2"/>
  <c r="I710" i="2" s="1"/>
  <c r="I709" i="2" s="1"/>
  <c r="K1406" i="2"/>
  <c r="I1459" i="2" s="1"/>
  <c r="I1458" i="2" s="1"/>
  <c r="K1018" i="2"/>
  <c r="H1084" i="2" s="1"/>
  <c r="H1083" i="2" s="1"/>
  <c r="K1009" i="2"/>
  <c r="G1086" i="2" s="1"/>
  <c r="G1085" i="2" s="1"/>
  <c r="K599" i="2"/>
  <c r="C706" i="2" s="1"/>
  <c r="C705" i="2" s="1"/>
  <c r="K664" i="2"/>
  <c r="I716" i="2" s="1"/>
  <c r="I715" i="2" s="1"/>
  <c r="K1349" i="2"/>
  <c r="C1465" i="2" s="1"/>
  <c r="C1464" i="2" s="1"/>
  <c r="K1368" i="2"/>
  <c r="E1463" i="2" s="1"/>
  <c r="E1462" i="2" s="1"/>
  <c r="K992" i="2"/>
  <c r="E1092" i="2" s="1"/>
  <c r="E1091" i="2" s="1"/>
  <c r="K982" i="2"/>
  <c r="D1092" i="2" s="1"/>
  <c r="D1091" i="2" s="1"/>
  <c r="K1359" i="2"/>
  <c r="D1465" i="2" s="1"/>
  <c r="D1464" i="2" s="1"/>
  <c r="K1033" i="2"/>
  <c r="I1094" i="2" s="1"/>
  <c r="I1093" i="2" s="1"/>
  <c r="AW22" i="14"/>
  <c r="AW29" i="14" s="1"/>
  <c r="AW23" i="14"/>
  <c r="AY8" i="14"/>
  <c r="AX9" i="14"/>
  <c r="AW23" i="3"/>
  <c r="AW22" i="3"/>
  <c r="AW29" i="3" s="1"/>
  <c r="AX9" i="3"/>
  <c r="AY8" i="3"/>
  <c r="K1355" i="2"/>
  <c r="D1457" i="2" s="1"/>
  <c r="D1456" i="2" s="1"/>
  <c r="H90" i="15"/>
  <c r="K971" i="2"/>
  <c r="C1090" i="2" s="1"/>
  <c r="C1089" i="2" s="1"/>
  <c r="K967" i="2"/>
  <c r="C1082" i="2" s="1"/>
  <c r="C1081" i="2" s="1"/>
  <c r="K610" i="2"/>
  <c r="D708" i="2" s="1"/>
  <c r="D707" i="2" s="1"/>
  <c r="K666" i="2"/>
  <c r="I720" i="2" s="1"/>
  <c r="I719" i="2" s="1"/>
  <c r="K993" i="2"/>
  <c r="E1094" i="2" s="1"/>
  <c r="E1093" i="2" s="1"/>
  <c r="K981" i="2"/>
  <c r="D1090" i="2" s="1"/>
  <c r="D1089" i="2" s="1"/>
  <c r="K1371" i="2"/>
  <c r="E1469" i="2" s="1"/>
  <c r="E1468" i="2" s="1"/>
  <c r="K1380" i="2"/>
  <c r="F1467" i="2" s="1"/>
  <c r="F1466" i="2" s="1"/>
  <c r="K635" i="2"/>
  <c r="F718" i="2" s="1"/>
  <c r="F717" i="2" s="1"/>
  <c r="K1002" i="2"/>
  <c r="F1092" i="2" s="1"/>
  <c r="F1091" i="2" s="1"/>
  <c r="K1360" i="2"/>
  <c r="D1467" i="2" s="1"/>
  <c r="D1466" i="2" s="1"/>
  <c r="K1411" i="2"/>
  <c r="I1469" i="2" s="1"/>
  <c r="I1468" i="2" s="1"/>
  <c r="K1352" i="2"/>
  <c r="C1471" i="2" s="1"/>
  <c r="C1470" i="2" s="1"/>
  <c r="K990" i="2"/>
  <c r="E1088" i="2" s="1"/>
  <c r="E1087" i="2" s="1"/>
  <c r="K995" i="2"/>
  <c r="E1098" i="2" s="1"/>
  <c r="E1097" i="2" s="1"/>
  <c r="K1379" i="2"/>
  <c r="F1465" i="2" s="1"/>
  <c r="F1464" i="2" s="1"/>
  <c r="K673" i="2"/>
  <c r="J714" i="2" s="1"/>
  <c r="J713" i="2" s="1"/>
  <c r="K1374" i="2"/>
  <c r="F1455" i="2" s="1"/>
  <c r="F1454" i="2" s="1"/>
  <c r="K991" i="2"/>
  <c r="E1090" i="2" s="1"/>
  <c r="E1089" i="2" s="1"/>
  <c r="K671" i="2"/>
  <c r="J710" i="2" s="1"/>
  <c r="J709" i="2" s="1"/>
  <c r="C714" i="2"/>
  <c r="C713" i="2" s="1"/>
  <c r="K1363" i="2"/>
  <c r="D1473" i="2" s="1"/>
  <c r="D1472" i="2" s="1"/>
  <c r="K1392" i="2"/>
  <c r="G1471" i="2" s="1"/>
  <c r="G1470" i="2" s="1"/>
  <c r="K645" i="2"/>
  <c r="G718" i="2" s="1"/>
  <c r="G717" i="2" s="1"/>
  <c r="K1370" i="2"/>
  <c r="E1467" i="2" s="1"/>
  <c r="E1466" i="2" s="1"/>
  <c r="C716" i="2"/>
  <c r="C715" i="2" s="1"/>
  <c r="K1350" i="2"/>
  <c r="C1467" i="2" s="1"/>
  <c r="C1466" i="2" s="1"/>
  <c r="K984" i="2"/>
  <c r="D1096" i="2" s="1"/>
  <c r="D1095" i="2" s="1"/>
  <c r="K1369" i="2"/>
  <c r="E1465" i="2" s="1"/>
  <c r="E1464" i="2" s="1"/>
  <c r="K972" i="2"/>
  <c r="C1092" i="2" s="1"/>
  <c r="C1091" i="2" s="1"/>
  <c r="K985" i="2"/>
  <c r="D1098" i="2" s="1"/>
  <c r="D1097" i="2" s="1"/>
  <c r="K1014" i="2"/>
  <c r="G1096" i="2" s="1"/>
  <c r="G1095" i="2" s="1"/>
  <c r="K1390" i="2"/>
  <c r="G1467" i="2" s="1"/>
  <c r="G1466" i="2" s="1"/>
  <c r="K647" i="2"/>
  <c r="G722" i="2" s="1"/>
  <c r="G721" i="2" s="1"/>
  <c r="K1397" i="2"/>
  <c r="H1461" i="2" s="1"/>
  <c r="H1460" i="2" s="1"/>
  <c r="K1023" i="2"/>
  <c r="H1094" i="2" s="1"/>
  <c r="H1093" i="2" s="1"/>
  <c r="K1418" i="2"/>
  <c r="J1463" i="2" s="1"/>
  <c r="J1462" i="2" s="1"/>
  <c r="K646" i="2"/>
  <c r="G720" i="2" s="1"/>
  <c r="G719" i="2" s="1"/>
  <c r="K1001" i="2"/>
  <c r="F1090" i="2" s="1"/>
  <c r="F1089" i="2" s="1"/>
  <c r="K1013" i="2"/>
  <c r="G1094" i="2" s="1"/>
  <c r="G1093" i="2" s="1"/>
  <c r="K1024" i="2"/>
  <c r="H1096" i="2" s="1"/>
  <c r="H1095" i="2" s="1"/>
  <c r="K1011" i="2"/>
  <c r="G1090" i="2" s="1"/>
  <c r="G1089" i="2" s="1"/>
  <c r="K1419" i="2"/>
  <c r="J1465" i="2" s="1"/>
  <c r="J1464" i="2" s="1"/>
  <c r="K1032" i="2"/>
  <c r="I1092" i="2" s="1"/>
  <c r="I1091" i="2" s="1"/>
  <c r="K1401" i="2"/>
  <c r="H1469" i="2" s="1"/>
  <c r="H1468" i="2" s="1"/>
  <c r="K1391" i="2"/>
  <c r="G1469" i="2" s="1"/>
  <c r="G1468" i="2" s="1"/>
  <c r="K1012" i="2"/>
  <c r="G1092" i="2" s="1"/>
  <c r="G1091" i="2" s="1"/>
  <c r="K656" i="2"/>
  <c r="H720" i="2" s="1"/>
  <c r="H719" i="2" s="1"/>
  <c r="K652" i="2"/>
  <c r="H712" i="2" s="1"/>
  <c r="H711" i="2" s="1"/>
  <c r="K634" i="2"/>
  <c r="F716" i="2" s="1"/>
  <c r="F715" i="2" s="1"/>
  <c r="K1376" i="2"/>
  <c r="F1459" i="2" s="1"/>
  <c r="F1458" i="2" s="1"/>
  <c r="K1019" i="2"/>
  <c r="H1086" i="2" s="1"/>
  <c r="H1085" i="2" s="1"/>
  <c r="K1416" i="2"/>
  <c r="J1459" i="2" s="1"/>
  <c r="J1458" i="2" s="1"/>
  <c r="K1040" i="2"/>
  <c r="J1088" i="2" s="1"/>
  <c r="J1087" i="2" s="1"/>
  <c r="K1346" i="2"/>
  <c r="C1459" i="2" s="1"/>
  <c r="C1458" i="2" s="1"/>
  <c r="K998" i="2"/>
  <c r="F1084" i="2" s="1"/>
  <c r="F1083" i="2" s="1"/>
  <c r="K1399" i="2"/>
  <c r="H1465" i="2" s="1"/>
  <c r="H1464" i="2" s="1"/>
  <c r="K631" i="2"/>
  <c r="F710" i="2" s="1"/>
  <c r="F709" i="2" s="1"/>
  <c r="K601" i="2"/>
  <c r="C710" i="2" s="1"/>
  <c r="C709" i="2" s="1"/>
  <c r="K1362" i="2"/>
  <c r="D1471" i="2" s="1"/>
  <c r="D1470" i="2" s="1"/>
  <c r="K654" i="2"/>
  <c r="H716" i="2" s="1"/>
  <c r="H715" i="2" s="1"/>
  <c r="K674" i="2"/>
  <c r="J716" i="2" s="1"/>
  <c r="J715" i="2" s="1"/>
  <c r="K633" i="2"/>
  <c r="F714" i="2" s="1"/>
  <c r="F713" i="2" s="1"/>
  <c r="K999" i="2"/>
  <c r="F1086" i="2" s="1"/>
  <c r="F1085" i="2" s="1"/>
  <c r="K1021" i="2"/>
  <c r="H1090" i="2" s="1"/>
  <c r="H1089" i="2" s="1"/>
  <c r="K1395" i="2"/>
  <c r="H1457" i="2" s="1"/>
  <c r="H1456" i="2" s="1"/>
  <c r="K644" i="2"/>
  <c r="G716" i="2" s="1"/>
  <c r="G715" i="2" s="1"/>
  <c r="K1367" i="2"/>
  <c r="E1461" i="2" s="1"/>
  <c r="E1460" i="2" s="1"/>
  <c r="K980" i="2"/>
  <c r="D1088" i="2" s="1"/>
  <c r="D1087" i="2" s="1"/>
  <c r="K629" i="2"/>
  <c r="F706" i="2" s="1"/>
  <c r="F705" i="2" s="1"/>
  <c r="K600" i="2"/>
  <c r="K968" i="2"/>
  <c r="C1084" i="2" s="1"/>
  <c r="C1083" i="2" s="1"/>
  <c r="K977" i="2"/>
  <c r="D1082" i="2" s="1"/>
  <c r="D1081" i="2" s="1"/>
  <c r="K1043" i="2"/>
  <c r="J1094" i="2" s="1"/>
  <c r="J1093" i="2" s="1"/>
  <c r="K665" i="2"/>
  <c r="I718" i="2" s="1"/>
  <c r="I717" i="2" s="1"/>
  <c r="K1404" i="2"/>
  <c r="I1455" i="2" s="1"/>
  <c r="I1454" i="2" s="1"/>
  <c r="K1423" i="2"/>
  <c r="J1473" i="2" s="1"/>
  <c r="J1472" i="2" s="1"/>
  <c r="K1017" i="2"/>
  <c r="H1082" i="2" s="1"/>
  <c r="H1081" i="2" s="1"/>
  <c r="K1037" i="2"/>
  <c r="J1082" i="2" s="1"/>
  <c r="J1081" i="2" s="1"/>
  <c r="K1407" i="2"/>
  <c r="I1461" i="2" s="1"/>
  <c r="I1460" i="2" s="1"/>
  <c r="K1385" i="2"/>
  <c r="G1457" i="2" s="1"/>
  <c r="G1456" i="2" s="1"/>
  <c r="K675" i="2"/>
  <c r="J718" i="2" s="1"/>
  <c r="J717" i="2" s="1"/>
  <c r="K1375" i="2"/>
  <c r="F1457" i="2" s="1"/>
  <c r="F1456" i="2" s="1"/>
  <c r="K1402" i="2"/>
  <c r="H1471" i="2" s="1"/>
  <c r="H1470" i="2" s="1"/>
  <c r="K1020" i="2"/>
  <c r="H1088" i="2" s="1"/>
  <c r="H1087" i="2" s="1"/>
  <c r="K996" i="2"/>
  <c r="F1080" i="2" s="1"/>
  <c r="F1079" i="2" s="1"/>
  <c r="K1016" i="2"/>
  <c r="H1080" i="2" s="1"/>
  <c r="H1079" i="2" s="1"/>
  <c r="K1035" i="2"/>
  <c r="I1098" i="2" s="1"/>
  <c r="I1097" i="2" s="1"/>
  <c r="K1410" i="2"/>
  <c r="I1467" i="2" s="1"/>
  <c r="I1466" i="2" s="1"/>
  <c r="K1421" i="2"/>
  <c r="J1469" i="2" s="1"/>
  <c r="J1468" i="2" s="1"/>
  <c r="K979" i="2"/>
  <c r="D1086" i="2" s="1"/>
  <c r="D1085" i="2" s="1"/>
  <c r="K989" i="2"/>
  <c r="E1086" i="2" s="1"/>
  <c r="E1085" i="2" s="1"/>
  <c r="K676" i="2"/>
  <c r="J720" i="2" s="1"/>
  <c r="J719" i="2" s="1"/>
  <c r="K1394" i="2"/>
  <c r="H1455" i="2" s="1"/>
  <c r="H1454" i="2" s="1"/>
  <c r="K1364" i="2"/>
  <c r="E1455" i="2" s="1"/>
  <c r="E1454" i="2" s="1"/>
  <c r="K1347" i="2"/>
  <c r="C1461" i="2" s="1"/>
  <c r="C1460" i="2" s="1"/>
  <c r="K1414" i="2"/>
  <c r="J1455" i="2" s="1"/>
  <c r="J1454" i="2" s="1"/>
  <c r="K1036" i="2"/>
  <c r="J1080" i="2" s="1"/>
  <c r="J1079" i="2" s="1"/>
  <c r="K677" i="2"/>
  <c r="J722" i="2" s="1"/>
  <c r="J721" i="2" s="1"/>
  <c r="K1389" i="2"/>
  <c r="G1465" i="2" s="1"/>
  <c r="G1464" i="2" s="1"/>
  <c r="K1353" i="2"/>
  <c r="C1473" i="2" s="1"/>
  <c r="C1472" i="2" s="1"/>
  <c r="K1358" i="2"/>
  <c r="D1463" i="2" s="1"/>
  <c r="D1462" i="2" s="1"/>
  <c r="K1373" i="2"/>
  <c r="E1473" i="2" s="1"/>
  <c r="E1472" i="2" s="1"/>
  <c r="K1022" i="2"/>
  <c r="H1092" i="2" s="1"/>
  <c r="H1091" i="2" s="1"/>
  <c r="K641" i="2"/>
  <c r="G710" i="2" s="1"/>
  <c r="G709" i="2" s="1"/>
  <c r="K660" i="2"/>
  <c r="I708" i="2" s="1"/>
  <c r="I707" i="2" s="1"/>
  <c r="K1361" i="2"/>
  <c r="D1469" i="2" s="1"/>
  <c r="D1468" i="2" s="1"/>
  <c r="K1382" i="2"/>
  <c r="F1471" i="2" s="1"/>
  <c r="F1470" i="2" s="1"/>
  <c r="K1377" i="2"/>
  <c r="F1461" i="2" s="1"/>
  <c r="F1460" i="2" s="1"/>
  <c r="K632" i="2"/>
  <c r="F712" i="2" s="1"/>
  <c r="F711" i="2" s="1"/>
  <c r="K1398" i="2"/>
  <c r="H1463" i="2" s="1"/>
  <c r="H1462" i="2" s="1"/>
  <c r="K970" i="2"/>
  <c r="C1088" i="2" s="1"/>
  <c r="C1087" i="2" s="1"/>
  <c r="K1042" i="2"/>
  <c r="J1092" i="2" s="1"/>
  <c r="J1091" i="2" s="1"/>
  <c r="K1005" i="2"/>
  <c r="F1098" i="2" s="1"/>
  <c r="F1097" i="2" s="1"/>
  <c r="K1383" i="2"/>
  <c r="F1473" i="2" s="1"/>
  <c r="F1472" i="2" s="1"/>
  <c r="K662" i="2"/>
  <c r="I712" i="2" s="1"/>
  <c r="I711" i="2" s="1"/>
  <c r="K975" i="2"/>
  <c r="C1098" i="2" s="1"/>
  <c r="C1097" i="2" s="1"/>
  <c r="K1400" i="2"/>
  <c r="H1467" i="2" s="1"/>
  <c r="H1466" i="2" s="1"/>
  <c r="K1413" i="2"/>
  <c r="I1473" i="2" s="1"/>
  <c r="I1472" i="2" s="1"/>
  <c r="K1422" i="2"/>
  <c r="J1471" i="2" s="1"/>
  <c r="J1470" i="2" s="1"/>
  <c r="K1345" i="2"/>
  <c r="C1457" i="2" s="1"/>
  <c r="C1456" i="2" s="1"/>
  <c r="K640" i="2"/>
  <c r="G708" i="2" s="1"/>
  <c r="G707" i="2" s="1"/>
  <c r="K669" i="2"/>
  <c r="J706" i="2" s="1"/>
  <c r="J705" i="2" s="1"/>
  <c r="K973" i="2"/>
  <c r="C1094" i="2" s="1"/>
  <c r="C1093" i="2" s="1"/>
  <c r="K1351" i="2"/>
  <c r="C1469" i="2" s="1"/>
  <c r="C1468" i="2" s="1"/>
  <c r="K650" i="2"/>
  <c r="H708" i="2" s="1"/>
  <c r="H707" i="2" s="1"/>
  <c r="K976" i="2"/>
  <c r="D1080" i="2" s="1"/>
  <c r="D1079" i="2" s="1"/>
  <c r="K986" i="2"/>
  <c r="E1080" i="2" s="1"/>
  <c r="E1079" i="2" s="1"/>
  <c r="K983" i="2"/>
  <c r="D1094" i="2" s="1"/>
  <c r="D1093" i="2" s="1"/>
  <c r="K1044" i="2"/>
  <c r="J1096" i="2" s="1"/>
  <c r="J1095" i="2" s="1"/>
  <c r="K1004" i="2"/>
  <c r="F1096" i="2" s="1"/>
  <c r="F1095" i="2" s="1"/>
  <c r="K1405" i="2"/>
  <c r="I1457" i="2" s="1"/>
  <c r="I1456" i="2" s="1"/>
  <c r="K1415" i="2"/>
  <c r="J1457" i="2" s="1"/>
  <c r="J1456" i="2" s="1"/>
  <c r="K974" i="2"/>
  <c r="C1096" i="2" s="1"/>
  <c r="C1095" i="2" s="1"/>
  <c r="K630" i="2"/>
  <c r="F708" i="2" s="1"/>
  <c r="F707" i="2" s="1"/>
  <c r="K638" i="2"/>
  <c r="F724" i="2" s="1"/>
  <c r="F723" i="2" s="1"/>
  <c r="K678" i="2"/>
  <c r="J724" i="2" s="1"/>
  <c r="J723" i="2" s="1"/>
  <c r="K994" i="2"/>
  <c r="E1096" i="2" s="1"/>
  <c r="E1095" i="2" s="1"/>
  <c r="K969" i="2"/>
  <c r="C1086" i="2" s="1"/>
  <c r="C1085" i="2" s="1"/>
  <c r="K668" i="2"/>
  <c r="I724" i="2" s="1"/>
  <c r="I723" i="2" s="1"/>
  <c r="K997" i="2"/>
  <c r="F1082" i="2" s="1"/>
  <c r="F1081" i="2" s="1"/>
  <c r="K637" i="2"/>
  <c r="F722" i="2" s="1"/>
  <c r="F721" i="2" s="1"/>
  <c r="K653" i="2"/>
  <c r="H714" i="2" s="1"/>
  <c r="H713" i="2" s="1"/>
  <c r="K636" i="2"/>
  <c r="F720" i="2" s="1"/>
  <c r="F719" i="2" s="1"/>
  <c r="K655" i="2"/>
  <c r="H718" i="2" s="1"/>
  <c r="H717" i="2" s="1"/>
  <c r="K657" i="2"/>
  <c r="H722" i="2" s="1"/>
  <c r="H721" i="2" s="1"/>
  <c r="K670" i="2"/>
  <c r="J708" i="2" s="1"/>
  <c r="J707" i="2" s="1"/>
  <c r="K667" i="2"/>
  <c r="I722" i="2" s="1"/>
  <c r="I721" i="2" s="1"/>
  <c r="K1007" i="2"/>
  <c r="G1082" i="2" s="1"/>
  <c r="G1081" i="2" s="1"/>
  <c r="K1378" i="2"/>
  <c r="F1463" i="2" s="1"/>
  <c r="F1462" i="2" s="1"/>
  <c r="K649" i="2"/>
  <c r="H706" i="2" s="1"/>
  <c r="H705" i="2" s="1"/>
  <c r="K1000" i="2"/>
  <c r="F1088" i="2" s="1"/>
  <c r="F1087" i="2" s="1"/>
  <c r="K1354" i="2"/>
  <c r="D1455" i="2" s="1"/>
  <c r="D1454" i="2" s="1"/>
  <c r="K620" i="2"/>
  <c r="E708" i="2" s="1"/>
  <c r="E707" i="2" s="1"/>
  <c r="K1006" i="2"/>
  <c r="G1080" i="2" s="1"/>
  <c r="G1079" i="2" s="1"/>
  <c r="K609" i="2"/>
  <c r="D706" i="2" s="1"/>
  <c r="D705" i="2" s="1"/>
  <c r="K639" i="2"/>
  <c r="G706" i="2" s="1"/>
  <c r="G705" i="2" s="1"/>
  <c r="K987" i="2"/>
  <c r="E1082" i="2" s="1"/>
  <c r="E1081" i="2" s="1"/>
  <c r="K1386" i="2"/>
  <c r="G1459" i="2" s="1"/>
  <c r="G1458" i="2" s="1"/>
  <c r="K619" i="2"/>
  <c r="E706" i="2" s="1"/>
  <c r="E705" i="2" s="1"/>
  <c r="K1003" i="2"/>
  <c r="F1094" i="2" s="1"/>
  <c r="F1093" i="2" s="1"/>
  <c r="K1381" i="2"/>
  <c r="F1469" i="2" s="1"/>
  <c r="F1468" i="2" s="1"/>
  <c r="K1357" i="2"/>
  <c r="D1461" i="2" s="1"/>
  <c r="D1460" i="2" s="1"/>
  <c r="K1365" i="2"/>
  <c r="E1457" i="2" s="1"/>
  <c r="E1456" i="2" s="1"/>
  <c r="K659" i="2"/>
  <c r="I706" i="2" s="1"/>
  <c r="I705" i="2" s="1"/>
  <c r="K1027" i="2"/>
  <c r="I1082" i="2" s="1"/>
  <c r="I1081" i="2" s="1"/>
  <c r="K1420" i="2"/>
  <c r="J1467" i="2" s="1"/>
  <c r="J1466" i="2" s="1"/>
  <c r="K1384" i="2"/>
  <c r="G1455" i="2" s="1"/>
  <c r="G1454" i="2" s="1"/>
  <c r="K1412" i="2"/>
  <c r="I1471" i="2" s="1"/>
  <c r="I1470" i="2" s="1"/>
  <c r="K1008" i="2"/>
  <c r="G1084" i="2" s="1"/>
  <c r="G1083" i="2" s="1"/>
  <c r="K530" i="2"/>
  <c r="D697" i="2" s="1"/>
  <c r="D696" i="2" s="1"/>
  <c r="K1299" i="2"/>
  <c r="G1434" i="2" s="1"/>
  <c r="G1433" i="2" s="1"/>
  <c r="K1268" i="2"/>
  <c r="C1452" i="2" s="1"/>
  <c r="C1451" i="2" s="1"/>
  <c r="K915" i="2"/>
  <c r="F1067" i="2" s="1"/>
  <c r="F1066" i="2" s="1"/>
  <c r="P252" i="15"/>
  <c r="Q251" i="15"/>
  <c r="BH22" i="14"/>
  <c r="BH29" i="14" s="1"/>
  <c r="BH23" i="14"/>
  <c r="H48" i="14"/>
  <c r="AQ47" i="14"/>
  <c r="AH45" i="14"/>
  <c r="G58" i="14"/>
  <c r="AH46" i="14" s="1"/>
  <c r="AQ49" i="14"/>
  <c r="BH22" i="3"/>
  <c r="BH29" i="3" s="1"/>
  <c r="BH23" i="3"/>
  <c r="H76" i="15"/>
  <c r="H70" i="15"/>
  <c r="BJ8" i="14"/>
  <c r="BI9" i="14"/>
  <c r="AZ48" i="14"/>
  <c r="AZ58" i="14" s="1"/>
  <c r="AY63" i="14"/>
  <c r="BH48" i="14"/>
  <c r="BG63" i="14"/>
  <c r="BG58" i="14"/>
  <c r="BG57" i="14"/>
  <c r="BI9" i="3"/>
  <c r="BJ8" i="3"/>
  <c r="K885" i="2"/>
  <c r="C1067" i="2" s="1"/>
  <c r="C1066" i="2" s="1"/>
  <c r="E53" i="15"/>
  <c r="F26" i="15"/>
  <c r="N128" i="15"/>
  <c r="N132" i="15" s="1"/>
  <c r="N163" i="15" s="1"/>
  <c r="N57" i="15"/>
  <c r="K1275" i="2"/>
  <c r="D1446" i="2" s="1"/>
  <c r="D1445" i="2" s="1"/>
  <c r="D128" i="15"/>
  <c r="D132" i="15" s="1"/>
  <c r="D163" i="15" s="1"/>
  <c r="D57" i="15"/>
  <c r="P26" i="15"/>
  <c r="O53" i="15"/>
  <c r="F252" i="15"/>
  <c r="G251" i="15"/>
  <c r="K526" i="2"/>
  <c r="D689" i="2" s="1"/>
  <c r="D688" i="2" s="1"/>
  <c r="H84" i="15"/>
  <c r="K1335" i="2"/>
  <c r="J1446" i="2" s="1"/>
  <c r="J1445" i="2" s="1"/>
  <c r="K911" i="2"/>
  <c r="F1059" i="2" s="1"/>
  <c r="F1058" i="2" s="1"/>
  <c r="H150" i="15"/>
  <c r="K1280" i="2"/>
  <c r="E1436" i="2" s="1"/>
  <c r="E1435" i="2" s="1"/>
  <c r="K567" i="2"/>
  <c r="H691" i="2" s="1"/>
  <c r="H690" i="2" s="1"/>
  <c r="K561" i="2"/>
  <c r="G699" i="2" s="1"/>
  <c r="G698" i="2" s="1"/>
  <c r="K1317" i="2"/>
  <c r="H1450" i="2" s="1"/>
  <c r="H1449" i="2" s="1"/>
  <c r="K895" i="2"/>
  <c r="D1067" i="2" s="1"/>
  <c r="D1066" i="2" s="1"/>
  <c r="K1283" i="2"/>
  <c r="E1442" i="2" s="1"/>
  <c r="E1441" i="2" s="1"/>
  <c r="K908" i="2"/>
  <c r="E1073" i="2" s="1"/>
  <c r="E1072" i="2" s="1"/>
  <c r="I67" i="15"/>
  <c r="I83" i="15"/>
  <c r="I68" i="15"/>
  <c r="I81" i="15"/>
  <c r="I82" i="15"/>
  <c r="I74" i="15"/>
  <c r="I75" i="15"/>
  <c r="I73" i="15"/>
  <c r="I80" i="15"/>
  <c r="I69" i="15"/>
  <c r="J31" i="15"/>
  <c r="J88" i="15" s="1"/>
  <c r="I89" i="15"/>
  <c r="I78" i="15"/>
  <c r="K593" i="2"/>
  <c r="J703" i="2" s="1"/>
  <c r="J702" i="2" s="1"/>
  <c r="K1331" i="2"/>
  <c r="J1438" i="2" s="1"/>
  <c r="J1437" i="2" s="1"/>
  <c r="K590" i="2"/>
  <c r="J697" i="2" s="1"/>
  <c r="J696" i="2" s="1"/>
  <c r="K584" i="2"/>
  <c r="J685" i="2" s="1"/>
  <c r="J684" i="2" s="1"/>
  <c r="K1327" i="2"/>
  <c r="I1450" i="2" s="1"/>
  <c r="I1449" i="2" s="1"/>
  <c r="K577" i="2"/>
  <c r="I691" i="2" s="1"/>
  <c r="I690" i="2" s="1"/>
  <c r="K1320" i="2"/>
  <c r="I1436" i="2" s="1"/>
  <c r="I1435" i="2" s="1"/>
  <c r="K565" i="2"/>
  <c r="H687" i="2" s="1"/>
  <c r="H686" i="2" s="1"/>
  <c r="S97" i="15"/>
  <c r="T114" i="15"/>
  <c r="T97" i="15" s="1"/>
  <c r="S93" i="15"/>
  <c r="T110" i="15"/>
  <c r="T93" i="15" s="1"/>
  <c r="J114" i="15"/>
  <c r="J97" i="15" s="1"/>
  <c r="I97" i="15"/>
  <c r="K1319" i="2"/>
  <c r="I1434" i="2" s="1"/>
  <c r="I1433" i="2" s="1"/>
  <c r="K524" i="2"/>
  <c r="D685" i="2" s="1"/>
  <c r="D684" i="2" s="1"/>
  <c r="K916" i="2"/>
  <c r="F1069" i="2" s="1"/>
  <c r="F1068" i="2" s="1"/>
  <c r="K1325" i="2"/>
  <c r="I1446" i="2" s="1"/>
  <c r="I1445" i="2" s="1"/>
  <c r="K881" i="2"/>
  <c r="C1059" i="2" s="1"/>
  <c r="C1058" i="2" s="1"/>
  <c r="K591" i="2"/>
  <c r="J699" i="2" s="1"/>
  <c r="J698" i="2" s="1"/>
  <c r="K943" i="2"/>
  <c r="I1063" i="2" s="1"/>
  <c r="I1062" i="2" s="1"/>
  <c r="K533" i="2"/>
  <c r="D703" i="2" s="1"/>
  <c r="D702" i="2" s="1"/>
  <c r="C9" i="13"/>
  <c r="C7" i="13"/>
  <c r="K1301" i="2"/>
  <c r="G1438" i="2" s="1"/>
  <c r="G1437" i="2" s="1"/>
  <c r="K925" i="2"/>
  <c r="G1067" i="2" s="1"/>
  <c r="G1066" i="2" s="1"/>
  <c r="AD13" i="3"/>
  <c r="AD14" i="3" s="1"/>
  <c r="K913" i="2"/>
  <c r="F1063" i="2" s="1"/>
  <c r="F1062" i="2" s="1"/>
  <c r="K1288" i="2"/>
  <c r="E1452" i="2" s="1"/>
  <c r="E1451" i="2" s="1"/>
  <c r="K531" i="2"/>
  <c r="D699" i="2" s="1"/>
  <c r="D698" i="2" s="1"/>
  <c r="K1296" i="2"/>
  <c r="F1448" i="2" s="1"/>
  <c r="F1447" i="2" s="1"/>
  <c r="C1525" i="2"/>
  <c r="C1526" i="2" s="1"/>
  <c r="C1527" i="2" s="1"/>
  <c r="D1569" i="2" s="1"/>
  <c r="K566" i="2"/>
  <c r="H689" i="2" s="1"/>
  <c r="H688" i="2" s="1"/>
  <c r="K536" i="2"/>
  <c r="E689" i="2" s="1"/>
  <c r="E688" i="2" s="1"/>
  <c r="K574" i="2"/>
  <c r="I685" i="2" s="1"/>
  <c r="I684" i="2" s="1"/>
  <c r="K1271" i="2"/>
  <c r="D1438" i="2" s="1"/>
  <c r="D1437" i="2" s="1"/>
  <c r="K902" i="2"/>
  <c r="E1061" i="2" s="1"/>
  <c r="E1060" i="2" s="1"/>
  <c r="K534" i="2"/>
  <c r="E685" i="2" s="1"/>
  <c r="E684" i="2" s="1"/>
  <c r="K568" i="2"/>
  <c r="H693" i="2" s="1"/>
  <c r="H692" i="2" s="1"/>
  <c r="K1326" i="2"/>
  <c r="I1448" i="2" s="1"/>
  <c r="I1447" i="2" s="1"/>
  <c r="K548" i="2"/>
  <c r="F693" i="2" s="1"/>
  <c r="F692" i="2" s="1"/>
  <c r="K545" i="2"/>
  <c r="F687" i="2" s="1"/>
  <c r="K1294" i="2"/>
  <c r="F1444" i="2" s="1"/>
  <c r="F1443" i="2" s="1"/>
  <c r="AY56" i="3"/>
  <c r="AY63" i="3" s="1"/>
  <c r="BJ51" i="3"/>
  <c r="BI58" i="3"/>
  <c r="K959" i="2"/>
  <c r="J1075" i="2" s="1"/>
  <c r="J1074" i="2" s="1"/>
  <c r="K542" i="2"/>
  <c r="E701" i="2" s="1"/>
  <c r="E700" i="2" s="1"/>
  <c r="K903" i="2"/>
  <c r="E1063" i="2" s="1"/>
  <c r="E1062" i="2" s="1"/>
  <c r="K884" i="2"/>
  <c r="C1065" i="2" s="1"/>
  <c r="C1064" i="2" s="1"/>
  <c r="K893" i="2"/>
  <c r="D1063" i="2" s="1"/>
  <c r="D1062" i="2" s="1"/>
  <c r="K921" i="2"/>
  <c r="G1059" i="2" s="1"/>
  <c r="G1058" i="2" s="1"/>
  <c r="K1279" i="2"/>
  <c r="E1434" i="2" s="1"/>
  <c r="E1433" i="2" s="1"/>
  <c r="K935" i="2"/>
  <c r="H1067" i="2" s="1"/>
  <c r="H1066" i="2" s="1"/>
  <c r="K883" i="2"/>
  <c r="C1063" i="2" s="1"/>
  <c r="C1062" i="2" s="1"/>
  <c r="K934" i="2"/>
  <c r="H1065" i="2" s="1"/>
  <c r="H1064" i="2" s="1"/>
  <c r="K1306" i="2"/>
  <c r="G1448" i="2" s="1"/>
  <c r="G1447" i="2" s="1"/>
  <c r="K891" i="2"/>
  <c r="D1059" i="2" s="1"/>
  <c r="D1058" i="2" s="1"/>
  <c r="K572" i="2"/>
  <c r="H701" i="2" s="1"/>
  <c r="H700" i="2" s="1"/>
  <c r="K1338" i="2"/>
  <c r="J1452" i="2" s="1"/>
  <c r="J1451" i="2" s="1"/>
  <c r="K581" i="2"/>
  <c r="I699" i="2" s="1"/>
  <c r="I698" i="2" s="1"/>
  <c r="K528" i="2"/>
  <c r="D693" i="2" s="1"/>
  <c r="D692" i="2" s="1"/>
  <c r="K1293" i="2"/>
  <c r="F1442" i="2" s="1"/>
  <c r="F1441" i="2" s="1"/>
  <c r="K907" i="2"/>
  <c r="E1071" i="2" s="1"/>
  <c r="E1070" i="2" s="1"/>
  <c r="K897" i="2"/>
  <c r="D1071" i="2" s="1"/>
  <c r="D1070" i="2" s="1"/>
  <c r="K957" i="2"/>
  <c r="J1071" i="2" s="1"/>
  <c r="J1070" i="2" s="1"/>
  <c r="K1316" i="2"/>
  <c r="H1448" i="2" s="1"/>
  <c r="H1447" i="2" s="1"/>
  <c r="K912" i="2"/>
  <c r="F1061" i="2" s="1"/>
  <c r="F1060" i="2" s="1"/>
  <c r="K914" i="2"/>
  <c r="F1065" i="2" s="1"/>
  <c r="F1064" i="2" s="1"/>
  <c r="BA46" i="3"/>
  <c r="AZ43" i="3"/>
  <c r="AZ57" i="3" s="1"/>
  <c r="K922" i="2"/>
  <c r="G1061" i="2" s="1"/>
  <c r="G1060" i="2" s="1"/>
  <c r="K1270" i="2"/>
  <c r="D1436" i="2" s="1"/>
  <c r="D1435" i="2" s="1"/>
  <c r="K582" i="2"/>
  <c r="I701" i="2" s="1"/>
  <c r="I700" i="2" s="1"/>
  <c r="K564" i="2"/>
  <c r="H685" i="2" s="1"/>
  <c r="H684" i="2" s="1"/>
  <c r="K904" i="2"/>
  <c r="E1065" i="2" s="1"/>
  <c r="E1064" i="2" s="1"/>
  <c r="K1277" i="2"/>
  <c r="D1450" i="2" s="1"/>
  <c r="D1449" i="2" s="1"/>
  <c r="K932" i="2"/>
  <c r="H1061" i="2" s="1"/>
  <c r="H1060" i="2" s="1"/>
  <c r="K926" i="2"/>
  <c r="G1069" i="2" s="1"/>
  <c r="G1068" i="2" s="1"/>
  <c r="K1315" i="2"/>
  <c r="H1446" i="2" s="1"/>
  <c r="H1445" i="2" s="1"/>
  <c r="K585" i="2"/>
  <c r="J687" i="2" s="1"/>
  <c r="J686" i="2" s="1"/>
  <c r="K887" i="2"/>
  <c r="C1071" i="2" s="1"/>
  <c r="C1070" i="2" s="1"/>
  <c r="Z49" i="3"/>
  <c r="Y58" i="3"/>
  <c r="D21" i="3"/>
  <c r="E45" i="15" s="1"/>
  <c r="M11" i="3"/>
  <c r="AW11" i="3"/>
  <c r="AW21" i="3" s="1"/>
  <c r="AW25" i="3" s="1"/>
  <c r="K1332" i="2"/>
  <c r="J1440" i="2" s="1"/>
  <c r="J1439" i="2" s="1"/>
  <c r="K958" i="2"/>
  <c r="J1073" i="2" s="1"/>
  <c r="J1072" i="2" s="1"/>
  <c r="K1321" i="2"/>
  <c r="I1438" i="2" s="1"/>
  <c r="I1437" i="2" s="1"/>
  <c r="D18" i="13"/>
  <c r="D16" i="13"/>
  <c r="K900" i="2"/>
  <c r="D1077" i="2" s="1"/>
  <c r="D1076" i="2" s="1"/>
  <c r="L11" i="3"/>
  <c r="AV11" i="3"/>
  <c r="AV21" i="3" s="1"/>
  <c r="AV25" i="3" s="1"/>
  <c r="AV27" i="3" s="1"/>
  <c r="AV30" i="3" s="1"/>
  <c r="AV31" i="3" s="1"/>
  <c r="C21" i="3"/>
  <c r="D45" i="15" s="1"/>
  <c r="K920" i="2"/>
  <c r="F1077" i="2" s="1"/>
  <c r="F1076" i="2" s="1"/>
  <c r="K930" i="2"/>
  <c r="G1077" i="2" s="1"/>
  <c r="G1076" i="2" s="1"/>
  <c r="K1297" i="2"/>
  <c r="F1450" i="2" s="1"/>
  <c r="F1449" i="2" s="1"/>
  <c r="K906" i="2"/>
  <c r="E1069" i="2" s="1"/>
  <c r="E1068" i="2" s="1"/>
  <c r="K924" i="2"/>
  <c r="G1065" i="2" s="1"/>
  <c r="G1064" i="2" s="1"/>
  <c r="K569" i="2"/>
  <c r="H695" i="2" s="1"/>
  <c r="H694" i="2" s="1"/>
  <c r="K956" i="2"/>
  <c r="J1069" i="2" s="1"/>
  <c r="J1068" i="2" s="1"/>
  <c r="K940" i="2"/>
  <c r="H1077" i="2" s="1"/>
  <c r="H1076" i="2" s="1"/>
  <c r="K1274" i="2"/>
  <c r="D1444" i="2" s="1"/>
  <c r="D1443" i="2" s="1"/>
  <c r="K521" i="2"/>
  <c r="C699" i="2" s="1"/>
  <c r="C698" i="2" s="1"/>
  <c r="K946" i="2"/>
  <c r="I1069" i="2" s="1"/>
  <c r="I1068" i="2" s="1"/>
  <c r="BA51" i="3"/>
  <c r="AZ58" i="3"/>
  <c r="AC13" i="3"/>
  <c r="AC14" i="3" s="1"/>
  <c r="AW52" i="14"/>
  <c r="K1307" i="2"/>
  <c r="G1450" i="2" s="1"/>
  <c r="G1449" i="2" s="1"/>
  <c r="K1295" i="2"/>
  <c r="F1446" i="2" s="1"/>
  <c r="F1445" i="2" s="1"/>
  <c r="K560" i="2"/>
  <c r="G697" i="2" s="1"/>
  <c r="G696" i="2" s="1"/>
  <c r="K1291" i="2"/>
  <c r="F1438" i="2" s="1"/>
  <c r="F1437" i="2" s="1"/>
  <c r="K1289" i="2"/>
  <c r="F1434" i="2" s="1"/>
  <c r="F1433" i="2" s="1"/>
  <c r="B1525" i="2"/>
  <c r="B1526" i="2" s="1"/>
  <c r="B1527" i="2" s="1"/>
  <c r="C1569" i="2" s="1"/>
  <c r="R49" i="14"/>
  <c r="Q58" i="14"/>
  <c r="K588" i="2"/>
  <c r="J693" i="2" s="1"/>
  <c r="J692" i="2" s="1"/>
  <c r="K898" i="2"/>
  <c r="D1073" i="2" s="1"/>
  <c r="D1072" i="2" s="1"/>
  <c r="K918" i="2"/>
  <c r="F1073" i="2" s="1"/>
  <c r="F1072" i="2" s="1"/>
  <c r="K583" i="2"/>
  <c r="I703" i="2" s="1"/>
  <c r="I702" i="2" s="1"/>
  <c r="K1264" i="2"/>
  <c r="C1444" i="2" s="1"/>
  <c r="C1443" i="2" s="1"/>
  <c r="C55" i="14"/>
  <c r="AV45" i="14"/>
  <c r="AV55" i="14" s="1"/>
  <c r="AV59" i="14" s="1"/>
  <c r="AV61" i="14" s="1"/>
  <c r="AV64" i="14" s="1"/>
  <c r="AV65" i="14" s="1"/>
  <c r="AM44" i="14" s="1"/>
  <c r="L45" i="14"/>
  <c r="K933" i="2"/>
  <c r="H1063" i="2" s="1"/>
  <c r="H1062" i="2" s="1"/>
  <c r="K944" i="2"/>
  <c r="I1065" i="2" s="1"/>
  <c r="I1064" i="2" s="1"/>
  <c r="K522" i="2"/>
  <c r="C701" i="2" s="1"/>
  <c r="C700" i="2" s="1"/>
  <c r="K515" i="2"/>
  <c r="C687" i="2" s="1"/>
  <c r="K1337" i="2"/>
  <c r="J1450" i="2" s="1"/>
  <c r="J1449" i="2" s="1"/>
  <c r="K1287" i="2"/>
  <c r="E1450" i="2" s="1"/>
  <c r="E1449" i="2" s="1"/>
  <c r="K1281" i="2"/>
  <c r="E1438" i="2" s="1"/>
  <c r="E1437" i="2" s="1"/>
  <c r="K1262" i="2"/>
  <c r="C1440" i="2" s="1"/>
  <c r="C1439" i="2" s="1"/>
  <c r="K941" i="2"/>
  <c r="I1059" i="2" s="1"/>
  <c r="I1058" i="2" s="1"/>
  <c r="K535" i="2"/>
  <c r="E687" i="2" s="1"/>
  <c r="K901" i="2"/>
  <c r="E1059" i="2" s="1"/>
  <c r="E1058" i="2" s="1"/>
  <c r="K1313" i="2"/>
  <c r="H1442" i="2" s="1"/>
  <c r="H1441" i="2" s="1"/>
  <c r="K1261" i="2"/>
  <c r="C1438" i="2" s="1"/>
  <c r="C1437" i="2" s="1"/>
  <c r="K523" i="2"/>
  <c r="C703" i="2" s="1"/>
  <c r="C702" i="2" s="1"/>
  <c r="BJ49" i="14"/>
  <c r="Z49" i="14"/>
  <c r="Y58" i="14"/>
  <c r="K939" i="2"/>
  <c r="H1075" i="2" s="1"/>
  <c r="H1074" i="2" s="1"/>
  <c r="K948" i="2"/>
  <c r="I1073" i="2" s="1"/>
  <c r="I1072" i="2" s="1"/>
  <c r="K1273" i="2"/>
  <c r="D1442" i="2" s="1"/>
  <c r="D1441" i="2" s="1"/>
  <c r="AE13" i="3"/>
  <c r="AE14" i="3" s="1"/>
  <c r="K1285" i="2"/>
  <c r="E1446" i="2" s="1"/>
  <c r="E1445" i="2" s="1"/>
  <c r="K518" i="2"/>
  <c r="C693" i="2" s="1"/>
  <c r="C692" i="2" s="1"/>
  <c r="K938" i="2"/>
  <c r="H1073" i="2" s="1"/>
  <c r="H1072" i="2" s="1"/>
  <c r="BA50" i="14"/>
  <c r="K1290" i="2"/>
  <c r="F1436" i="2" s="1"/>
  <c r="F1435" i="2" s="1"/>
  <c r="K549" i="2"/>
  <c r="F695" i="2" s="1"/>
  <c r="F694" i="2" s="1"/>
  <c r="K1292" i="2"/>
  <c r="F1440" i="2" s="1"/>
  <c r="F1439" i="2" s="1"/>
  <c r="K1300" i="2"/>
  <c r="G1436" i="2" s="1"/>
  <c r="G1435" i="2" s="1"/>
  <c r="K892" i="2"/>
  <c r="D1061" i="2" s="1"/>
  <c r="D1060" i="2" s="1"/>
  <c r="K949" i="2"/>
  <c r="I1075" i="2" s="1"/>
  <c r="I1074" i="2" s="1"/>
  <c r="K1309" i="2"/>
  <c r="H1434" i="2" s="1"/>
  <c r="H1433" i="2" s="1"/>
  <c r="K538" i="2"/>
  <c r="E693" i="2" s="1"/>
  <c r="E692" i="2" s="1"/>
  <c r="K1282" i="2"/>
  <c r="E1440" i="2" s="1"/>
  <c r="E1439" i="2" s="1"/>
  <c r="K580" i="2"/>
  <c r="I697" i="2" s="1"/>
  <c r="I696" i="2" s="1"/>
  <c r="K899" i="2"/>
  <c r="D1075" i="2" s="1"/>
  <c r="D1074" i="2" s="1"/>
  <c r="K1304" i="2"/>
  <c r="G1444" i="2" s="1"/>
  <c r="G1443" i="2" s="1"/>
  <c r="K937" i="2"/>
  <c r="H1071" i="2" s="1"/>
  <c r="H1070" i="2" s="1"/>
  <c r="K1330" i="2"/>
  <c r="J1436" i="2" s="1"/>
  <c r="J1435" i="2" s="1"/>
  <c r="K1265" i="2"/>
  <c r="C1446" i="2" s="1"/>
  <c r="C1445" i="2" s="1"/>
  <c r="K514" i="2"/>
  <c r="K527" i="2"/>
  <c r="D691" i="2" s="1"/>
  <c r="D690" i="2" s="1"/>
  <c r="D1508" i="2"/>
  <c r="D1509" i="2" s="1"/>
  <c r="D1510" i="2" s="1"/>
  <c r="E1551" i="2" s="1"/>
  <c r="K954" i="2"/>
  <c r="J1065" i="2" s="1"/>
  <c r="J1064" i="2" s="1"/>
  <c r="K576" i="2"/>
  <c r="I689" i="2" s="1"/>
  <c r="I688" i="2" s="1"/>
  <c r="D1525" i="2"/>
  <c r="D1526" i="2" s="1"/>
  <c r="D1527" i="2" s="1"/>
  <c r="E1569" i="2" s="1"/>
  <c r="AW45" i="3"/>
  <c r="AW55" i="3" s="1"/>
  <c r="D55" i="3"/>
  <c r="O45" i="15" s="1"/>
  <c r="M45" i="3"/>
  <c r="L11" i="14"/>
  <c r="C21" i="14"/>
  <c r="AV11" i="14"/>
  <c r="AV21" i="14" s="1"/>
  <c r="AV25" i="14" s="1"/>
  <c r="AV27" i="14" s="1"/>
  <c r="AV30" i="14" s="1"/>
  <c r="AV31" i="14" s="1"/>
  <c r="AM10" i="14" s="1"/>
  <c r="C1508" i="2"/>
  <c r="C1509" i="2" s="1"/>
  <c r="C1510" i="2" s="1"/>
  <c r="D1551" i="2" s="1"/>
  <c r="K1298" i="2"/>
  <c r="F1452" i="2" s="1"/>
  <c r="F1451" i="2" s="1"/>
  <c r="K1308" i="2"/>
  <c r="G1452" i="2" s="1"/>
  <c r="G1451" i="2" s="1"/>
  <c r="K1284" i="2"/>
  <c r="E1444" i="2" s="1"/>
  <c r="E1443" i="2" s="1"/>
  <c r="K556" i="2"/>
  <c r="G689" i="2" s="1"/>
  <c r="G688" i="2" s="1"/>
  <c r="K1302" i="2"/>
  <c r="G1440" i="2" s="1"/>
  <c r="G1439" i="2" s="1"/>
  <c r="K11" i="3"/>
  <c r="AU11" i="3"/>
  <c r="AU21" i="3" s="1"/>
  <c r="AU25" i="3" s="1"/>
  <c r="AU27" i="3" s="1"/>
  <c r="AU30" i="3" s="1"/>
  <c r="B21" i="3"/>
  <c r="K1314" i="2"/>
  <c r="H1444" i="2" s="1"/>
  <c r="H1443" i="2" s="1"/>
  <c r="K1334" i="2"/>
  <c r="J1444" i="2" s="1"/>
  <c r="J1443" i="2" s="1"/>
  <c r="K558" i="2"/>
  <c r="G693" i="2" s="1"/>
  <c r="G692" i="2" s="1"/>
  <c r="K578" i="2"/>
  <c r="I693" i="2" s="1"/>
  <c r="I692" i="2" s="1"/>
  <c r="K896" i="2"/>
  <c r="D1069" i="2" s="1"/>
  <c r="D1068" i="2" s="1"/>
  <c r="K888" i="2"/>
  <c r="C1073" i="2" s="1"/>
  <c r="C1072" i="2" s="1"/>
  <c r="AY57" i="3"/>
  <c r="H58" i="3"/>
  <c r="AI46" i="3" s="1"/>
  <c r="AI45" i="3"/>
  <c r="I51" i="3"/>
  <c r="AR47" i="3"/>
  <c r="K586" i="2"/>
  <c r="J689" i="2" s="1"/>
  <c r="J688" i="2" s="1"/>
  <c r="K929" i="2"/>
  <c r="G1075" i="2" s="1"/>
  <c r="G1074" i="2" s="1"/>
  <c r="K541" i="2"/>
  <c r="E699" i="2" s="1"/>
  <c r="E698" i="2" s="1"/>
  <c r="K951" i="2"/>
  <c r="J1059" i="2" s="1"/>
  <c r="J1058" i="2" s="1"/>
  <c r="K927" i="2"/>
  <c r="G1071" i="2" s="1"/>
  <c r="G1070" i="2" s="1"/>
  <c r="D16" i="10"/>
  <c r="H15" i="10"/>
  <c r="J15" i="10" s="1"/>
  <c r="K543" i="2"/>
  <c r="E703" i="2" s="1"/>
  <c r="E702" i="2" s="1"/>
  <c r="K45" i="3"/>
  <c r="AU45" i="3"/>
  <c r="B55" i="3"/>
  <c r="M45" i="15" s="1"/>
  <c r="K1333" i="2"/>
  <c r="J1442" i="2" s="1"/>
  <c r="J1441" i="2" s="1"/>
  <c r="K551" i="2"/>
  <c r="F699" i="2" s="1"/>
  <c r="F698" i="2" s="1"/>
  <c r="K575" i="2"/>
  <c r="I687" i="2" s="1"/>
  <c r="I686" i="2" s="1"/>
  <c r="K950" i="2"/>
  <c r="I1077" i="2" s="1"/>
  <c r="I1076" i="2" s="1"/>
  <c r="K886" i="2"/>
  <c r="C1069" i="2" s="1"/>
  <c r="C1068" i="2" s="1"/>
  <c r="L45" i="3"/>
  <c r="C55" i="3"/>
  <c r="N45" i="15" s="1"/>
  <c r="AV45" i="3"/>
  <c r="AV55" i="3" s="1"/>
  <c r="K889" i="2"/>
  <c r="C1075" i="2" s="1"/>
  <c r="C1074" i="2" s="1"/>
  <c r="K882" i="2"/>
  <c r="C1061" i="2" s="1"/>
  <c r="C1060" i="2" s="1"/>
  <c r="R49" i="3"/>
  <c r="Q58" i="3"/>
  <c r="K909" i="2"/>
  <c r="E1075" i="2" s="1"/>
  <c r="E1074" i="2" s="1"/>
  <c r="K931" i="2"/>
  <c r="H1059" i="2" s="1"/>
  <c r="H1058" i="2" s="1"/>
  <c r="K952" i="2"/>
  <c r="J1061" i="2" s="1"/>
  <c r="J1060" i="2" s="1"/>
  <c r="K894" i="2"/>
  <c r="D1065" i="2" s="1"/>
  <c r="D1064" i="2" s="1"/>
  <c r="AW11" i="14"/>
  <c r="AW21" i="14" s="1"/>
  <c r="AW25" i="14" s="1"/>
  <c r="D21" i="14"/>
  <c r="M11" i="14"/>
  <c r="K919" i="2"/>
  <c r="F1075" i="2" s="1"/>
  <c r="F1074" i="2" s="1"/>
  <c r="B1508" i="2"/>
  <c r="B1509" i="2" s="1"/>
  <c r="B1510" i="2" s="1"/>
  <c r="C1551" i="2" s="1"/>
  <c r="B21" i="14"/>
  <c r="AL14" i="14" s="1"/>
  <c r="AU11" i="14"/>
  <c r="AU21" i="14" s="1"/>
  <c r="AU25" i="14" s="1"/>
  <c r="AU27" i="14" s="1"/>
  <c r="AU30" i="14" s="1"/>
  <c r="K11" i="14"/>
  <c r="K936" i="2"/>
  <c r="H1069" i="2" s="1"/>
  <c r="H1068" i="2" s="1"/>
  <c r="K1323" i="2"/>
  <c r="I1442" i="2" s="1"/>
  <c r="I1441" i="2" s="1"/>
  <c r="K573" i="2"/>
  <c r="H703" i="2" s="1"/>
  <c r="H702" i="2" s="1"/>
  <c r="K1266" i="2"/>
  <c r="C1448" i="2" s="1"/>
  <c r="C1447" i="2" s="1"/>
  <c r="K1324" i="2"/>
  <c r="I1444" i="2" s="1"/>
  <c r="I1443" i="2" s="1"/>
  <c r="K917" i="2"/>
  <c r="F1071" i="2" s="1"/>
  <c r="F1070" i="2" s="1"/>
  <c r="K1305" i="2"/>
  <c r="G1446" i="2" s="1"/>
  <c r="G1445" i="2" s="1"/>
  <c r="B13" i="13"/>
  <c r="AC47" i="3"/>
  <c r="AC48" i="3" s="1"/>
  <c r="K955" i="2"/>
  <c r="J1067" i="2" s="1"/>
  <c r="J1066" i="2" s="1"/>
  <c r="K1267" i="2"/>
  <c r="C1450" i="2" s="1"/>
  <c r="C1449" i="2" s="1"/>
  <c r="K1260" i="2"/>
  <c r="C1436" i="2" s="1"/>
  <c r="C1435" i="2" s="1"/>
  <c r="K592" i="2"/>
  <c r="J701" i="2" s="1"/>
  <c r="J700" i="2" s="1"/>
  <c r="K517" i="2"/>
  <c r="C691" i="2" s="1"/>
  <c r="C690" i="2" s="1"/>
  <c r="K554" i="2"/>
  <c r="G685" i="2" s="1"/>
  <c r="G684" i="2" s="1"/>
  <c r="K516" i="2"/>
  <c r="C689" i="2" s="1"/>
  <c r="C688" i="2" s="1"/>
  <c r="K1312" i="2"/>
  <c r="H1440" i="2" s="1"/>
  <c r="H1439" i="2" s="1"/>
  <c r="K890" i="2"/>
  <c r="C1077" i="2" s="1"/>
  <c r="C1076" i="2" s="1"/>
  <c r="K928" i="2"/>
  <c r="G1073" i="2" s="1"/>
  <c r="G1072" i="2" s="1"/>
  <c r="K1269" i="2"/>
  <c r="D1434" i="2" s="1"/>
  <c r="D1433" i="2" s="1"/>
  <c r="K960" i="2"/>
  <c r="J1077" i="2" s="1"/>
  <c r="J1076" i="2" s="1"/>
  <c r="K540" i="2"/>
  <c r="E697" i="2" s="1"/>
  <c r="E696" i="2" s="1"/>
  <c r="K1263" i="2"/>
  <c r="C1442" i="2" s="1"/>
  <c r="C1441" i="2" s="1"/>
  <c r="K571" i="2"/>
  <c r="H699" i="2" s="1"/>
  <c r="H698" i="2" s="1"/>
  <c r="K547" i="2"/>
  <c r="F691" i="2" s="1"/>
  <c r="F690" i="2" s="1"/>
  <c r="K555" i="2"/>
  <c r="G687" i="2" s="1"/>
  <c r="G686" i="2" s="1"/>
  <c r="K525" i="2"/>
  <c r="D687" i="2" s="1"/>
  <c r="K905" i="2"/>
  <c r="E1067" i="2" s="1"/>
  <c r="E1066" i="2" s="1"/>
  <c r="K537" i="2"/>
  <c r="E691" i="2" s="1"/>
  <c r="E690" i="2" s="1"/>
  <c r="K947" i="2"/>
  <c r="I1071" i="2" s="1"/>
  <c r="I1070" i="2" s="1"/>
  <c r="K532" i="2"/>
  <c r="D701" i="2" s="1"/>
  <c r="D700" i="2" s="1"/>
  <c r="K1310" i="2"/>
  <c r="H1436" i="2" s="1"/>
  <c r="H1435" i="2" s="1"/>
  <c r="K559" i="2"/>
  <c r="G695" i="2" s="1"/>
  <c r="G694" i="2" s="1"/>
  <c r="K570" i="2"/>
  <c r="H697" i="2" s="1"/>
  <c r="H696" i="2" s="1"/>
  <c r="K520" i="2"/>
  <c r="C697" i="2" s="1"/>
  <c r="C696" i="2" s="1"/>
  <c r="K1259" i="2"/>
  <c r="C1434" i="2" s="1"/>
  <c r="C1433" i="2" s="1"/>
  <c r="K1272" i="2"/>
  <c r="D1440" i="2" s="1"/>
  <c r="D1439" i="2" s="1"/>
  <c r="D9" i="13"/>
  <c r="D7" i="13"/>
  <c r="K587" i="2"/>
  <c r="J691" i="2" s="1"/>
  <c r="J690" i="2" s="1"/>
  <c r="K1336" i="2"/>
  <c r="J1448" i="2" s="1"/>
  <c r="J1447" i="2" s="1"/>
  <c r="AW45" i="14"/>
  <c r="AW55" i="14" s="1"/>
  <c r="D55" i="14"/>
  <c r="M45" i="14"/>
  <c r="K1278" i="2"/>
  <c r="D1452" i="2" s="1"/>
  <c r="D1451" i="2" s="1"/>
  <c r="K553" i="2"/>
  <c r="F703" i="2" s="1"/>
  <c r="F702" i="2" s="1"/>
  <c r="K563" i="2"/>
  <c r="G703" i="2" s="1"/>
  <c r="G702" i="2" s="1"/>
  <c r="K552" i="2"/>
  <c r="F701" i="2" s="1"/>
  <c r="F700" i="2" s="1"/>
  <c r="K539" i="2"/>
  <c r="E695" i="2" s="1"/>
  <c r="E694" i="2" s="1"/>
  <c r="K923" i="2"/>
  <c r="G1063" i="2" s="1"/>
  <c r="G1062" i="2" s="1"/>
  <c r="K557" i="2"/>
  <c r="G691" i="2" s="1"/>
  <c r="G690" i="2" s="1"/>
  <c r="B9" i="13"/>
  <c r="B7" i="13"/>
  <c r="K589" i="2"/>
  <c r="J695" i="2" s="1"/>
  <c r="J694" i="2" s="1"/>
  <c r="K1303" i="2"/>
  <c r="G1442" i="2" s="1"/>
  <c r="G1441" i="2" s="1"/>
  <c r="K945" i="2"/>
  <c r="I1067" i="2" s="1"/>
  <c r="I1066" i="2" s="1"/>
  <c r="K1318" i="2"/>
  <c r="H1452" i="2" s="1"/>
  <c r="H1451" i="2" s="1"/>
  <c r="K529" i="2"/>
  <c r="D695" i="2" s="1"/>
  <c r="D694" i="2" s="1"/>
  <c r="K579" i="2"/>
  <c r="I695" i="2" s="1"/>
  <c r="I694" i="2" s="1"/>
  <c r="I48" i="3"/>
  <c r="K953" i="2"/>
  <c r="J1063" i="2" s="1"/>
  <c r="J1062" i="2" s="1"/>
  <c r="K562" i="2"/>
  <c r="G701" i="2" s="1"/>
  <c r="G700" i="2" s="1"/>
  <c r="K1286" i="2"/>
  <c r="E1448" i="2" s="1"/>
  <c r="E1447" i="2" s="1"/>
  <c r="K1329" i="2"/>
  <c r="J1434" i="2" s="1"/>
  <c r="J1433" i="2" s="1"/>
  <c r="K550" i="2"/>
  <c r="F697" i="2" s="1"/>
  <c r="F696" i="2" s="1"/>
  <c r="K546" i="2"/>
  <c r="F689" i="2" s="1"/>
  <c r="F688" i="2" s="1"/>
  <c r="K544" i="2"/>
  <c r="F685" i="2" s="1"/>
  <c r="F684" i="2" s="1"/>
  <c r="K910" i="2"/>
  <c r="E1077" i="2" s="1"/>
  <c r="E1076" i="2" s="1"/>
  <c r="AU45" i="14"/>
  <c r="B55" i="14"/>
  <c r="K45" i="14"/>
  <c r="K1276" i="2"/>
  <c r="D1448" i="2" s="1"/>
  <c r="D1447" i="2" s="1"/>
  <c r="K942" i="2"/>
  <c r="I1061" i="2" s="1"/>
  <c r="I1060" i="2" s="1"/>
  <c r="K1328" i="2"/>
  <c r="I1452" i="2" s="1"/>
  <c r="I1451" i="2" s="1"/>
  <c r="K519" i="2"/>
  <c r="C695" i="2" s="1"/>
  <c r="C694" i="2" s="1"/>
  <c r="C18" i="13"/>
  <c r="C16" i="13"/>
  <c r="K1311" i="2"/>
  <c r="H1438" i="2" s="1"/>
  <c r="H1437" i="2" s="1"/>
  <c r="K1322" i="2"/>
  <c r="I1440" i="2" s="1"/>
  <c r="I1439" i="2" s="1"/>
  <c r="R129" i="15"/>
  <c r="I129" i="15"/>
  <c r="T55" i="15"/>
  <c r="S56" i="15"/>
  <c r="T29" i="15"/>
  <c r="J56" i="15"/>
  <c r="S54" i="15"/>
  <c r="T27" i="15"/>
  <c r="S94" i="15"/>
  <c r="T111" i="15"/>
  <c r="T94" i="15" s="1"/>
  <c r="S130" i="15"/>
  <c r="S98" i="15"/>
  <c r="T115" i="15"/>
  <c r="T98" i="15" s="1"/>
  <c r="J130" i="15"/>
  <c r="S96" i="15"/>
  <c r="T113" i="15"/>
  <c r="T96" i="15" s="1"/>
  <c r="R131" i="15"/>
  <c r="T25" i="15"/>
  <c r="S52" i="15"/>
  <c r="J25" i="15"/>
  <c r="I52" i="15"/>
  <c r="I124" i="15"/>
  <c r="I131" i="15"/>
  <c r="L211" i="15" l="1"/>
  <c r="L210" i="15" s="1"/>
  <c r="L215" i="15" s="1"/>
  <c r="L216" i="15" s="1"/>
  <c r="D686" i="2"/>
  <c r="D704" i="2" s="1"/>
  <c r="C686" i="2"/>
  <c r="F686" i="2"/>
  <c r="F704" i="2" s="1"/>
  <c r="E686" i="2"/>
  <c r="E704" i="2" s="1"/>
  <c r="AW28" i="16"/>
  <c r="AW31" i="16" s="1"/>
  <c r="AW32" i="16" s="1"/>
  <c r="AN10" i="16" s="1"/>
  <c r="L52" i="14"/>
  <c r="M52" i="14" s="1"/>
  <c r="N52" i="14" s="1"/>
  <c r="O52" i="14" s="1"/>
  <c r="P52" i="14" s="1"/>
  <c r="Q52" i="14" s="1"/>
  <c r="R52" i="14" s="1"/>
  <c r="E52" i="14"/>
  <c r="F52" i="14" s="1"/>
  <c r="B213" i="15"/>
  <c r="B212" i="15"/>
  <c r="J54" i="15"/>
  <c r="J129" i="15" s="1"/>
  <c r="BD52" i="14"/>
  <c r="BE52" i="14" s="1"/>
  <c r="BF52" i="14" s="1"/>
  <c r="C685" i="2"/>
  <c r="C684" i="2" s="1"/>
  <c r="AZ57" i="14"/>
  <c r="C708" i="2"/>
  <c r="C707" i="2" s="1"/>
  <c r="C725" i="2" s="1"/>
  <c r="B1528" i="2" s="1"/>
  <c r="Q150" i="15"/>
  <c r="R124" i="15"/>
  <c r="Q90" i="15"/>
  <c r="AG51" i="16"/>
  <c r="AW28" i="17"/>
  <c r="AW31" i="17" s="1"/>
  <c r="AW32" i="17" s="1"/>
  <c r="AN10" i="17" s="1"/>
  <c r="H47" i="17"/>
  <c r="AQ51" i="17"/>
  <c r="Q70" i="15"/>
  <c r="R68" i="15"/>
  <c r="R75" i="15"/>
  <c r="R83" i="15"/>
  <c r="R82" i="15"/>
  <c r="R80" i="15"/>
  <c r="S23" i="15"/>
  <c r="S87" i="15" s="1"/>
  <c r="R89" i="15"/>
  <c r="R81" i="15"/>
  <c r="R74" i="15"/>
  <c r="R69" i="15"/>
  <c r="R67" i="15"/>
  <c r="R73" i="15"/>
  <c r="R87" i="15"/>
  <c r="H47" i="16"/>
  <c r="AQ51" i="16"/>
  <c r="Q84" i="15"/>
  <c r="AZ47" i="17"/>
  <c r="AY65" i="17"/>
  <c r="AZ47" i="16"/>
  <c r="AY65" i="16"/>
  <c r="BH47" i="16"/>
  <c r="BG65" i="16"/>
  <c r="Q76" i="15"/>
  <c r="BH47" i="17"/>
  <c r="BG65" i="17"/>
  <c r="AZ53" i="16"/>
  <c r="AY60" i="16"/>
  <c r="AY59" i="16"/>
  <c r="AZ53" i="17"/>
  <c r="AY59" i="17"/>
  <c r="AY60" i="17"/>
  <c r="X53" i="16"/>
  <c r="W60" i="16"/>
  <c r="BH53" i="17"/>
  <c r="BG60" i="17"/>
  <c r="BG59" i="17"/>
  <c r="H53" i="16"/>
  <c r="G60" i="16"/>
  <c r="AH47" i="16" s="1"/>
  <c r="AQ48" i="16"/>
  <c r="AH46" i="16"/>
  <c r="P53" i="17"/>
  <c r="O60" i="17"/>
  <c r="P53" i="16"/>
  <c r="O60" i="16"/>
  <c r="X53" i="17"/>
  <c r="W60" i="17"/>
  <c r="BH53" i="16"/>
  <c r="BG60" i="16"/>
  <c r="BG59" i="16"/>
  <c r="H53" i="17"/>
  <c r="G60" i="17"/>
  <c r="AH47" i="17" s="1"/>
  <c r="AH46" i="17"/>
  <c r="AQ48" i="17"/>
  <c r="AX23" i="16"/>
  <c r="AX30" i="16" s="1"/>
  <c r="AX24" i="16"/>
  <c r="AZ8" i="16"/>
  <c r="AY9" i="16"/>
  <c r="BH23" i="17"/>
  <c r="BH30" i="17" s="1"/>
  <c r="BH24" i="17"/>
  <c r="BJ8" i="17"/>
  <c r="BI9" i="17"/>
  <c r="AZ8" i="17"/>
  <c r="AY9" i="17"/>
  <c r="BJ8" i="16"/>
  <c r="BI9" i="16"/>
  <c r="AX23" i="17"/>
  <c r="AX30" i="17" s="1"/>
  <c r="AX24" i="17"/>
  <c r="BH23" i="16"/>
  <c r="BH30" i="16" s="1"/>
  <c r="BH24" i="16"/>
  <c r="AL49" i="17"/>
  <c r="AL54" i="17" s="1"/>
  <c r="AL49" i="16"/>
  <c r="AL54" i="16" s="1"/>
  <c r="K22" i="17"/>
  <c r="T11" i="17"/>
  <c r="T22" i="17" s="1"/>
  <c r="BD11" i="17"/>
  <c r="BD22" i="17" s="1"/>
  <c r="BD26" i="17" s="1"/>
  <c r="BD28" i="17" s="1"/>
  <c r="BD31" i="17" s="1"/>
  <c r="BD32" i="17" s="1"/>
  <c r="AD48" i="17"/>
  <c r="D54" i="17"/>
  <c r="K57" i="17"/>
  <c r="BD57" i="17" s="1"/>
  <c r="BD46" i="17"/>
  <c r="T46" i="17"/>
  <c r="T57" i="17" s="1"/>
  <c r="M22" i="17"/>
  <c r="BF11" i="17"/>
  <c r="BF22" i="17" s="1"/>
  <c r="BF26" i="17" s="1"/>
  <c r="BF28" i="17" s="1"/>
  <c r="BF31" i="17" s="1"/>
  <c r="BF32" i="17" s="1"/>
  <c r="V11" i="17"/>
  <c r="V22" i="17" s="1"/>
  <c r="AL19" i="17"/>
  <c r="L54" i="17"/>
  <c r="M54" i="17" s="1"/>
  <c r="N54" i="17" s="1"/>
  <c r="O54" i="17" s="1"/>
  <c r="P54" i="17" s="1"/>
  <c r="Q54" i="17" s="1"/>
  <c r="R54" i="17" s="1"/>
  <c r="BD54" i="17"/>
  <c r="T54" i="17"/>
  <c r="U54" i="17" s="1"/>
  <c r="V54" i="17" s="1"/>
  <c r="W54" i="17" s="1"/>
  <c r="X54" i="17" s="1"/>
  <c r="Y54" i="17" s="1"/>
  <c r="Z54" i="17" s="1"/>
  <c r="AA54" i="17" s="1"/>
  <c r="BD54" i="16"/>
  <c r="T54" i="16"/>
  <c r="U54" i="16" s="1"/>
  <c r="V54" i="16" s="1"/>
  <c r="W54" i="16" s="1"/>
  <c r="X54" i="16" s="1"/>
  <c r="Y54" i="16" s="1"/>
  <c r="Z54" i="16" s="1"/>
  <c r="AA54" i="16" s="1"/>
  <c r="L54" i="16"/>
  <c r="M54" i="16" s="1"/>
  <c r="N54" i="16" s="1"/>
  <c r="O54" i="16" s="1"/>
  <c r="P54" i="16" s="1"/>
  <c r="Q54" i="16" s="1"/>
  <c r="R54" i="16" s="1"/>
  <c r="AD9" i="14"/>
  <c r="AD14" i="14" s="1"/>
  <c r="AD9" i="17"/>
  <c r="AD9" i="16"/>
  <c r="AV54" i="16"/>
  <c r="AU61" i="16"/>
  <c r="AU63" i="16" s="1"/>
  <c r="AU66" i="16" s="1"/>
  <c r="U11" i="17"/>
  <c r="U22" i="17" s="1"/>
  <c r="L22" i="17"/>
  <c r="BE11" i="17"/>
  <c r="BE22" i="17" s="1"/>
  <c r="BE26" i="17" s="1"/>
  <c r="BE28" i="17" s="1"/>
  <c r="BE31" i="17" s="1"/>
  <c r="BE32" i="17" s="1"/>
  <c r="AU32" i="16"/>
  <c r="BE46" i="17"/>
  <c r="BE57" i="17" s="1"/>
  <c r="L57" i="17"/>
  <c r="U46" i="17"/>
  <c r="U57" i="17" s="1"/>
  <c r="AE43" i="14"/>
  <c r="AE48" i="14" s="1"/>
  <c r="AE44" i="17"/>
  <c r="AE44" i="16"/>
  <c r="AD47" i="14"/>
  <c r="V46" i="17"/>
  <c r="V57" i="17" s="1"/>
  <c r="BF46" i="17"/>
  <c r="BF57" i="17" s="1"/>
  <c r="M57" i="17"/>
  <c r="U11" i="16"/>
  <c r="U22" i="16" s="1"/>
  <c r="L22" i="16"/>
  <c r="BE11" i="16"/>
  <c r="BE22" i="16" s="1"/>
  <c r="BE26" i="16" s="1"/>
  <c r="BE28" i="16" s="1"/>
  <c r="BE31" i="16" s="1"/>
  <c r="BE32" i="16" s="1"/>
  <c r="AV54" i="17"/>
  <c r="AU61" i="17"/>
  <c r="AU63" i="17" s="1"/>
  <c r="AU66" i="17" s="1"/>
  <c r="K22" i="16"/>
  <c r="BD11" i="16"/>
  <c r="BD22" i="16" s="1"/>
  <c r="BD26" i="16" s="1"/>
  <c r="BD28" i="16" s="1"/>
  <c r="BD31" i="16" s="1"/>
  <c r="BD32" i="16" s="1"/>
  <c r="T11" i="16"/>
  <c r="T22" i="16" s="1"/>
  <c r="AE9" i="14"/>
  <c r="AE14" i="14" s="1"/>
  <c r="AE9" i="17"/>
  <c r="AE9" i="16"/>
  <c r="AL19" i="16"/>
  <c r="V11" i="16"/>
  <c r="V22" i="16" s="1"/>
  <c r="M22" i="16"/>
  <c r="BF11" i="16"/>
  <c r="BF22" i="16" s="1"/>
  <c r="BF26" i="16" s="1"/>
  <c r="BF28" i="16" s="1"/>
  <c r="BF31" i="16" s="1"/>
  <c r="BF32" i="16" s="1"/>
  <c r="M57" i="16"/>
  <c r="BF46" i="16"/>
  <c r="BF57" i="16" s="1"/>
  <c r="V46" i="16"/>
  <c r="V57" i="16" s="1"/>
  <c r="AD43" i="14"/>
  <c r="AD44" i="17"/>
  <c r="AD44" i="16"/>
  <c r="AC9" i="14"/>
  <c r="AC14" i="14" s="1"/>
  <c r="AC9" i="17"/>
  <c r="AC9" i="16"/>
  <c r="BE46" i="16"/>
  <c r="BE57" i="16" s="1"/>
  <c r="L57" i="16"/>
  <c r="U46" i="16"/>
  <c r="U57" i="16" s="1"/>
  <c r="AU32" i="17"/>
  <c r="D54" i="16"/>
  <c r="AD48" i="16"/>
  <c r="K57" i="16"/>
  <c r="BD57" i="16" s="1"/>
  <c r="BD46" i="16"/>
  <c r="T46" i="16"/>
  <c r="T57" i="16" s="1"/>
  <c r="BH46" i="3"/>
  <c r="BG43" i="3"/>
  <c r="BF56" i="3"/>
  <c r="BF63" i="3" s="1"/>
  <c r="BF57" i="3"/>
  <c r="E52" i="3"/>
  <c r="F52" i="3" s="1"/>
  <c r="H46" i="3"/>
  <c r="AQ49" i="3"/>
  <c r="S43" i="15"/>
  <c r="R78" i="15"/>
  <c r="AD47" i="3"/>
  <c r="AD48" i="3" s="1"/>
  <c r="BD52" i="3"/>
  <c r="BE52" i="3" s="1"/>
  <c r="BF52" i="3" s="1"/>
  <c r="T52" i="3"/>
  <c r="U52" i="3" s="1"/>
  <c r="V52" i="3" s="1"/>
  <c r="W52" i="3" s="1"/>
  <c r="X52" i="3" s="1"/>
  <c r="Y52" i="3" s="1"/>
  <c r="Z52" i="3" s="1"/>
  <c r="AA52" i="3" s="1"/>
  <c r="L52" i="3"/>
  <c r="M52" i="3" s="1"/>
  <c r="N52" i="3" s="1"/>
  <c r="O52" i="3" s="1"/>
  <c r="P52" i="3" s="1"/>
  <c r="Q52" i="3" s="1"/>
  <c r="R52" i="3" s="1"/>
  <c r="AV59" i="3"/>
  <c r="AV61" i="3" s="1"/>
  <c r="AV64" i="3" s="1"/>
  <c r="AV65" i="3" s="1"/>
  <c r="AM44" i="3" s="1"/>
  <c r="AW27" i="3"/>
  <c r="AW30" i="3" s="1"/>
  <c r="AW31" i="3" s="1"/>
  <c r="AZ8" i="3"/>
  <c r="AY9" i="3"/>
  <c r="AX22" i="14"/>
  <c r="AX29" i="14" s="1"/>
  <c r="AX23" i="14"/>
  <c r="AX23" i="3"/>
  <c r="AX22" i="3"/>
  <c r="AX29" i="3" s="1"/>
  <c r="AZ8" i="14"/>
  <c r="AY9" i="14"/>
  <c r="AW27" i="14"/>
  <c r="AW30" i="14" s="1"/>
  <c r="AW31" i="14" s="1"/>
  <c r="AN10" i="14" s="1"/>
  <c r="I150" i="15"/>
  <c r="J1099" i="2"/>
  <c r="I1530" i="2" s="1"/>
  <c r="I1099" i="2"/>
  <c r="H1530" i="2" s="1"/>
  <c r="C1099" i="2"/>
  <c r="B1530" i="2" s="1"/>
  <c r="C1474" i="2"/>
  <c r="B1532" i="2" s="1"/>
  <c r="E1099" i="2"/>
  <c r="D1530" i="2" s="1"/>
  <c r="G725" i="2"/>
  <c r="F1528" i="2" s="1"/>
  <c r="H1474" i="2"/>
  <c r="G1532" i="2" s="1"/>
  <c r="H1099" i="2"/>
  <c r="G1530" i="2" s="1"/>
  <c r="G1099" i="2"/>
  <c r="F1530" i="2" s="1"/>
  <c r="I1474" i="2"/>
  <c r="H1532" i="2" s="1"/>
  <c r="F1474" i="2"/>
  <c r="E1532" i="2" s="1"/>
  <c r="E725" i="2"/>
  <c r="D1528" i="2" s="1"/>
  <c r="F725" i="2"/>
  <c r="E1528" i="2" s="1"/>
  <c r="J1474" i="2"/>
  <c r="I1532" i="2" s="1"/>
  <c r="I725" i="2"/>
  <c r="H1528" i="2" s="1"/>
  <c r="D1474" i="2"/>
  <c r="C1532" i="2" s="1"/>
  <c r="E1474" i="2"/>
  <c r="D1532" i="2" s="1"/>
  <c r="D1099" i="2"/>
  <c r="C1530" i="2" s="1"/>
  <c r="F1099" i="2"/>
  <c r="E1530" i="2" s="1"/>
  <c r="H725" i="2"/>
  <c r="G1528" i="2" s="1"/>
  <c r="D725" i="2"/>
  <c r="C1528" i="2" s="1"/>
  <c r="J725" i="2"/>
  <c r="I1528" i="2" s="1"/>
  <c r="G1474" i="2"/>
  <c r="F1532" i="2" s="1"/>
  <c r="I90" i="15"/>
  <c r="I76" i="15"/>
  <c r="I84" i="15"/>
  <c r="Q26" i="15"/>
  <c r="P53" i="15"/>
  <c r="BA48" i="14"/>
  <c r="BA58" i="14" s="1"/>
  <c r="AZ63" i="14"/>
  <c r="H251" i="15"/>
  <c r="G252" i="15"/>
  <c r="BI23" i="14"/>
  <c r="BI22" i="14"/>
  <c r="BI29" i="14" s="1"/>
  <c r="I70" i="15"/>
  <c r="G26" i="15"/>
  <c r="F53" i="15"/>
  <c r="BK8" i="3"/>
  <c r="BK9" i="3" s="1"/>
  <c r="BJ9" i="3"/>
  <c r="BJ9" i="14"/>
  <c r="BK8" i="14"/>
  <c r="BK9" i="14" s="1"/>
  <c r="R251" i="15"/>
  <c r="Q252" i="15"/>
  <c r="O57" i="15"/>
  <c r="O128" i="15"/>
  <c r="O132" i="15" s="1"/>
  <c r="O163" i="15" s="1"/>
  <c r="E57" i="15"/>
  <c r="E128" i="15"/>
  <c r="E132" i="15" s="1"/>
  <c r="E163" i="15" s="1"/>
  <c r="BI22" i="3"/>
  <c r="BI29" i="3" s="1"/>
  <c r="BI23" i="3"/>
  <c r="BI48" i="14"/>
  <c r="BH63" i="14"/>
  <c r="BH57" i="14"/>
  <c r="BH58" i="14"/>
  <c r="I48" i="14"/>
  <c r="AR47" i="14"/>
  <c r="H58" i="14"/>
  <c r="AI46" i="14" s="1"/>
  <c r="AI45" i="14"/>
  <c r="AR49" i="14"/>
  <c r="D48" i="15"/>
  <c r="D49" i="15"/>
  <c r="D47" i="15"/>
  <c r="J87" i="15"/>
  <c r="O47" i="15"/>
  <c r="O49" i="15"/>
  <c r="O48" i="15"/>
  <c r="F1078" i="2"/>
  <c r="E1513" i="2" s="1"/>
  <c r="AL14" i="3"/>
  <c r="AL18" i="3" s="1"/>
  <c r="C45" i="15"/>
  <c r="G1453" i="2"/>
  <c r="F1515" i="2" s="1"/>
  <c r="E1078" i="2"/>
  <c r="D1513" i="2" s="1"/>
  <c r="E49" i="15"/>
  <c r="E47" i="15"/>
  <c r="E48" i="15"/>
  <c r="J67" i="15"/>
  <c r="J81" i="15"/>
  <c r="J83" i="15"/>
  <c r="J68" i="15"/>
  <c r="J73" i="15"/>
  <c r="J89" i="15"/>
  <c r="J75" i="15"/>
  <c r="J80" i="15"/>
  <c r="J74" i="15"/>
  <c r="J69" i="15"/>
  <c r="J82" i="15"/>
  <c r="J78" i="15"/>
  <c r="N48" i="15"/>
  <c r="N47" i="15"/>
  <c r="N49" i="15"/>
  <c r="M48" i="15"/>
  <c r="M49" i="15"/>
  <c r="M47" i="15"/>
  <c r="J704" i="2"/>
  <c r="H704" i="2"/>
  <c r="AU31" i="14"/>
  <c r="H1078" i="2"/>
  <c r="G1513" i="2" s="1"/>
  <c r="R58" i="3"/>
  <c r="AU55" i="3"/>
  <c r="AU59" i="3" s="1"/>
  <c r="AU61" i="3" s="1"/>
  <c r="AU64" i="3" s="1"/>
  <c r="AL48" i="3"/>
  <c r="J1078" i="2"/>
  <c r="I1513" i="2" s="1"/>
  <c r="AJ45" i="3"/>
  <c r="AS47" i="3"/>
  <c r="I58" i="3"/>
  <c r="AJ46" i="3" s="1"/>
  <c r="AU31" i="3"/>
  <c r="V45" i="3"/>
  <c r="V55" i="3" s="1"/>
  <c r="BF45" i="3"/>
  <c r="BF55" i="3" s="1"/>
  <c r="M55" i="3"/>
  <c r="I1078" i="2"/>
  <c r="H1513" i="2" s="1"/>
  <c r="BB51" i="3"/>
  <c r="BA58" i="3"/>
  <c r="G1078" i="2"/>
  <c r="F1513" i="2" s="1"/>
  <c r="J1453" i="2"/>
  <c r="I1515" i="2" s="1"/>
  <c r="D1453" i="2"/>
  <c r="C1515" i="2" s="1"/>
  <c r="BD11" i="14"/>
  <c r="BD21" i="14" s="1"/>
  <c r="BD25" i="14" s="1"/>
  <c r="BD27" i="14" s="1"/>
  <c r="BD30" i="14" s="1"/>
  <c r="BD31" i="14" s="1"/>
  <c r="T11" i="14"/>
  <c r="T21" i="14" s="1"/>
  <c r="K21" i="14"/>
  <c r="BF11" i="14"/>
  <c r="BF21" i="14" s="1"/>
  <c r="BF25" i="14" s="1"/>
  <c r="BF27" i="14" s="1"/>
  <c r="BF30" i="14" s="1"/>
  <c r="BF31" i="14" s="1"/>
  <c r="M21" i="14"/>
  <c r="V11" i="14"/>
  <c r="V21" i="14" s="1"/>
  <c r="L55" i="3"/>
  <c r="BE45" i="3"/>
  <c r="BE55" i="3" s="1"/>
  <c r="U45" i="3"/>
  <c r="U55" i="3" s="1"/>
  <c r="D17" i="10"/>
  <c r="H16" i="10"/>
  <c r="J16" i="10" s="1"/>
  <c r="BD11" i="3"/>
  <c r="BD21" i="3" s="1"/>
  <c r="BD25" i="3" s="1"/>
  <c r="BD27" i="3" s="1"/>
  <c r="BD30" i="3" s="1"/>
  <c r="BD31" i="3" s="1"/>
  <c r="C1561" i="2" s="1"/>
  <c r="T11" i="3"/>
  <c r="T21" i="3" s="1"/>
  <c r="K21" i="3"/>
  <c r="AX52" i="3"/>
  <c r="AW59" i="3"/>
  <c r="AW61" i="3" s="1"/>
  <c r="AW64" i="3" s="1"/>
  <c r="AW65" i="3" s="1"/>
  <c r="H1453" i="2"/>
  <c r="G1515" i="2" s="1"/>
  <c r="AM10" i="3"/>
  <c r="D1559" i="2"/>
  <c r="BF11" i="3"/>
  <c r="BF21" i="3" s="1"/>
  <c r="BF25" i="3" s="1"/>
  <c r="BF27" i="3" s="1"/>
  <c r="BF30" i="3" s="1"/>
  <c r="BF31" i="3" s="1"/>
  <c r="E1561" i="2" s="1"/>
  <c r="V11" i="3"/>
  <c r="V21" i="3" s="1"/>
  <c r="M21" i="3"/>
  <c r="AA49" i="3"/>
  <c r="Z58" i="3"/>
  <c r="D1078" i="2"/>
  <c r="C1513" i="2" s="1"/>
  <c r="C1078" i="2"/>
  <c r="B1513" i="2" s="1"/>
  <c r="I1453" i="2"/>
  <c r="H1515" i="2" s="1"/>
  <c r="T45" i="14"/>
  <c r="T55" i="14" s="1"/>
  <c r="BD45" i="14"/>
  <c r="K55" i="14"/>
  <c r="BD55" i="14" s="1"/>
  <c r="G704" i="2"/>
  <c r="T45" i="3"/>
  <c r="T55" i="3" s="1"/>
  <c r="K55" i="3"/>
  <c r="BD55" i="3" s="1"/>
  <c r="BD45" i="3"/>
  <c r="BK49" i="14"/>
  <c r="AX52" i="14"/>
  <c r="AW59" i="14"/>
  <c r="AW61" i="14" s="1"/>
  <c r="AW64" i="14" s="1"/>
  <c r="AW65" i="14" s="1"/>
  <c r="AN44" i="14" s="1"/>
  <c r="L21" i="3"/>
  <c r="U11" i="3"/>
  <c r="U21" i="3" s="1"/>
  <c r="BE11" i="3"/>
  <c r="BE21" i="3" s="1"/>
  <c r="BE25" i="3" s="1"/>
  <c r="BE27" i="3" s="1"/>
  <c r="BE30" i="3" s="1"/>
  <c r="BE31" i="3" s="1"/>
  <c r="D1561" i="2" s="1"/>
  <c r="AZ56" i="3"/>
  <c r="AZ63" i="3" s="1"/>
  <c r="I704" i="2"/>
  <c r="AU55" i="14"/>
  <c r="AU59" i="14" s="1"/>
  <c r="AU61" i="14" s="1"/>
  <c r="AU64" i="14" s="1"/>
  <c r="AL48" i="14"/>
  <c r="M55" i="14"/>
  <c r="V45" i="14"/>
  <c r="V55" i="14" s="1"/>
  <c r="BF45" i="14"/>
  <c r="BF55" i="14" s="1"/>
  <c r="C1453" i="2"/>
  <c r="B1515" i="2" s="1"/>
  <c r="B18" i="13"/>
  <c r="B16" i="13"/>
  <c r="AL18" i="14"/>
  <c r="U11" i="14"/>
  <c r="U21" i="14" s="1"/>
  <c r="L21" i="14"/>
  <c r="BE11" i="14"/>
  <c r="BE21" i="14" s="1"/>
  <c r="BE25" i="14" s="1"/>
  <c r="BE27" i="14" s="1"/>
  <c r="BE30" i="14" s="1"/>
  <c r="BE31" i="14" s="1"/>
  <c r="BB50" i="14"/>
  <c r="AA49" i="14"/>
  <c r="Z58" i="14"/>
  <c r="BE45" i="14"/>
  <c r="BE55" i="14" s="1"/>
  <c r="U45" i="14"/>
  <c r="U55" i="14" s="1"/>
  <c r="L55" i="14"/>
  <c r="R58" i="14"/>
  <c r="F1453" i="2"/>
  <c r="E1515" i="2" s="1"/>
  <c r="BB46" i="3"/>
  <c r="BB43" i="3" s="1"/>
  <c r="BA43" i="3"/>
  <c r="E1453" i="2"/>
  <c r="D1515" i="2" s="1"/>
  <c r="BJ58" i="3"/>
  <c r="BK51" i="3"/>
  <c r="T52" i="15"/>
  <c r="T130" i="15"/>
  <c r="J52" i="15"/>
  <c r="T54" i="15"/>
  <c r="L157" i="15"/>
  <c r="T56" i="15"/>
  <c r="J131" i="15"/>
  <c r="J124" i="15"/>
  <c r="S129" i="15"/>
  <c r="S131" i="15"/>
  <c r="AF47" i="14" l="1"/>
  <c r="BA57" i="14"/>
  <c r="L158" i="15"/>
  <c r="L192" i="15"/>
  <c r="L156" i="15"/>
  <c r="BE59" i="14"/>
  <c r="BE61" i="14" s="1"/>
  <c r="BE64" i="14" s="1"/>
  <c r="BE65" i="14" s="1"/>
  <c r="C704" i="2"/>
  <c r="B1511" i="2" s="1"/>
  <c r="AL29" i="16" s="1"/>
  <c r="B778" i="2"/>
  <c r="B801" i="2" s="1"/>
  <c r="B824" i="2" s="1"/>
  <c r="B847" i="2" s="1"/>
  <c r="B791" i="2"/>
  <c r="B814" i="2" s="1"/>
  <c r="B837" i="2" s="1"/>
  <c r="B779" i="2"/>
  <c r="B802" i="2" s="1"/>
  <c r="B825" i="2" s="1"/>
  <c r="B848" i="2" s="1"/>
  <c r="B792" i="2"/>
  <c r="B815" i="2" s="1"/>
  <c r="B838" i="2" s="1"/>
  <c r="B789" i="2"/>
  <c r="B812" i="2" s="1"/>
  <c r="B835" i="2" s="1"/>
  <c r="B776" i="2"/>
  <c r="B799" i="2" s="1"/>
  <c r="B822" i="2" s="1"/>
  <c r="B845" i="2" s="1"/>
  <c r="B790" i="2"/>
  <c r="B813" i="2" s="1"/>
  <c r="B836" i="2" s="1"/>
  <c r="B777" i="2"/>
  <c r="B800" i="2" s="1"/>
  <c r="B823" i="2" s="1"/>
  <c r="B846" i="2" s="1"/>
  <c r="BD59" i="14"/>
  <c r="BD61" i="14" s="1"/>
  <c r="BD64" i="14" s="1"/>
  <c r="BD65" i="14" s="1"/>
  <c r="B211" i="15"/>
  <c r="B210" i="15" s="1"/>
  <c r="B215" i="15" s="1"/>
  <c r="S124" i="15"/>
  <c r="S88" i="15"/>
  <c r="R84" i="15"/>
  <c r="R90" i="15"/>
  <c r="R76" i="15"/>
  <c r="R70" i="15"/>
  <c r="R150" i="15"/>
  <c r="BI47" i="17"/>
  <c r="BH65" i="17"/>
  <c r="BA47" i="17"/>
  <c r="AZ65" i="17"/>
  <c r="BI47" i="16"/>
  <c r="BH65" i="16"/>
  <c r="BA47" i="16"/>
  <c r="AZ65" i="16"/>
  <c r="I47" i="16"/>
  <c r="AS51" i="16" s="1"/>
  <c r="AR51" i="16"/>
  <c r="S83" i="15"/>
  <c r="S80" i="15"/>
  <c r="S75" i="15"/>
  <c r="T23" i="15"/>
  <c r="S81" i="15"/>
  <c r="S68" i="15"/>
  <c r="S69" i="15"/>
  <c r="S89" i="15"/>
  <c r="S82" i="15"/>
  <c r="S74" i="15"/>
  <c r="S67" i="15"/>
  <c r="S73" i="15"/>
  <c r="I47" i="17"/>
  <c r="AS51" i="17" s="1"/>
  <c r="AR51" i="17"/>
  <c r="Q53" i="17"/>
  <c r="P60" i="17"/>
  <c r="AH51" i="16"/>
  <c r="Y53" i="16"/>
  <c r="X60" i="16"/>
  <c r="BI53" i="16"/>
  <c r="BH60" i="16"/>
  <c r="BH59" i="16"/>
  <c r="Y53" i="17"/>
  <c r="X60" i="17"/>
  <c r="I53" i="16"/>
  <c r="AR48" i="16"/>
  <c r="H60" i="16"/>
  <c r="AI47" i="16" s="1"/>
  <c r="AI46" i="16"/>
  <c r="BA53" i="17"/>
  <c r="AZ59" i="17"/>
  <c r="AZ60" i="17"/>
  <c r="Q53" i="16"/>
  <c r="P60" i="16"/>
  <c r="I53" i="17"/>
  <c r="H60" i="17"/>
  <c r="AI47" i="17" s="1"/>
  <c r="AR48" i="17"/>
  <c r="AI46" i="17"/>
  <c r="BI53" i="17"/>
  <c r="BH60" i="17"/>
  <c r="BH59" i="17"/>
  <c r="BA53" i="16"/>
  <c r="AZ60" i="16"/>
  <c r="AZ59" i="16"/>
  <c r="BI23" i="17"/>
  <c r="BI30" i="17" s="1"/>
  <c r="BI24" i="17"/>
  <c r="BJ9" i="17"/>
  <c r="BK8" i="17"/>
  <c r="BK9" i="17" s="1"/>
  <c r="BI23" i="16"/>
  <c r="BI30" i="16" s="1"/>
  <c r="BI24" i="16"/>
  <c r="AY23" i="16"/>
  <c r="AY30" i="16" s="1"/>
  <c r="AY24" i="16"/>
  <c r="BK8" i="16"/>
  <c r="BK9" i="16" s="1"/>
  <c r="BJ9" i="16"/>
  <c r="BA8" i="16"/>
  <c r="AZ9" i="16"/>
  <c r="AY23" i="17"/>
  <c r="AY30" i="17" s="1"/>
  <c r="AY24" i="17"/>
  <c r="AZ9" i="17"/>
  <c r="BA8" i="17"/>
  <c r="AL30" i="17"/>
  <c r="K8" i="17"/>
  <c r="AL30" i="16"/>
  <c r="K8" i="16"/>
  <c r="G8" i="3"/>
  <c r="G9" i="3" s="1"/>
  <c r="G8" i="17"/>
  <c r="G8" i="16"/>
  <c r="AP30" i="14"/>
  <c r="AP31" i="17"/>
  <c r="X8" i="17"/>
  <c r="AP31" i="16"/>
  <c r="X8" i="16"/>
  <c r="AM64" i="14"/>
  <c r="AM66" i="17"/>
  <c r="U43" i="17"/>
  <c r="AM66" i="16"/>
  <c r="U43" i="16"/>
  <c r="AQ63" i="14"/>
  <c r="P43" i="17"/>
  <c r="AQ65" i="17"/>
  <c r="P43" i="16"/>
  <c r="AQ65" i="16"/>
  <c r="R42" i="14"/>
  <c r="R43" i="14" s="1"/>
  <c r="AS65" i="17"/>
  <c r="R43" i="17"/>
  <c r="AS65" i="16"/>
  <c r="R43" i="16"/>
  <c r="E54" i="16"/>
  <c r="AE48" i="16"/>
  <c r="AC15" i="14"/>
  <c r="AC14" i="17"/>
  <c r="AC16" i="17" s="1"/>
  <c r="AW54" i="16"/>
  <c r="AV61" i="16"/>
  <c r="AV63" i="16" s="1"/>
  <c r="AV66" i="16" s="1"/>
  <c r="AV67" i="16" s="1"/>
  <c r="AM45" i="16" s="1"/>
  <c r="AD15" i="14"/>
  <c r="AD14" i="17"/>
  <c r="AD16" i="17" s="1"/>
  <c r="D8" i="17"/>
  <c r="D8" i="16"/>
  <c r="Q8" i="17"/>
  <c r="AR30" i="17"/>
  <c r="Q8" i="16"/>
  <c r="AR30" i="16"/>
  <c r="I1511" i="2"/>
  <c r="AS28" i="14" s="1"/>
  <c r="I8" i="17"/>
  <c r="I8" i="16"/>
  <c r="AP64" i="3"/>
  <c r="F6" i="7" s="1"/>
  <c r="AP66" i="17"/>
  <c r="X43" i="17"/>
  <c r="X43" i="16"/>
  <c r="AP66" i="16"/>
  <c r="H42" i="14"/>
  <c r="H43" i="14" s="1"/>
  <c r="AR64" i="17"/>
  <c r="H43" i="17"/>
  <c r="H43" i="16"/>
  <c r="AR64" i="16"/>
  <c r="Y42" i="14"/>
  <c r="Y43" i="14" s="1"/>
  <c r="AQ66" i="17"/>
  <c r="Y43" i="17"/>
  <c r="Y43" i="16"/>
  <c r="AQ66" i="16"/>
  <c r="AU67" i="17"/>
  <c r="AM30" i="17"/>
  <c r="L8" i="17"/>
  <c r="AM30" i="16"/>
  <c r="L8" i="16"/>
  <c r="AS30" i="17"/>
  <c r="R8" i="17"/>
  <c r="R8" i="16"/>
  <c r="AS30" i="16"/>
  <c r="AS62" i="3"/>
  <c r="I4" i="7" s="1"/>
  <c r="AS64" i="17"/>
  <c r="I43" i="17"/>
  <c r="AS64" i="16"/>
  <c r="I43" i="16"/>
  <c r="AS64" i="3"/>
  <c r="I6" i="7" s="1"/>
  <c r="AS66" i="17"/>
  <c r="AA43" i="17"/>
  <c r="AS66" i="16"/>
  <c r="AA43" i="16"/>
  <c r="F42" i="3"/>
  <c r="F43" i="3" s="1"/>
  <c r="F56" i="3" s="1"/>
  <c r="AP64" i="17"/>
  <c r="F43" i="17"/>
  <c r="F43" i="16"/>
  <c r="AP64" i="16"/>
  <c r="AL10" i="17"/>
  <c r="AW54" i="17"/>
  <c r="AV61" i="17"/>
  <c r="AV63" i="17" s="1"/>
  <c r="AV66" i="17" s="1"/>
  <c r="AV67" i="17" s="1"/>
  <c r="AM45" i="17" s="1"/>
  <c r="AL10" i="16"/>
  <c r="E54" i="17"/>
  <c r="AE48" i="17"/>
  <c r="AN31" i="17"/>
  <c r="V8" i="17"/>
  <c r="AN31" i="16"/>
  <c r="V8" i="16"/>
  <c r="F8" i="17"/>
  <c r="F8" i="16"/>
  <c r="AE49" i="14"/>
  <c r="AE49" i="17"/>
  <c r="AE51" i="17" s="1"/>
  <c r="Y8" i="17"/>
  <c r="AQ31" i="17"/>
  <c r="Y8" i="16"/>
  <c r="AQ31" i="16"/>
  <c r="F1554" i="2"/>
  <c r="N8" i="17"/>
  <c r="AO30" i="17"/>
  <c r="N8" i="16"/>
  <c r="AO30" i="16"/>
  <c r="E8" i="14"/>
  <c r="E9" i="14" s="1"/>
  <c r="E8" i="17"/>
  <c r="E8" i="16"/>
  <c r="AM62" i="14"/>
  <c r="AM64" i="17"/>
  <c r="C43" i="17"/>
  <c r="AM64" i="16"/>
  <c r="C43" i="16"/>
  <c r="AO62" i="3"/>
  <c r="E4" i="7" s="1"/>
  <c r="AO64" i="17"/>
  <c r="E43" i="17"/>
  <c r="E43" i="16"/>
  <c r="AO64" i="16"/>
  <c r="E1572" i="2"/>
  <c r="AN65" i="17"/>
  <c r="M43" i="17"/>
  <c r="M43" i="16"/>
  <c r="AN65" i="16"/>
  <c r="AD48" i="14"/>
  <c r="BE54" i="16"/>
  <c r="BD61" i="16"/>
  <c r="BD63" i="16" s="1"/>
  <c r="BD66" i="16" s="1"/>
  <c r="BD67" i="16" s="1"/>
  <c r="AM31" i="17"/>
  <c r="U8" i="17"/>
  <c r="AM31" i="16"/>
  <c r="U8" i="16"/>
  <c r="U9" i="16" s="1"/>
  <c r="H1570" i="2"/>
  <c r="AQ64" i="17"/>
  <c r="G43" i="17"/>
  <c r="G43" i="16"/>
  <c r="AQ64" i="16"/>
  <c r="AN62" i="3"/>
  <c r="D4" i="7" s="1"/>
  <c r="AN64" i="17"/>
  <c r="D43" i="17"/>
  <c r="D43" i="16"/>
  <c r="AN64" i="16"/>
  <c r="C1574" i="2"/>
  <c r="AL66" i="17"/>
  <c r="T43" i="17"/>
  <c r="AL66" i="16"/>
  <c r="T43" i="16"/>
  <c r="C8" i="17"/>
  <c r="C8" i="16"/>
  <c r="AS31" i="17"/>
  <c r="AA8" i="17"/>
  <c r="AA8" i="16"/>
  <c r="AS31" i="16"/>
  <c r="N42" i="3"/>
  <c r="N43" i="3" s="1"/>
  <c r="N57" i="3" s="1"/>
  <c r="AO65" i="17"/>
  <c r="N43" i="17"/>
  <c r="AO65" i="16"/>
  <c r="N43" i="16"/>
  <c r="F1574" i="2"/>
  <c r="AO66" i="17"/>
  <c r="W43" i="17"/>
  <c r="W43" i="16"/>
  <c r="AO66" i="16"/>
  <c r="K42" i="14"/>
  <c r="K43" i="14" s="1"/>
  <c r="AL65" i="17"/>
  <c r="K43" i="17"/>
  <c r="AL65" i="16"/>
  <c r="K43" i="16"/>
  <c r="AE15" i="14"/>
  <c r="AE14" i="17"/>
  <c r="AE16" i="17" s="1"/>
  <c r="BE54" i="17"/>
  <c r="BD61" i="17"/>
  <c r="BD63" i="17" s="1"/>
  <c r="BD66" i="17" s="1"/>
  <c r="BD67" i="17" s="1"/>
  <c r="AC43" i="14"/>
  <c r="AC48" i="14" s="1"/>
  <c r="AC44" i="17"/>
  <c r="AC44" i="16"/>
  <c r="AP30" i="17"/>
  <c r="O8" i="17"/>
  <c r="AP30" i="16"/>
  <c r="O8" i="16"/>
  <c r="AQ30" i="17"/>
  <c r="P8" i="17"/>
  <c r="P8" i="16"/>
  <c r="AQ30" i="16"/>
  <c r="AM63" i="3"/>
  <c r="C5" i="7" s="1"/>
  <c r="AM65" i="17"/>
  <c r="L43" i="17"/>
  <c r="AM65" i="16"/>
  <c r="L43" i="16"/>
  <c r="AR64" i="14"/>
  <c r="Z43" i="17"/>
  <c r="AR66" i="17"/>
  <c r="Z43" i="16"/>
  <c r="AR66" i="16"/>
  <c r="Q42" i="3"/>
  <c r="Q43" i="3" s="1"/>
  <c r="AR65" i="17"/>
  <c r="Q43" i="17"/>
  <c r="Q43" i="16"/>
  <c r="AR65" i="16"/>
  <c r="W8" i="17"/>
  <c r="AO31" i="17"/>
  <c r="W8" i="16"/>
  <c r="AO31" i="16"/>
  <c r="H8" i="17"/>
  <c r="H8" i="16"/>
  <c r="AL31" i="17"/>
  <c r="T8" i="17"/>
  <c r="AL31" i="16"/>
  <c r="T8" i="16"/>
  <c r="Z8" i="17"/>
  <c r="AR31" i="17"/>
  <c r="Z8" i="16"/>
  <c r="AR31" i="16"/>
  <c r="M8" i="3"/>
  <c r="M9" i="3" s="1"/>
  <c r="AN30" i="17"/>
  <c r="M8" i="17"/>
  <c r="AN30" i="16"/>
  <c r="M8" i="16"/>
  <c r="E1574" i="2"/>
  <c r="AN66" i="17"/>
  <c r="V43" i="17"/>
  <c r="V43" i="16"/>
  <c r="AN66" i="16"/>
  <c r="O42" i="14"/>
  <c r="O43" i="14" s="1"/>
  <c r="AP65" i="17"/>
  <c r="O43" i="17"/>
  <c r="O43" i="16"/>
  <c r="AP65" i="16"/>
  <c r="AL62" i="14"/>
  <c r="AL64" i="17"/>
  <c r="B43" i="17"/>
  <c r="AL64" i="16"/>
  <c r="B43" i="16"/>
  <c r="AU67" i="16"/>
  <c r="BG57" i="3"/>
  <c r="BG56" i="3"/>
  <c r="BG63" i="3" s="1"/>
  <c r="BD59" i="3"/>
  <c r="BD61" i="3" s="1"/>
  <c r="BD64" i="3" s="1"/>
  <c r="BD65" i="3" s="1"/>
  <c r="C1579" i="2" s="1"/>
  <c r="BI46" i="3"/>
  <c r="BH43" i="3"/>
  <c r="I46" i="3"/>
  <c r="AS49" i="3" s="1"/>
  <c r="AR49" i="3"/>
  <c r="T43" i="15"/>
  <c r="S78" i="15"/>
  <c r="D1577" i="2"/>
  <c r="BE59" i="3"/>
  <c r="BE61" i="3" s="1"/>
  <c r="BE64" i="3" s="1"/>
  <c r="BE65" i="3" s="1"/>
  <c r="D1579" i="2" s="1"/>
  <c r="AN10" i="3"/>
  <c r="E1559" i="2"/>
  <c r="AO64" i="14"/>
  <c r="K42" i="3"/>
  <c r="K43" i="3" s="1"/>
  <c r="AL63" i="3"/>
  <c r="B5" i="7" s="1"/>
  <c r="C1572" i="2"/>
  <c r="Q42" i="14"/>
  <c r="Q43" i="14" s="1"/>
  <c r="AY22" i="14"/>
  <c r="AY29" i="14" s="1"/>
  <c r="AY23" i="14"/>
  <c r="BA8" i="14"/>
  <c r="AZ9" i="14"/>
  <c r="AY23" i="3"/>
  <c r="AY22" i="3"/>
  <c r="AY29" i="3" s="1"/>
  <c r="AZ9" i="3"/>
  <c r="BA8" i="3"/>
  <c r="AL62" i="3"/>
  <c r="B4" i="7" s="1"/>
  <c r="B42" i="14"/>
  <c r="B43" i="14" s="1"/>
  <c r="AS63" i="14"/>
  <c r="M42" i="3"/>
  <c r="M43" i="3" s="1"/>
  <c r="M56" i="3" s="1"/>
  <c r="M63" i="3" s="1"/>
  <c r="AL64" i="14"/>
  <c r="AS63" i="3"/>
  <c r="I5" i="7" s="1"/>
  <c r="D42" i="3"/>
  <c r="D43" i="3" s="1"/>
  <c r="AL63" i="14"/>
  <c r="C1570" i="2"/>
  <c r="I1572" i="2"/>
  <c r="B42" i="3"/>
  <c r="B43" i="3" s="1"/>
  <c r="AR63" i="14"/>
  <c r="B1534" i="2"/>
  <c r="M7" i="15" s="1"/>
  <c r="AR63" i="3"/>
  <c r="H5" i="7" s="1"/>
  <c r="AQ62" i="3"/>
  <c r="G4" i="7" s="1"/>
  <c r="AQ62" i="14"/>
  <c r="H1572" i="2"/>
  <c r="P42" i="3"/>
  <c r="P43" i="3" s="1"/>
  <c r="O42" i="3"/>
  <c r="O43" i="3" s="1"/>
  <c r="R42" i="3"/>
  <c r="R43" i="3" s="1"/>
  <c r="J1572" i="2"/>
  <c r="AP63" i="14"/>
  <c r="P42" i="14"/>
  <c r="P43" i="14" s="1"/>
  <c r="AR62" i="14"/>
  <c r="AN63" i="3"/>
  <c r="D5" i="7" s="1"/>
  <c r="AN63" i="14"/>
  <c r="AA42" i="3"/>
  <c r="AA43" i="3" s="1"/>
  <c r="Y42" i="3"/>
  <c r="Y43" i="3" s="1"/>
  <c r="AM62" i="3"/>
  <c r="T42" i="14"/>
  <c r="T43" i="14" s="1"/>
  <c r="E1570" i="2"/>
  <c r="AS62" i="14"/>
  <c r="AQ64" i="3"/>
  <c r="G6" i="7" s="1"/>
  <c r="AL64" i="3"/>
  <c r="B6" i="7" s="1"/>
  <c r="AN62" i="14"/>
  <c r="J1570" i="2"/>
  <c r="F42" i="14"/>
  <c r="F43" i="14" s="1"/>
  <c r="F56" i="14" s="1"/>
  <c r="F63" i="14" s="1"/>
  <c r="X42" i="3"/>
  <c r="X43" i="3" s="1"/>
  <c r="H1574" i="2"/>
  <c r="C42" i="3"/>
  <c r="C43" i="3" s="1"/>
  <c r="AR62" i="3"/>
  <c r="H4" i="7" s="1"/>
  <c r="AQ64" i="14"/>
  <c r="C42" i="14"/>
  <c r="C43" i="14" s="1"/>
  <c r="I1570" i="2"/>
  <c r="T42" i="3"/>
  <c r="T43" i="3" s="1"/>
  <c r="D42" i="14"/>
  <c r="D43" i="14" s="1"/>
  <c r="AP62" i="3"/>
  <c r="F4" i="7" s="1"/>
  <c r="AP62" i="14"/>
  <c r="X42" i="14"/>
  <c r="X43" i="14" s="1"/>
  <c r="AA42" i="14"/>
  <c r="AA43" i="14" s="1"/>
  <c r="AA57" i="14" s="1"/>
  <c r="E42" i="14"/>
  <c r="E43" i="14" s="1"/>
  <c r="D1570" i="2"/>
  <c r="H42" i="3"/>
  <c r="H43" i="3" s="1"/>
  <c r="M42" i="14"/>
  <c r="M43" i="14" s="1"/>
  <c r="M56" i="14" s="1"/>
  <c r="M63" i="14" s="1"/>
  <c r="G1570" i="2"/>
  <c r="G1572" i="2"/>
  <c r="D1534" i="2"/>
  <c r="D1535" i="2" s="1"/>
  <c r="O3" i="15" s="1"/>
  <c r="O260" i="15" s="1"/>
  <c r="AP63" i="3"/>
  <c r="F5" i="7" s="1"/>
  <c r="G1574" i="2"/>
  <c r="J1574" i="2"/>
  <c r="AP64" i="14"/>
  <c r="D1574" i="2"/>
  <c r="AQ63" i="3"/>
  <c r="G5" i="7" s="1"/>
  <c r="AS64" i="14"/>
  <c r="I42" i="3"/>
  <c r="I42" i="14"/>
  <c r="I43" i="14" s="1"/>
  <c r="I56" i="14" s="1"/>
  <c r="I63" i="14" s="1"/>
  <c r="L42" i="3"/>
  <c r="L43" i="3" s="1"/>
  <c r="L56" i="3" s="1"/>
  <c r="L63" i="3" s="1"/>
  <c r="U42" i="14"/>
  <c r="U43" i="14" s="1"/>
  <c r="U59" i="14" s="1"/>
  <c r="D1572" i="2"/>
  <c r="H1534" i="2"/>
  <c r="H1535" i="2" s="1"/>
  <c r="S3" i="15" s="1"/>
  <c r="S260" i="15" s="1"/>
  <c r="I1574" i="2"/>
  <c r="I1534" i="2"/>
  <c r="I1535" i="2" s="1"/>
  <c r="T3" i="15" s="1"/>
  <c r="T260" i="15" s="1"/>
  <c r="F1534" i="2"/>
  <c r="F1535" i="2" s="1"/>
  <c r="Q3" i="15" s="1"/>
  <c r="Q260" i="15" s="1"/>
  <c r="V42" i="14"/>
  <c r="V43" i="14" s="1"/>
  <c r="V57" i="14" s="1"/>
  <c r="AM64" i="3"/>
  <c r="C6" i="7" s="1"/>
  <c r="AO64" i="3"/>
  <c r="E6" i="7" s="1"/>
  <c r="F1570" i="2"/>
  <c r="AR64" i="3"/>
  <c r="H6" i="7" s="1"/>
  <c r="G1534" i="2"/>
  <c r="G1535" i="2" s="1"/>
  <c r="R3" i="15" s="1"/>
  <c r="R260" i="15" s="1"/>
  <c r="W42" i="14"/>
  <c r="W43" i="14" s="1"/>
  <c r="W42" i="3"/>
  <c r="W43" i="3" s="1"/>
  <c r="AO62" i="14"/>
  <c r="G42" i="14"/>
  <c r="G43" i="14" s="1"/>
  <c r="Z42" i="14"/>
  <c r="Z43" i="14" s="1"/>
  <c r="E42" i="3"/>
  <c r="E43" i="3" s="1"/>
  <c r="G42" i="3"/>
  <c r="G43" i="3" s="1"/>
  <c r="Z42" i="3"/>
  <c r="Z43" i="3" s="1"/>
  <c r="F1572" i="2"/>
  <c r="L42" i="14"/>
  <c r="L43" i="14" s="1"/>
  <c r="L59" i="14" s="1"/>
  <c r="C1534" i="2"/>
  <c r="C1535" i="2" s="1"/>
  <c r="N3" i="15" s="1"/>
  <c r="N260" i="15" s="1"/>
  <c r="U42" i="3"/>
  <c r="U43" i="3" s="1"/>
  <c r="U56" i="3" s="1"/>
  <c r="U63" i="3" s="1"/>
  <c r="E1534" i="2"/>
  <c r="E1535" i="2" s="1"/>
  <c r="P3" i="15" s="1"/>
  <c r="P260" i="15" s="1"/>
  <c r="AN64" i="3"/>
  <c r="D6" i="7" s="1"/>
  <c r="AO63" i="3"/>
  <c r="E5" i="7" s="1"/>
  <c r="AM63" i="14"/>
  <c r="V42" i="3"/>
  <c r="V43" i="3" s="1"/>
  <c r="V59" i="3" s="1"/>
  <c r="N42" i="14"/>
  <c r="N43" i="14" s="1"/>
  <c r="N56" i="14" s="1"/>
  <c r="N63" i="14" s="1"/>
  <c r="AN64" i="14"/>
  <c r="AO63" i="14"/>
  <c r="J90" i="15"/>
  <c r="J150" i="15"/>
  <c r="E8" i="3"/>
  <c r="E9" i="3" s="1"/>
  <c r="E1511" i="2"/>
  <c r="AN29" i="14"/>
  <c r="E1554" i="2"/>
  <c r="AO29" i="14"/>
  <c r="N8" i="3"/>
  <c r="N9" i="3" s="1"/>
  <c r="O46" i="15"/>
  <c r="AO29" i="3"/>
  <c r="E5" i="6" s="1"/>
  <c r="N8" i="14"/>
  <c r="N9" i="14" s="1"/>
  <c r="D46" i="15"/>
  <c r="X8" i="14"/>
  <c r="X9" i="14" s="1"/>
  <c r="M8" i="14"/>
  <c r="M9" i="14" s="1"/>
  <c r="G1556" i="2"/>
  <c r="G8" i="14"/>
  <c r="G9" i="14" s="1"/>
  <c r="AN29" i="3"/>
  <c r="D5" i="6" s="1"/>
  <c r="AP30" i="3"/>
  <c r="F6" i="6" s="1"/>
  <c r="E46" i="15"/>
  <c r="X8" i="3"/>
  <c r="X9" i="3" s="1"/>
  <c r="G1511" i="2"/>
  <c r="J70" i="15"/>
  <c r="H26" i="15"/>
  <c r="G53" i="15"/>
  <c r="P128" i="15"/>
  <c r="P132" i="15" s="1"/>
  <c r="P163" i="15" s="1"/>
  <c r="P57" i="15"/>
  <c r="I58" i="14"/>
  <c r="AJ46" i="14" s="1"/>
  <c r="AS47" i="14"/>
  <c r="AJ45" i="14"/>
  <c r="AS49" i="14"/>
  <c r="BJ48" i="14"/>
  <c r="BI63" i="14"/>
  <c r="BI58" i="14"/>
  <c r="BI57" i="14"/>
  <c r="S251" i="15"/>
  <c r="R252" i="15"/>
  <c r="BJ22" i="3"/>
  <c r="BJ29" i="3" s="1"/>
  <c r="BJ23" i="3"/>
  <c r="H252" i="15"/>
  <c r="I251" i="15"/>
  <c r="R26" i="15"/>
  <c r="Q53" i="15"/>
  <c r="BK22" i="14"/>
  <c r="BK29" i="14" s="1"/>
  <c r="BK23" i="14"/>
  <c r="BK22" i="3"/>
  <c r="BK29" i="3" s="1"/>
  <c r="BK23" i="3"/>
  <c r="N46" i="15"/>
  <c r="BJ22" i="14"/>
  <c r="BJ29" i="14" s="1"/>
  <c r="BJ23" i="14"/>
  <c r="F128" i="15"/>
  <c r="F132" i="15" s="1"/>
  <c r="F163" i="15" s="1"/>
  <c r="F57" i="15"/>
  <c r="BB48" i="14"/>
  <c r="BB63" i="14" s="1"/>
  <c r="BA63" i="14"/>
  <c r="I8" i="14"/>
  <c r="I9" i="14" s="1"/>
  <c r="M46" i="15"/>
  <c r="J84" i="15"/>
  <c r="C48" i="15"/>
  <c r="C47" i="15"/>
  <c r="C49" i="15"/>
  <c r="J76" i="15"/>
  <c r="I8" i="3"/>
  <c r="I9" i="3" s="1"/>
  <c r="BA56" i="3"/>
  <c r="BA63" i="3" s="1"/>
  <c r="AL52" i="14"/>
  <c r="AY52" i="14"/>
  <c r="AY52" i="3"/>
  <c r="AA8" i="14"/>
  <c r="J1556" i="2"/>
  <c r="AS30" i="14"/>
  <c r="AS30" i="3"/>
  <c r="I6" i="6" s="1"/>
  <c r="AA8" i="3"/>
  <c r="I1554" i="2"/>
  <c r="AR29" i="14"/>
  <c r="Q8" i="14"/>
  <c r="AR29" i="3"/>
  <c r="H5" i="6" s="1"/>
  <c r="Q8" i="3"/>
  <c r="AL10" i="14"/>
  <c r="BB56" i="3"/>
  <c r="BB63" i="3" s="1"/>
  <c r="BG52" i="14"/>
  <c r="BF59" i="14"/>
  <c r="BF61" i="14" s="1"/>
  <c r="BF64" i="14" s="1"/>
  <c r="BF65" i="14" s="1"/>
  <c r="AU65" i="14"/>
  <c r="H8" i="3"/>
  <c r="H8" i="14"/>
  <c r="H1511" i="2"/>
  <c r="F1511" i="2"/>
  <c r="F8" i="14"/>
  <c r="F8" i="3"/>
  <c r="Z8" i="14"/>
  <c r="Z8" i="3"/>
  <c r="AR30" i="3"/>
  <c r="H6" i="6" s="1"/>
  <c r="I1556" i="2"/>
  <c r="AR30" i="14"/>
  <c r="AL29" i="3"/>
  <c r="B5" i="6" s="1"/>
  <c r="C1554" i="2"/>
  <c r="K8" i="3"/>
  <c r="AL29" i="14"/>
  <c r="K8" i="14"/>
  <c r="BB58" i="3"/>
  <c r="BB57" i="3"/>
  <c r="AS29" i="14"/>
  <c r="J1554" i="2"/>
  <c r="R8" i="14"/>
  <c r="R8" i="3"/>
  <c r="AS29" i="3"/>
  <c r="I5" i="6" s="1"/>
  <c r="AN30" i="3"/>
  <c r="D6" i="6" s="1"/>
  <c r="V8" i="3"/>
  <c r="V8" i="14"/>
  <c r="E1556" i="2"/>
  <c r="AN30" i="14"/>
  <c r="F1556" i="2"/>
  <c r="AO30" i="3"/>
  <c r="E6" i="6" s="1"/>
  <c r="W8" i="3"/>
  <c r="W8" i="14"/>
  <c r="AO30" i="14"/>
  <c r="T8" i="3"/>
  <c r="T8" i="14"/>
  <c r="AL30" i="14"/>
  <c r="AL30" i="3"/>
  <c r="B6" i="6" s="1"/>
  <c r="C1556" i="2"/>
  <c r="C8" i="3"/>
  <c r="C1511" i="2"/>
  <c r="C8" i="14"/>
  <c r="G52" i="14"/>
  <c r="AG47" i="14"/>
  <c r="D1511" i="2"/>
  <c r="D8" i="14"/>
  <c r="D8" i="3"/>
  <c r="H1556" i="2"/>
  <c r="AQ30" i="14"/>
  <c r="AQ30" i="3"/>
  <c r="G6" i="6" s="1"/>
  <c r="Y8" i="14"/>
  <c r="Y8" i="3"/>
  <c r="D1556" i="2"/>
  <c r="U8" i="3"/>
  <c r="AM30" i="3"/>
  <c r="C6" i="6" s="1"/>
  <c r="AM30" i="14"/>
  <c r="U8" i="14"/>
  <c r="G1554" i="2"/>
  <c r="O8" i="3"/>
  <c r="O8" i="14"/>
  <c r="AP29" i="3"/>
  <c r="F5" i="6" s="1"/>
  <c r="AP29" i="14"/>
  <c r="BA57" i="3"/>
  <c r="AL52" i="3"/>
  <c r="AQ29" i="14"/>
  <c r="AQ29" i="3"/>
  <c r="G5" i="6" s="1"/>
  <c r="P8" i="3"/>
  <c r="P8" i="14"/>
  <c r="H1554" i="2"/>
  <c r="BK58" i="3"/>
  <c r="AA58" i="14"/>
  <c r="BG52" i="3"/>
  <c r="BF59" i="3"/>
  <c r="BF61" i="3" s="1"/>
  <c r="BF64" i="3" s="1"/>
  <c r="BF65" i="3" s="1"/>
  <c r="E1579" i="2" s="1"/>
  <c r="L8" i="14"/>
  <c r="D1554" i="2"/>
  <c r="L8" i="3"/>
  <c r="AM29" i="14"/>
  <c r="AM29" i="3"/>
  <c r="C5" i="6" s="1"/>
  <c r="AA58" i="3"/>
  <c r="AN44" i="3"/>
  <c r="E1577" i="2"/>
  <c r="H17" i="10"/>
  <c r="J17" i="10" s="1"/>
  <c r="D18" i="10"/>
  <c r="G52" i="3"/>
  <c r="AL10" i="3"/>
  <c r="C1559" i="2"/>
  <c r="AU65" i="3"/>
  <c r="B262" i="15"/>
  <c r="B218" i="15"/>
  <c r="L159" i="15"/>
  <c r="L167" i="15" s="1"/>
  <c r="T131" i="15"/>
  <c r="T124" i="15"/>
  <c r="L217" i="15"/>
  <c r="L236" i="15"/>
  <c r="L121" i="15"/>
  <c r="L135" i="15"/>
  <c r="T129" i="15"/>
  <c r="C1552" i="2" l="1"/>
  <c r="AL28" i="3"/>
  <c r="AL31" i="3" s="1"/>
  <c r="B8" i="14"/>
  <c r="AL28" i="14"/>
  <c r="B8" i="3"/>
  <c r="B9" i="3" s="1"/>
  <c r="B1517" i="2"/>
  <c r="B1518" i="2" s="1"/>
  <c r="C3" i="15" s="1"/>
  <c r="C260" i="15" s="1"/>
  <c r="B8" i="17"/>
  <c r="AL29" i="17"/>
  <c r="AL32" i="17" s="1"/>
  <c r="B8" i="16"/>
  <c r="B9" i="16" s="1"/>
  <c r="N56" i="3"/>
  <c r="N63" i="3" s="1"/>
  <c r="B192" i="15"/>
  <c r="T78" i="15"/>
  <c r="I43" i="3"/>
  <c r="I57" i="3" s="1"/>
  <c r="S90" i="15"/>
  <c r="S150" i="15"/>
  <c r="F57" i="3"/>
  <c r="AQ67" i="16"/>
  <c r="S70" i="15"/>
  <c r="AL67" i="16"/>
  <c r="AM65" i="14"/>
  <c r="AS28" i="3"/>
  <c r="AS31" i="3" s="1"/>
  <c r="I1517" i="2"/>
  <c r="J7" i="15" s="1"/>
  <c r="J1552" i="2"/>
  <c r="J1562" i="2" s="1"/>
  <c r="S84" i="15"/>
  <c r="BB47" i="16"/>
  <c r="BB65" i="16" s="1"/>
  <c r="BA65" i="16"/>
  <c r="AI51" i="16"/>
  <c r="S76" i="15"/>
  <c r="T80" i="15"/>
  <c r="T89" i="15"/>
  <c r="T69" i="15"/>
  <c r="T75" i="15"/>
  <c r="T68" i="15"/>
  <c r="T74" i="15"/>
  <c r="T82" i="15"/>
  <c r="T81" i="15"/>
  <c r="T83" i="15"/>
  <c r="T87" i="15"/>
  <c r="T88" i="15"/>
  <c r="T73" i="15"/>
  <c r="T67" i="15"/>
  <c r="BJ47" i="16"/>
  <c r="BI65" i="16"/>
  <c r="BB47" i="17"/>
  <c r="BB65" i="17" s="1"/>
  <c r="BA65" i="17"/>
  <c r="BJ47" i="17"/>
  <c r="BI65" i="17"/>
  <c r="BJ53" i="17"/>
  <c r="BI59" i="17"/>
  <c r="BI60" i="17"/>
  <c r="BB53" i="17"/>
  <c r="BA60" i="17"/>
  <c r="BA59" i="17"/>
  <c r="BJ53" i="16"/>
  <c r="BI59" i="16"/>
  <c r="BI60" i="16"/>
  <c r="I60" i="17"/>
  <c r="AJ47" i="17" s="1"/>
  <c r="AS48" i="17"/>
  <c r="AJ46" i="17"/>
  <c r="Z53" i="16"/>
  <c r="Y60" i="16"/>
  <c r="BB53" i="16"/>
  <c r="BA60" i="16"/>
  <c r="BA59" i="16"/>
  <c r="AS48" i="16"/>
  <c r="I60" i="16"/>
  <c r="AJ47" i="16" s="1"/>
  <c r="AJ46" i="16"/>
  <c r="R53" i="16"/>
  <c r="R60" i="16" s="1"/>
  <c r="Q60" i="16"/>
  <c r="Z53" i="17"/>
  <c r="Y60" i="17"/>
  <c r="R53" i="17"/>
  <c r="R60" i="17" s="1"/>
  <c r="Q60" i="17"/>
  <c r="BA9" i="17"/>
  <c r="BB8" i="17"/>
  <c r="BB9" i="17" s="1"/>
  <c r="AZ23" i="17"/>
  <c r="AZ30" i="17" s="1"/>
  <c r="AZ24" i="17"/>
  <c r="AZ23" i="16"/>
  <c r="AZ30" i="16" s="1"/>
  <c r="AZ24" i="16"/>
  <c r="BK23" i="17"/>
  <c r="BK30" i="17" s="1"/>
  <c r="BK24" i="17"/>
  <c r="BB8" i="16"/>
  <c r="BB9" i="16" s="1"/>
  <c r="BA9" i="16"/>
  <c r="BJ23" i="17"/>
  <c r="BJ30" i="17" s="1"/>
  <c r="BJ24" i="17"/>
  <c r="BJ23" i="16"/>
  <c r="BJ30" i="16" s="1"/>
  <c r="BJ24" i="16"/>
  <c r="BK23" i="16"/>
  <c r="BK30" i="16" s="1"/>
  <c r="BK24" i="16"/>
  <c r="AO67" i="16"/>
  <c r="AS67" i="17"/>
  <c r="AR67" i="16"/>
  <c r="AM67" i="17"/>
  <c r="AP67" i="17"/>
  <c r="AS67" i="16"/>
  <c r="AN67" i="16"/>
  <c r="AL32" i="16"/>
  <c r="AL67" i="17"/>
  <c r="AO67" i="17"/>
  <c r="AR67" i="17"/>
  <c r="AR65" i="14"/>
  <c r="E1580" i="2"/>
  <c r="E1583" i="2" s="1"/>
  <c r="AN67" i="17"/>
  <c r="I7" i="7"/>
  <c r="AM67" i="16"/>
  <c r="AP67" i="16"/>
  <c r="AM29" i="17"/>
  <c r="AM29" i="16"/>
  <c r="AP29" i="17"/>
  <c r="AP32" i="17" s="1"/>
  <c r="AP29" i="16"/>
  <c r="AP32" i="16" s="1"/>
  <c r="B44" i="16"/>
  <c r="T9" i="16"/>
  <c r="O9" i="16"/>
  <c r="K44" i="17"/>
  <c r="N44" i="16"/>
  <c r="G44" i="17"/>
  <c r="BF54" i="16"/>
  <c r="BE61" i="16"/>
  <c r="BE63" i="16" s="1"/>
  <c r="BE66" i="16" s="1"/>
  <c r="BE67" i="16" s="1"/>
  <c r="E44" i="16"/>
  <c r="F9" i="17"/>
  <c r="F44" i="17"/>
  <c r="I44" i="16"/>
  <c r="AQ67" i="17"/>
  <c r="X44" i="16"/>
  <c r="Q9" i="16"/>
  <c r="AX54" i="16"/>
  <c r="AW61" i="16"/>
  <c r="AW63" i="16" s="1"/>
  <c r="AW66" i="16" s="1"/>
  <c r="M9" i="17"/>
  <c r="W9" i="17"/>
  <c r="L44" i="17"/>
  <c r="BF54" i="17"/>
  <c r="BE61" i="17"/>
  <c r="BE63" i="17" s="1"/>
  <c r="BE66" i="17" s="1"/>
  <c r="BE67" i="17" s="1"/>
  <c r="C9" i="16"/>
  <c r="AD49" i="14"/>
  <c r="AD49" i="17"/>
  <c r="AD51" i="17" s="1"/>
  <c r="E44" i="17"/>
  <c r="E9" i="16"/>
  <c r="V9" i="16"/>
  <c r="X44" i="17"/>
  <c r="U44" i="17"/>
  <c r="G9" i="16"/>
  <c r="B44" i="17"/>
  <c r="T9" i="17"/>
  <c r="O9" i="17"/>
  <c r="N44" i="17"/>
  <c r="C9" i="17"/>
  <c r="D44" i="16"/>
  <c r="E9" i="17"/>
  <c r="Y9" i="16"/>
  <c r="I44" i="17"/>
  <c r="Q9" i="17"/>
  <c r="G9" i="17"/>
  <c r="AN29" i="17"/>
  <c r="AN29" i="16"/>
  <c r="AR29" i="17"/>
  <c r="AR32" i="17" s="1"/>
  <c r="AR29" i="16"/>
  <c r="AR32" i="16" s="1"/>
  <c r="V44" i="16"/>
  <c r="Z44" i="16"/>
  <c r="D44" i="17"/>
  <c r="U23" i="16"/>
  <c r="U30" i="16" s="1"/>
  <c r="U24" i="16"/>
  <c r="U26" i="16"/>
  <c r="M44" i="16"/>
  <c r="V9" i="17"/>
  <c r="AX54" i="17"/>
  <c r="AY54" i="17" s="1"/>
  <c r="AZ54" i="17" s="1"/>
  <c r="BA54" i="17" s="1"/>
  <c r="BB54" i="17" s="1"/>
  <c r="AW61" i="17"/>
  <c r="AW63" i="17" s="1"/>
  <c r="AW66" i="17" s="1"/>
  <c r="AW67" i="17" s="1"/>
  <c r="AN45" i="17" s="1"/>
  <c r="AA44" i="16"/>
  <c r="B9" i="17"/>
  <c r="AL45" i="17"/>
  <c r="H44" i="16"/>
  <c r="D9" i="16"/>
  <c r="P44" i="16"/>
  <c r="G1517" i="2"/>
  <c r="H7" i="15" s="1"/>
  <c r="AQ29" i="17"/>
  <c r="AQ32" i="17" s="1"/>
  <c r="AQ29" i="16"/>
  <c r="AQ32" i="16" s="1"/>
  <c r="V44" i="17"/>
  <c r="H9" i="16"/>
  <c r="W44" i="16"/>
  <c r="T44" i="16"/>
  <c r="M44" i="17"/>
  <c r="C44" i="16"/>
  <c r="Y9" i="17"/>
  <c r="H44" i="17"/>
  <c r="I9" i="16"/>
  <c r="D9" i="17"/>
  <c r="F54" i="16"/>
  <c r="AF48" i="16"/>
  <c r="X9" i="16"/>
  <c r="K9" i="16"/>
  <c r="F1552" i="2"/>
  <c r="F1562" i="2" s="1"/>
  <c r="AO29" i="17"/>
  <c r="AO32" i="17" s="1"/>
  <c r="AO29" i="16"/>
  <c r="AO32" i="16" s="1"/>
  <c r="Z9" i="16"/>
  <c r="H9" i="17"/>
  <c r="Z44" i="17"/>
  <c r="P9" i="16"/>
  <c r="W44" i="17"/>
  <c r="U9" i="17"/>
  <c r="N9" i="16"/>
  <c r="AA44" i="17"/>
  <c r="L9" i="16"/>
  <c r="I9" i="17"/>
  <c r="R44" i="16"/>
  <c r="P44" i="17"/>
  <c r="O44" i="16"/>
  <c r="Q44" i="16"/>
  <c r="P9" i="17"/>
  <c r="AC49" i="14"/>
  <c r="AC49" i="17"/>
  <c r="AC51" i="17" s="1"/>
  <c r="K44" i="16"/>
  <c r="AA9" i="16"/>
  <c r="T44" i="17"/>
  <c r="C44" i="17"/>
  <c r="F54" i="17"/>
  <c r="AF48" i="17"/>
  <c r="R9" i="16"/>
  <c r="Y44" i="16"/>
  <c r="AS29" i="17"/>
  <c r="AS32" i="17" s="1"/>
  <c r="AS29" i="16"/>
  <c r="AS32" i="16" s="1"/>
  <c r="X9" i="17"/>
  <c r="K9" i="17"/>
  <c r="AL45" i="16"/>
  <c r="O44" i="17"/>
  <c r="M9" i="16"/>
  <c r="Z9" i="17"/>
  <c r="W9" i="16"/>
  <c r="Q44" i="17"/>
  <c r="L44" i="16"/>
  <c r="AA9" i="17"/>
  <c r="G44" i="16"/>
  <c r="N9" i="17"/>
  <c r="F9" i="16"/>
  <c r="F44" i="16"/>
  <c r="R9" i="17"/>
  <c r="L9" i="17"/>
  <c r="Y44" i="17"/>
  <c r="R44" i="17"/>
  <c r="U44" i="16"/>
  <c r="BJ46" i="3"/>
  <c r="BI43" i="3"/>
  <c r="BH57" i="3"/>
  <c r="BH56" i="3"/>
  <c r="BH63" i="3" s="1"/>
  <c r="AL65" i="14"/>
  <c r="C1580" i="2"/>
  <c r="C1583" i="2" s="1"/>
  <c r="AS65" i="3"/>
  <c r="M59" i="3"/>
  <c r="BA9" i="3"/>
  <c r="BB8" i="3"/>
  <c r="BB9" i="3" s="1"/>
  <c r="AZ22" i="14"/>
  <c r="AZ29" i="14" s="1"/>
  <c r="AZ23" i="14"/>
  <c r="AZ22" i="3"/>
  <c r="AZ29" i="3" s="1"/>
  <c r="AZ23" i="3"/>
  <c r="BB8" i="14"/>
  <c r="BB9" i="14" s="1"/>
  <c r="BA9" i="14"/>
  <c r="M57" i="3"/>
  <c r="B1535" i="2"/>
  <c r="M3" i="15" s="1"/>
  <c r="M260" i="15" s="1"/>
  <c r="L56" i="14"/>
  <c r="L63" i="14" s="1"/>
  <c r="AQ65" i="14"/>
  <c r="M57" i="14"/>
  <c r="AN65" i="14"/>
  <c r="V57" i="3"/>
  <c r="V61" i="3" s="1"/>
  <c r="V56" i="3"/>
  <c r="V63" i="3" s="1"/>
  <c r="Q7" i="15"/>
  <c r="Q223" i="15" s="1"/>
  <c r="Q9" i="15" s="1"/>
  <c r="Q15" i="15" s="1"/>
  <c r="Q142" i="15" s="1"/>
  <c r="V56" i="14"/>
  <c r="V63" i="14" s="1"/>
  <c r="V59" i="14"/>
  <c r="V61" i="14" s="1"/>
  <c r="H1580" i="2"/>
  <c r="U57" i="14"/>
  <c r="U61" i="14" s="1"/>
  <c r="I57" i="14"/>
  <c r="L57" i="14"/>
  <c r="L61" i="14" s="1"/>
  <c r="AL65" i="3"/>
  <c r="AP65" i="3"/>
  <c r="AM65" i="3"/>
  <c r="C4" i="7"/>
  <c r="C7" i="7" s="1"/>
  <c r="AS65" i="14"/>
  <c r="I1580" i="2"/>
  <c r="J6" i="7"/>
  <c r="J1580" i="2"/>
  <c r="G1580" i="2"/>
  <c r="R7" i="15"/>
  <c r="R224" i="15" s="1"/>
  <c r="R10" i="15" s="1"/>
  <c r="R16" i="15" s="1"/>
  <c r="R143" i="15" s="1"/>
  <c r="F57" i="14"/>
  <c r="S7" i="15"/>
  <c r="S226" i="15" s="1"/>
  <c r="AP65" i="14"/>
  <c r="M59" i="14"/>
  <c r="AQ65" i="3"/>
  <c r="T7" i="15"/>
  <c r="T226" i="15" s="1"/>
  <c r="G7" i="7"/>
  <c r="D1580" i="2"/>
  <c r="D1583" i="2" s="1"/>
  <c r="F7" i="7"/>
  <c r="AO65" i="3"/>
  <c r="U56" i="14"/>
  <c r="U63" i="14" s="1"/>
  <c r="U57" i="3"/>
  <c r="L57" i="3"/>
  <c r="U59" i="3"/>
  <c r="N7" i="15"/>
  <c r="N225" i="15" s="1"/>
  <c r="N11" i="15" s="1"/>
  <c r="N17" i="15" s="1"/>
  <c r="N144" i="15" s="1"/>
  <c r="L59" i="3"/>
  <c r="O7" i="15"/>
  <c r="O227" i="15" s="1"/>
  <c r="J5" i="7"/>
  <c r="AO65" i="14"/>
  <c r="AR65" i="3"/>
  <c r="H7" i="7"/>
  <c r="F1580" i="2"/>
  <c r="N57" i="14"/>
  <c r="D7" i="7"/>
  <c r="P7" i="15"/>
  <c r="P223" i="15" s="1"/>
  <c r="P9" i="15" s="1"/>
  <c r="P15" i="15" s="1"/>
  <c r="P142" i="15" s="1"/>
  <c r="E7" i="7"/>
  <c r="AN65" i="3"/>
  <c r="AQ28" i="3"/>
  <c r="G4" i="6" s="1"/>
  <c r="G7" i="6" s="1"/>
  <c r="H1552" i="2"/>
  <c r="H1562" i="2" s="1"/>
  <c r="AO28" i="3"/>
  <c r="E4" i="6" s="1"/>
  <c r="E7" i="6" s="1"/>
  <c r="AO28" i="14"/>
  <c r="AO31" i="14" s="1"/>
  <c r="E1517" i="2"/>
  <c r="F7" i="15" s="1"/>
  <c r="BB57" i="14"/>
  <c r="AQ28" i="14"/>
  <c r="AQ31" i="14" s="1"/>
  <c r="BB58" i="14"/>
  <c r="C46" i="15"/>
  <c r="T251" i="15"/>
  <c r="T252" i="15" s="1"/>
  <c r="S252" i="15"/>
  <c r="BJ63" i="14"/>
  <c r="BK48" i="14"/>
  <c r="BJ57" i="14"/>
  <c r="BJ58" i="14"/>
  <c r="I26" i="15"/>
  <c r="H53" i="15"/>
  <c r="Q57" i="15"/>
  <c r="Q128" i="15"/>
  <c r="Q132" i="15" s="1"/>
  <c r="Q163" i="15" s="1"/>
  <c r="B156" i="15"/>
  <c r="B216" i="15"/>
  <c r="B158" i="15"/>
  <c r="B157" i="15"/>
  <c r="R53" i="15"/>
  <c r="S26" i="15"/>
  <c r="I252" i="15"/>
  <c r="J251" i="15"/>
  <c r="J252" i="15" s="1"/>
  <c r="G128" i="15"/>
  <c r="G132" i="15" s="1"/>
  <c r="G163" i="15" s="1"/>
  <c r="G57" i="15"/>
  <c r="M250" i="15"/>
  <c r="M227" i="15"/>
  <c r="M221" i="15"/>
  <c r="M228" i="15"/>
  <c r="M224" i="15"/>
  <c r="M10" i="15" s="1"/>
  <c r="M16" i="15" s="1"/>
  <c r="M143" i="15" s="1"/>
  <c r="M223" i="15"/>
  <c r="M9" i="15" s="1"/>
  <c r="M15" i="15" s="1"/>
  <c r="M142" i="15" s="1"/>
  <c r="M225" i="15"/>
  <c r="M11" i="15" s="1"/>
  <c r="M17" i="15" s="1"/>
  <c r="M144" i="15" s="1"/>
  <c r="M226" i="15"/>
  <c r="AA56" i="14"/>
  <c r="AA63" i="14" s="1"/>
  <c r="N23" i="3"/>
  <c r="N22" i="3"/>
  <c r="N29" i="3" s="1"/>
  <c r="H52" i="3"/>
  <c r="L9" i="14"/>
  <c r="Y56" i="3"/>
  <c r="Y63" i="3" s="1"/>
  <c r="Y57" i="3"/>
  <c r="P56" i="14"/>
  <c r="P63" i="14" s="1"/>
  <c r="P57" i="14"/>
  <c r="AS31" i="14"/>
  <c r="X56" i="3"/>
  <c r="X63" i="3" s="1"/>
  <c r="X57" i="3"/>
  <c r="O9" i="14"/>
  <c r="D9" i="3"/>
  <c r="C9" i="3"/>
  <c r="T9" i="3"/>
  <c r="R9" i="14"/>
  <c r="K56" i="3"/>
  <c r="K63" i="3" s="1"/>
  <c r="AI60" i="3"/>
  <c r="K59" i="3"/>
  <c r="K57" i="3"/>
  <c r="F9" i="3"/>
  <c r="H9" i="14"/>
  <c r="E56" i="3"/>
  <c r="E57" i="3"/>
  <c r="Q56" i="14"/>
  <c r="Q63" i="14" s="1"/>
  <c r="Q57" i="14"/>
  <c r="R56" i="14"/>
  <c r="R63" i="14" s="1"/>
  <c r="R57" i="14"/>
  <c r="T59" i="14"/>
  <c r="AI61" i="14"/>
  <c r="T56" i="14"/>
  <c r="T63" i="14" s="1"/>
  <c r="T57" i="14"/>
  <c r="G23" i="14"/>
  <c r="G22" i="14"/>
  <c r="G29" i="14" s="1"/>
  <c r="H56" i="14"/>
  <c r="H63" i="14" s="1"/>
  <c r="H57" i="14"/>
  <c r="B7" i="7"/>
  <c r="H56" i="3"/>
  <c r="H57" i="3"/>
  <c r="D56" i="14"/>
  <c r="D63" i="14" s="1"/>
  <c r="AN48" i="14"/>
  <c r="D59" i="14"/>
  <c r="D57" i="14"/>
  <c r="O56" i="3"/>
  <c r="O63" i="3" s="1"/>
  <c r="O57" i="3"/>
  <c r="U9" i="14"/>
  <c r="C1517" i="2"/>
  <c r="AM28" i="3"/>
  <c r="D1552" i="2"/>
  <c r="D1562" i="2" s="1"/>
  <c r="D1565" i="2" s="1"/>
  <c r="AM28" i="14"/>
  <c r="T9" i="14"/>
  <c r="Y56" i="14"/>
  <c r="Y63" i="14" s="1"/>
  <c r="Y57" i="14"/>
  <c r="X22" i="3"/>
  <c r="X29" i="3" s="1"/>
  <c r="X23" i="3"/>
  <c r="E23" i="14"/>
  <c r="E22" i="14"/>
  <c r="E29" i="14" s="1"/>
  <c r="R9" i="3"/>
  <c r="K9" i="3"/>
  <c r="M23" i="14"/>
  <c r="M22" i="14"/>
  <c r="M29" i="14" s="1"/>
  <c r="M25" i="14"/>
  <c r="H1517" i="2"/>
  <c r="I1552" i="2"/>
  <c r="I1562" i="2" s="1"/>
  <c r="AR28" i="3"/>
  <c r="AR28" i="14"/>
  <c r="AL44" i="14"/>
  <c r="W56" i="14"/>
  <c r="W63" i="14" s="1"/>
  <c r="W57" i="14"/>
  <c r="AL31" i="14"/>
  <c r="Q9" i="14"/>
  <c r="F63" i="3"/>
  <c r="AG49" i="3"/>
  <c r="AL44" i="3"/>
  <c r="C1577" i="2"/>
  <c r="G56" i="14"/>
  <c r="G63" i="14" s="1"/>
  <c r="G57" i="14"/>
  <c r="BH52" i="3"/>
  <c r="E56" i="14"/>
  <c r="E63" i="14" s="1"/>
  <c r="E57" i="14"/>
  <c r="X22" i="14"/>
  <c r="X29" i="14" s="1"/>
  <c r="X23" i="14"/>
  <c r="P9" i="14"/>
  <c r="O9" i="3"/>
  <c r="T56" i="3"/>
  <c r="T63" i="3" s="1"/>
  <c r="AI61" i="3"/>
  <c r="T59" i="3"/>
  <c r="T57" i="3"/>
  <c r="Y9" i="3"/>
  <c r="D9" i="14"/>
  <c r="B56" i="3"/>
  <c r="B59" i="3"/>
  <c r="B57" i="3"/>
  <c r="J6" i="6"/>
  <c r="C59" i="3"/>
  <c r="AM48" i="3"/>
  <c r="C56" i="3"/>
  <c r="C57" i="3"/>
  <c r="W9" i="14"/>
  <c r="V9" i="14"/>
  <c r="N23" i="14"/>
  <c r="N22" i="14"/>
  <c r="N29" i="14" s="1"/>
  <c r="I22" i="14"/>
  <c r="I29" i="14" s="1"/>
  <c r="I23" i="14"/>
  <c r="X56" i="14"/>
  <c r="X63" i="14" s="1"/>
  <c r="X57" i="14"/>
  <c r="O56" i="14"/>
  <c r="O63" i="14" s="1"/>
  <c r="O57" i="14"/>
  <c r="Z56" i="3"/>
  <c r="Z63" i="3" s="1"/>
  <c r="Z57" i="3"/>
  <c r="K9" i="14"/>
  <c r="J5" i="6"/>
  <c r="Z9" i="3"/>
  <c r="F9" i="14"/>
  <c r="H9" i="3"/>
  <c r="AA56" i="3"/>
  <c r="AA63" i="3" s="1"/>
  <c r="I22" i="3"/>
  <c r="I23" i="3"/>
  <c r="B9" i="14"/>
  <c r="Q9" i="3"/>
  <c r="AZ52" i="3"/>
  <c r="AZ52" i="14"/>
  <c r="E22" i="3"/>
  <c r="E23" i="3"/>
  <c r="D59" i="3"/>
  <c r="D56" i="3"/>
  <c r="AN48" i="3"/>
  <c r="D57" i="3"/>
  <c r="R56" i="3"/>
  <c r="R63" i="3" s="1"/>
  <c r="R57" i="3"/>
  <c r="H18" i="10"/>
  <c r="J18" i="10" s="1"/>
  <c r="D19" i="10"/>
  <c r="AA57" i="3"/>
  <c r="L9" i="3"/>
  <c r="M25" i="3"/>
  <c r="M23" i="3"/>
  <c r="M22" i="3"/>
  <c r="M29" i="3" s="1"/>
  <c r="C59" i="14"/>
  <c r="AM48" i="14"/>
  <c r="C56" i="14"/>
  <c r="C57" i="14"/>
  <c r="W56" i="3"/>
  <c r="W63" i="3" s="1"/>
  <c r="W57" i="3"/>
  <c r="P9" i="3"/>
  <c r="U9" i="3"/>
  <c r="Y9" i="14"/>
  <c r="K56" i="14"/>
  <c r="K63" i="14" s="1"/>
  <c r="AI60" i="14"/>
  <c r="K59" i="14"/>
  <c r="K57" i="14"/>
  <c r="D1517" i="2"/>
  <c r="AN28" i="3"/>
  <c r="AN28" i="14"/>
  <c r="E1552" i="2"/>
  <c r="E1562" i="2" s="1"/>
  <c r="E1565" i="2" s="1"/>
  <c r="G22" i="3"/>
  <c r="G23" i="3"/>
  <c r="H52" i="14"/>
  <c r="AH47" i="14"/>
  <c r="C9" i="14"/>
  <c r="W9" i="3"/>
  <c r="P56" i="3"/>
  <c r="P63" i="3" s="1"/>
  <c r="P57" i="3"/>
  <c r="V9" i="3"/>
  <c r="Z9" i="14"/>
  <c r="F1517" i="2"/>
  <c r="G1552" i="2"/>
  <c r="G1562" i="2" s="1"/>
  <c r="AP28" i="3"/>
  <c r="AP28" i="14"/>
  <c r="BH52" i="14"/>
  <c r="C1562" i="2"/>
  <c r="C1565" i="2" s="1"/>
  <c r="AA9" i="3"/>
  <c r="AA9" i="14"/>
  <c r="Z56" i="14"/>
  <c r="Z63" i="14" s="1"/>
  <c r="Z57" i="14"/>
  <c r="B57" i="14"/>
  <c r="B56" i="14"/>
  <c r="B59" i="14"/>
  <c r="AI59" i="14"/>
  <c r="G56" i="3"/>
  <c r="G57" i="3"/>
  <c r="Q56" i="3"/>
  <c r="Q63" i="3" s="1"/>
  <c r="Q57" i="3"/>
  <c r="B149" i="15"/>
  <c r="B123" i="15"/>
  <c r="B137" i="15"/>
  <c r="L237" i="15"/>
  <c r="L262" i="15"/>
  <c r="L218" i="15"/>
  <c r="L148" i="15"/>
  <c r="L122" i="15"/>
  <c r="L136" i="15"/>
  <c r="B263" i="15"/>
  <c r="B4" i="6" l="1"/>
  <c r="C7" i="15"/>
  <c r="AI59" i="3"/>
  <c r="I4" i="6"/>
  <c r="I7" i="6" s="1"/>
  <c r="I56" i="3"/>
  <c r="I63" i="3" s="1"/>
  <c r="I1518" i="2"/>
  <c r="J3" i="15" s="1"/>
  <c r="J260" i="15" s="1"/>
  <c r="T84" i="15"/>
  <c r="T90" i="15"/>
  <c r="BK47" i="17"/>
  <c r="BK65" i="17" s="1"/>
  <c r="BJ65" i="17"/>
  <c r="T150" i="15"/>
  <c r="BK47" i="16"/>
  <c r="BK65" i="16" s="1"/>
  <c r="BJ65" i="16"/>
  <c r="T70" i="15"/>
  <c r="T76" i="15"/>
  <c r="BK53" i="16"/>
  <c r="BJ60" i="16"/>
  <c r="BJ59" i="16"/>
  <c r="BB60" i="16"/>
  <c r="BB59" i="16"/>
  <c r="AA53" i="16"/>
  <c r="AA60" i="16" s="1"/>
  <c r="Z60" i="16"/>
  <c r="AA53" i="17"/>
  <c r="AA60" i="17" s="1"/>
  <c r="Z60" i="17"/>
  <c r="AJ51" i="16"/>
  <c r="BB60" i="17"/>
  <c r="BB59" i="17"/>
  <c r="BK53" i="17"/>
  <c r="BJ59" i="17"/>
  <c r="BJ60" i="17"/>
  <c r="BA23" i="16"/>
  <c r="BA30" i="16" s="1"/>
  <c r="BA24" i="16"/>
  <c r="BB23" i="17"/>
  <c r="BB30" i="17" s="1"/>
  <c r="BB24" i="17"/>
  <c r="BB23" i="16"/>
  <c r="BB30" i="16" s="1"/>
  <c r="BB24" i="16"/>
  <c r="BA23" i="17"/>
  <c r="BA30" i="17" s="1"/>
  <c r="BA24" i="17"/>
  <c r="U28" i="16"/>
  <c r="U31" i="16" s="1"/>
  <c r="U32" i="16" s="1"/>
  <c r="AM9" i="16" s="1"/>
  <c r="AW67" i="16"/>
  <c r="G1518" i="2"/>
  <c r="H3" i="15" s="1"/>
  <c r="H260" i="15" s="1"/>
  <c r="L23" i="16"/>
  <c r="L30" i="16" s="1"/>
  <c r="L24" i="16"/>
  <c r="L26" i="16"/>
  <c r="X23" i="16"/>
  <c r="X30" i="16" s="1"/>
  <c r="X24" i="16"/>
  <c r="H58" i="17"/>
  <c r="H65" i="17" s="1"/>
  <c r="H59" i="17"/>
  <c r="T59" i="16"/>
  <c r="T58" i="16"/>
  <c r="T65" i="16" s="1"/>
  <c r="T61" i="16"/>
  <c r="AI63" i="16"/>
  <c r="D58" i="17"/>
  <c r="D65" i="17" s="1"/>
  <c r="AN49" i="17"/>
  <c r="D59" i="17"/>
  <c r="D61" i="17"/>
  <c r="AN32" i="16"/>
  <c r="I58" i="17"/>
  <c r="I65" i="17" s="1"/>
  <c r="I59" i="17"/>
  <c r="L23" i="17"/>
  <c r="L30" i="17" s="1"/>
  <c r="L24" i="17"/>
  <c r="L26" i="17"/>
  <c r="N23" i="17"/>
  <c r="N30" i="17" s="1"/>
  <c r="N24" i="17"/>
  <c r="Q59" i="17"/>
  <c r="Q58" i="17"/>
  <c r="Q65" i="17" s="1"/>
  <c r="O58" i="17"/>
  <c r="O65" i="17" s="1"/>
  <c r="O59" i="17"/>
  <c r="C58" i="17"/>
  <c r="C59" i="17"/>
  <c r="C61" i="17"/>
  <c r="AM49" i="17"/>
  <c r="W58" i="17"/>
  <c r="W65" i="17" s="1"/>
  <c r="W59" i="17"/>
  <c r="Z23" i="16"/>
  <c r="Z30" i="16" s="1"/>
  <c r="Z24" i="16"/>
  <c r="V23" i="17"/>
  <c r="V30" i="17" s="1"/>
  <c r="V24" i="17"/>
  <c r="V26" i="17"/>
  <c r="AN32" i="17"/>
  <c r="C23" i="17"/>
  <c r="C30" i="17" s="1"/>
  <c r="AM14" i="17"/>
  <c r="C26" i="17"/>
  <c r="C24" i="17"/>
  <c r="B61" i="17"/>
  <c r="AI61" i="17"/>
  <c r="B58" i="17"/>
  <c r="B59" i="17"/>
  <c r="B24" i="16"/>
  <c r="B23" i="16"/>
  <c r="B26" i="16"/>
  <c r="AI26" i="16"/>
  <c r="W23" i="17"/>
  <c r="W30" i="17" s="1"/>
  <c r="W24" i="17"/>
  <c r="X59" i="16"/>
  <c r="X58" i="16"/>
  <c r="X65" i="16" s="1"/>
  <c r="F23" i="17"/>
  <c r="F30" i="17" s="1"/>
  <c r="F24" i="17"/>
  <c r="T24" i="16"/>
  <c r="T23" i="16"/>
  <c r="T30" i="16" s="1"/>
  <c r="AI28" i="16"/>
  <c r="T26" i="16"/>
  <c r="U59" i="16"/>
  <c r="U58" i="16"/>
  <c r="U65" i="16" s="1"/>
  <c r="U61" i="16"/>
  <c r="P59" i="17"/>
  <c r="P58" i="17"/>
  <c r="P65" i="17" s="1"/>
  <c r="AA58" i="17"/>
  <c r="AA65" i="17" s="1"/>
  <c r="G54" i="16"/>
  <c r="AG48" i="16"/>
  <c r="Y23" i="17"/>
  <c r="Y30" i="17" s="1"/>
  <c r="Y24" i="17"/>
  <c r="W59" i="16"/>
  <c r="W58" i="16"/>
  <c r="W65" i="16" s="1"/>
  <c r="N59" i="16"/>
  <c r="N58" i="16"/>
  <c r="N65" i="16" s="1"/>
  <c r="R23" i="17"/>
  <c r="R30" i="17" s="1"/>
  <c r="R24" i="17"/>
  <c r="G58" i="16"/>
  <c r="G65" i="16" s="1"/>
  <c r="G59" i="16"/>
  <c r="W23" i="16"/>
  <c r="W30" i="16" s="1"/>
  <c r="W24" i="16"/>
  <c r="Y59" i="16"/>
  <c r="Y58" i="16"/>
  <c r="Y65" i="16" s="1"/>
  <c r="T58" i="17"/>
  <c r="T65" i="17" s="1"/>
  <c r="T59" i="17"/>
  <c r="T61" i="17"/>
  <c r="AI63" i="17"/>
  <c r="P23" i="17"/>
  <c r="P30" i="17" s="1"/>
  <c r="P24" i="17"/>
  <c r="P23" i="16"/>
  <c r="P30" i="16" s="1"/>
  <c r="P24" i="16"/>
  <c r="P59" i="16"/>
  <c r="P58" i="16"/>
  <c r="P65" i="16" s="1"/>
  <c r="B24" i="17"/>
  <c r="B23" i="17"/>
  <c r="B26" i="17"/>
  <c r="AI26" i="17"/>
  <c r="M59" i="16"/>
  <c r="M58" i="16"/>
  <c r="M65" i="16" s="1"/>
  <c r="M61" i="16"/>
  <c r="Z59" i="16"/>
  <c r="Z58" i="16"/>
  <c r="Z65" i="16" s="1"/>
  <c r="G23" i="17"/>
  <c r="G30" i="17" s="1"/>
  <c r="G24" i="17"/>
  <c r="Y23" i="16"/>
  <c r="Y30" i="16" s="1"/>
  <c r="Y24" i="16"/>
  <c r="N58" i="17"/>
  <c r="N65" i="17" s="1"/>
  <c r="N59" i="17"/>
  <c r="G23" i="16"/>
  <c r="G30" i="16" s="1"/>
  <c r="G24" i="16"/>
  <c r="V23" i="16"/>
  <c r="V30" i="16" s="1"/>
  <c r="V24" i="16"/>
  <c r="V26" i="16"/>
  <c r="C23" i="16"/>
  <c r="C30" i="16" s="1"/>
  <c r="C24" i="16"/>
  <c r="AM14" i="16"/>
  <c r="C26" i="16"/>
  <c r="M23" i="17"/>
  <c r="M30" i="17" s="1"/>
  <c r="M24" i="17"/>
  <c r="M26" i="17"/>
  <c r="E58" i="16"/>
  <c r="E65" i="16" s="1"/>
  <c r="E59" i="16"/>
  <c r="B58" i="16"/>
  <c r="B59" i="16"/>
  <c r="B61" i="16"/>
  <c r="AI61" i="16"/>
  <c r="R58" i="17"/>
  <c r="R65" i="17" s="1"/>
  <c r="R59" i="17"/>
  <c r="R58" i="16"/>
  <c r="R65" i="16" s="1"/>
  <c r="R59" i="16"/>
  <c r="D23" i="17"/>
  <c r="D30" i="17" s="1"/>
  <c r="D26" i="17"/>
  <c r="D24" i="17"/>
  <c r="AN14" i="17"/>
  <c r="C58" i="16"/>
  <c r="AM49" i="16"/>
  <c r="C59" i="16"/>
  <c r="C61" i="16"/>
  <c r="H23" i="16"/>
  <c r="H30" i="16" s="1"/>
  <c r="H24" i="16"/>
  <c r="I58" i="16"/>
  <c r="I65" i="16" s="1"/>
  <c r="I59" i="16"/>
  <c r="K59" i="17"/>
  <c r="K58" i="17"/>
  <c r="K65" i="17" s="1"/>
  <c r="K61" i="17"/>
  <c r="AI62" i="17"/>
  <c r="F58" i="16"/>
  <c r="F65" i="16" s="1"/>
  <c r="F59" i="16"/>
  <c r="AA23" i="17"/>
  <c r="AA30" i="17" s="1"/>
  <c r="AA24" i="17"/>
  <c r="Z23" i="17"/>
  <c r="Z30" i="17" s="1"/>
  <c r="Z24" i="17"/>
  <c r="K24" i="17"/>
  <c r="AI27" i="17"/>
  <c r="K23" i="17"/>
  <c r="K30" i="17" s="1"/>
  <c r="K26" i="17"/>
  <c r="R23" i="16"/>
  <c r="R30" i="16" s="1"/>
  <c r="R24" i="16"/>
  <c r="AA23" i="16"/>
  <c r="AA30" i="16" s="1"/>
  <c r="AA24" i="16"/>
  <c r="Q59" i="16"/>
  <c r="Q58" i="16"/>
  <c r="Q65" i="16" s="1"/>
  <c r="N23" i="16"/>
  <c r="N30" i="16" s="1"/>
  <c r="N24" i="16"/>
  <c r="Z59" i="17"/>
  <c r="Z58" i="17"/>
  <c r="Z65" i="17" s="1"/>
  <c r="V58" i="17"/>
  <c r="V65" i="17" s="1"/>
  <c r="V61" i="17"/>
  <c r="V59" i="17"/>
  <c r="D23" i="16"/>
  <c r="D30" i="16" s="1"/>
  <c r="D24" i="16"/>
  <c r="AN14" i="16"/>
  <c r="D26" i="16"/>
  <c r="AA58" i="16"/>
  <c r="AA65" i="16" s="1"/>
  <c r="V61" i="16"/>
  <c r="V59" i="16"/>
  <c r="V58" i="16"/>
  <c r="V65" i="16" s="1"/>
  <c r="Q23" i="17"/>
  <c r="Q30" i="17" s="1"/>
  <c r="Q24" i="17"/>
  <c r="E23" i="17"/>
  <c r="E30" i="17" s="1"/>
  <c r="E24" i="17"/>
  <c r="O23" i="17"/>
  <c r="O30" i="17" s="1"/>
  <c r="O24" i="17"/>
  <c r="U59" i="17"/>
  <c r="U58" i="17"/>
  <c r="U65" i="17" s="1"/>
  <c r="U61" i="17"/>
  <c r="E23" i="16"/>
  <c r="E30" i="16" s="1"/>
  <c r="E24" i="16"/>
  <c r="BG54" i="17"/>
  <c r="BF61" i="17"/>
  <c r="BF63" i="17" s="1"/>
  <c r="BF66" i="17" s="1"/>
  <c r="BF67" i="17" s="1"/>
  <c r="AY54" i="16"/>
  <c r="BG54" i="16"/>
  <c r="BF61" i="16"/>
  <c r="BF63" i="16" s="1"/>
  <c r="BF66" i="16" s="1"/>
  <c r="BF67" i="16" s="1"/>
  <c r="I23" i="17"/>
  <c r="I30" i="17" s="1"/>
  <c r="I24" i="17"/>
  <c r="K24" i="16"/>
  <c r="K26" i="16"/>
  <c r="K23" i="16"/>
  <c r="K30" i="16" s="1"/>
  <c r="AI27" i="16"/>
  <c r="I23" i="16"/>
  <c r="I30" i="16" s="1"/>
  <c r="I24" i="16"/>
  <c r="M59" i="17"/>
  <c r="M58" i="17"/>
  <c r="M65" i="17" s="1"/>
  <c r="M61" i="17"/>
  <c r="F58" i="17"/>
  <c r="F65" i="17" s="1"/>
  <c r="F59" i="17"/>
  <c r="O23" i="16"/>
  <c r="O30" i="16" s="1"/>
  <c r="O24" i="16"/>
  <c r="AM32" i="16"/>
  <c r="Y59" i="17"/>
  <c r="Y58" i="17"/>
  <c r="Y65" i="17" s="1"/>
  <c r="F23" i="16"/>
  <c r="F30" i="16" s="1"/>
  <c r="F24" i="16"/>
  <c r="L61" i="16"/>
  <c r="L58" i="16"/>
  <c r="L65" i="16" s="1"/>
  <c r="L59" i="16"/>
  <c r="M23" i="16"/>
  <c r="M30" i="16" s="1"/>
  <c r="M24" i="16"/>
  <c r="M26" i="16"/>
  <c r="X23" i="17"/>
  <c r="X30" i="17" s="1"/>
  <c r="X24" i="17"/>
  <c r="G54" i="17"/>
  <c r="AG48" i="17"/>
  <c r="K59" i="16"/>
  <c r="K58" i="16"/>
  <c r="K65" i="16" s="1"/>
  <c r="K61" i="16"/>
  <c r="AI62" i="16"/>
  <c r="O59" i="16"/>
  <c r="O58" i="16"/>
  <c r="O65" i="16" s="1"/>
  <c r="U23" i="17"/>
  <c r="U30" i="17" s="1"/>
  <c r="U24" i="17"/>
  <c r="U26" i="17"/>
  <c r="H23" i="17"/>
  <c r="H30" i="17" s="1"/>
  <c r="H24" i="17"/>
  <c r="H58" i="16"/>
  <c r="H65" i="16" s="1"/>
  <c r="H59" i="16"/>
  <c r="D58" i="16"/>
  <c r="D65" i="16" s="1"/>
  <c r="D59" i="16"/>
  <c r="AN49" i="16"/>
  <c r="D61" i="16"/>
  <c r="T23" i="17"/>
  <c r="T30" i="17" s="1"/>
  <c r="T24" i="17"/>
  <c r="AI28" i="17"/>
  <c r="T26" i="17"/>
  <c r="X59" i="17"/>
  <c r="X58" i="17"/>
  <c r="X65" i="17" s="1"/>
  <c r="E58" i="17"/>
  <c r="E65" i="17" s="1"/>
  <c r="E59" i="17"/>
  <c r="L58" i="17"/>
  <c r="L65" i="17" s="1"/>
  <c r="L61" i="17"/>
  <c r="L59" i="17"/>
  <c r="Q23" i="16"/>
  <c r="Q30" i="16" s="1"/>
  <c r="Q24" i="16"/>
  <c r="G58" i="17"/>
  <c r="G65" i="17" s="1"/>
  <c r="G59" i="17"/>
  <c r="AM32" i="17"/>
  <c r="BI57" i="3"/>
  <c r="BI56" i="3"/>
  <c r="BI63" i="3" s="1"/>
  <c r="BK46" i="3"/>
  <c r="BK43" i="3" s="1"/>
  <c r="BJ43" i="3"/>
  <c r="J4" i="7"/>
  <c r="Q225" i="15"/>
  <c r="Q11" i="15" s="1"/>
  <c r="Q17" i="15" s="1"/>
  <c r="Q144" i="15" s="1"/>
  <c r="Q250" i="15"/>
  <c r="Q221" i="15"/>
  <c r="M61" i="14"/>
  <c r="M64" i="14" s="1"/>
  <c r="M65" i="14" s="1"/>
  <c r="AN42" i="14" s="1"/>
  <c r="M61" i="3"/>
  <c r="D1531" i="2" s="1"/>
  <c r="Q224" i="15"/>
  <c r="Q10" i="15" s="1"/>
  <c r="Q16" i="15" s="1"/>
  <c r="Q143" i="15" s="1"/>
  <c r="L64" i="14"/>
  <c r="L65" i="14" s="1"/>
  <c r="AM42" i="14" s="1"/>
  <c r="Q227" i="15"/>
  <c r="Q226" i="15"/>
  <c r="Q228" i="15"/>
  <c r="BA23" i="14"/>
  <c r="BA22" i="14"/>
  <c r="BA29" i="14" s="1"/>
  <c r="BB23" i="14"/>
  <c r="BB22" i="14"/>
  <c r="BB29" i="14" s="1"/>
  <c r="BB23" i="3"/>
  <c r="BB22" i="3"/>
  <c r="BB29" i="3" s="1"/>
  <c r="M27" i="3"/>
  <c r="M30" i="3" s="1"/>
  <c r="M31" i="3" s="1"/>
  <c r="BA22" i="3"/>
  <c r="BA29" i="3" s="1"/>
  <c r="BA23" i="3"/>
  <c r="U64" i="14"/>
  <c r="U65" i="14" s="1"/>
  <c r="V64" i="14"/>
  <c r="V65" i="14" s="1"/>
  <c r="U61" i="3"/>
  <c r="U64" i="3" s="1"/>
  <c r="U65" i="3" s="1"/>
  <c r="AM43" i="3" s="1"/>
  <c r="C5" i="9" s="1"/>
  <c r="T224" i="15"/>
  <c r="T10" i="15" s="1"/>
  <c r="T16" i="15" s="1"/>
  <c r="T143" i="15" s="1"/>
  <c r="T228" i="15"/>
  <c r="T225" i="15"/>
  <c r="T11" i="15" s="1"/>
  <c r="T17" i="15" s="1"/>
  <c r="T144" i="15" s="1"/>
  <c r="N224" i="15"/>
  <c r="N10" i="15" s="1"/>
  <c r="N16" i="15" s="1"/>
  <c r="N143" i="15" s="1"/>
  <c r="L61" i="3"/>
  <c r="C1531" i="2" s="1"/>
  <c r="R227" i="15"/>
  <c r="T227" i="15"/>
  <c r="T221" i="15"/>
  <c r="R223" i="15"/>
  <c r="R9" i="15" s="1"/>
  <c r="R15" i="15" s="1"/>
  <c r="R142" i="15" s="1"/>
  <c r="T250" i="15"/>
  <c r="N223" i="15"/>
  <c r="N9" i="15" s="1"/>
  <c r="N15" i="15" s="1"/>
  <c r="N142" i="15" s="1"/>
  <c r="R226" i="15"/>
  <c r="O225" i="15"/>
  <c r="O11" i="15" s="1"/>
  <c r="O17" i="15" s="1"/>
  <c r="O144" i="15" s="1"/>
  <c r="O223" i="15"/>
  <c r="O9" i="15" s="1"/>
  <c r="O15" i="15" s="1"/>
  <c r="O142" i="15" s="1"/>
  <c r="T223" i="15"/>
  <c r="S224" i="15"/>
  <c r="S10" i="15" s="1"/>
  <c r="S16" i="15" s="1"/>
  <c r="S143" i="15" s="1"/>
  <c r="R228" i="15"/>
  <c r="R225" i="15"/>
  <c r="R11" i="15" s="1"/>
  <c r="R17" i="15" s="1"/>
  <c r="R144" i="15" s="1"/>
  <c r="R221" i="15"/>
  <c r="S228" i="15"/>
  <c r="R250" i="15"/>
  <c r="S225" i="15"/>
  <c r="S11" i="15" s="1"/>
  <c r="S17" i="15" s="1"/>
  <c r="S144" i="15" s="1"/>
  <c r="AQ31" i="3"/>
  <c r="S250" i="15"/>
  <c r="S227" i="15"/>
  <c r="S221" i="15"/>
  <c r="S223" i="15"/>
  <c r="S9" i="15" s="1"/>
  <c r="S15" i="15" s="1"/>
  <c r="S142" i="15" s="1"/>
  <c r="P221" i="15"/>
  <c r="O226" i="15"/>
  <c r="O224" i="15"/>
  <c r="O10" i="15" s="1"/>
  <c r="O16" i="15" s="1"/>
  <c r="O143" i="15" s="1"/>
  <c r="O228" i="15"/>
  <c r="O221" i="15"/>
  <c r="O250" i="15"/>
  <c r="P228" i="15"/>
  <c r="P250" i="15"/>
  <c r="P225" i="15"/>
  <c r="P11" i="15" s="1"/>
  <c r="P17" i="15" s="1"/>
  <c r="P144" i="15" s="1"/>
  <c r="P227" i="15"/>
  <c r="P224" i="15"/>
  <c r="P10" i="15" s="1"/>
  <c r="P16" i="15" s="1"/>
  <c r="P143" i="15" s="1"/>
  <c r="P226" i="15"/>
  <c r="N227" i="15"/>
  <c r="N221" i="15"/>
  <c r="J7" i="7"/>
  <c r="N228" i="15"/>
  <c r="N226" i="15"/>
  <c r="N250" i="15"/>
  <c r="AO31" i="3"/>
  <c r="E1518" i="2"/>
  <c r="F3" i="15" s="1"/>
  <c r="F260" i="15" s="1"/>
  <c r="C61" i="3"/>
  <c r="C1529" i="2" s="1"/>
  <c r="D61" i="14"/>
  <c r="D64" i="14" s="1"/>
  <c r="D65" i="14" s="1"/>
  <c r="AN41" i="14" s="1"/>
  <c r="T61" i="14"/>
  <c r="T64" i="14" s="1"/>
  <c r="T65" i="14" s="1"/>
  <c r="AF66" i="3"/>
  <c r="M145" i="15"/>
  <c r="M165" i="15" s="1"/>
  <c r="B159" i="15"/>
  <c r="B167" i="15" s="1"/>
  <c r="I53" i="15"/>
  <c r="J26" i="15"/>
  <c r="J53" i="15" s="1"/>
  <c r="S53" i="15"/>
  <c r="T26" i="15"/>
  <c r="T53" i="15" s="1"/>
  <c r="R57" i="15"/>
  <c r="R128" i="15"/>
  <c r="R132" i="15" s="1"/>
  <c r="R163" i="15" s="1"/>
  <c r="B217" i="15"/>
  <c r="B121" i="15"/>
  <c r="B236" i="15"/>
  <c r="B135" i="15"/>
  <c r="H128" i="15"/>
  <c r="H132" i="15" s="1"/>
  <c r="H163" i="15" s="1"/>
  <c r="H57" i="15"/>
  <c r="BK63" i="14"/>
  <c r="BK57" i="14"/>
  <c r="BK58" i="14"/>
  <c r="G7" i="15"/>
  <c r="F1518" i="2"/>
  <c r="G3" i="15" s="1"/>
  <c r="G260" i="15" s="1"/>
  <c r="T61" i="3"/>
  <c r="B1533" i="2" s="1"/>
  <c r="M27" i="14"/>
  <c r="M30" i="14" s="1"/>
  <c r="M31" i="14" s="1"/>
  <c r="AN8" i="14" s="1"/>
  <c r="D7" i="15"/>
  <c r="C1518" i="2"/>
  <c r="D3" i="15" s="1"/>
  <c r="D260" i="15" s="1"/>
  <c r="M222" i="15"/>
  <c r="E7" i="15"/>
  <c r="D1518" i="2"/>
  <c r="E3" i="15" s="1"/>
  <c r="E260" i="15" s="1"/>
  <c r="C221" i="15"/>
  <c r="C227" i="15"/>
  <c r="C225" i="15"/>
  <c r="C11" i="15" s="1"/>
  <c r="C17" i="15" s="1"/>
  <c r="C144" i="15" s="1"/>
  <c r="C250" i="15"/>
  <c r="C223" i="15"/>
  <c r="C9" i="15" s="1"/>
  <c r="C15" i="15" s="1"/>
  <c r="C142" i="15" s="1"/>
  <c r="C226" i="15"/>
  <c r="C224" i="15"/>
  <c r="C10" i="15" s="1"/>
  <c r="C16" i="15" s="1"/>
  <c r="C143" i="15" s="1"/>
  <c r="C228" i="15"/>
  <c r="B61" i="14"/>
  <c r="F221" i="15"/>
  <c r="F250" i="15"/>
  <c r="F228" i="15"/>
  <c r="F225" i="15"/>
  <c r="F11" i="15" s="1"/>
  <c r="F17" i="15" s="1"/>
  <c r="F144" i="15" s="1"/>
  <c r="F223" i="15"/>
  <c r="F9" i="15" s="1"/>
  <c r="F15" i="15" s="1"/>
  <c r="F142" i="15" s="1"/>
  <c r="F226" i="15"/>
  <c r="F227" i="15"/>
  <c r="F224" i="15"/>
  <c r="F10" i="15" s="1"/>
  <c r="F16" i="15" s="1"/>
  <c r="F143" i="15" s="1"/>
  <c r="J221" i="15"/>
  <c r="J250" i="15"/>
  <c r="J224" i="15"/>
  <c r="J10" i="15" s="1"/>
  <c r="J16" i="15" s="1"/>
  <c r="J143" i="15" s="1"/>
  <c r="J228" i="15"/>
  <c r="J223" i="15"/>
  <c r="J9" i="15" s="1"/>
  <c r="J15" i="15" s="1"/>
  <c r="J142" i="15" s="1"/>
  <c r="J227" i="15"/>
  <c r="J226" i="15"/>
  <c r="J225" i="15"/>
  <c r="J11" i="15" s="1"/>
  <c r="J17" i="15" s="1"/>
  <c r="J144" i="15" s="1"/>
  <c r="AF66" i="14"/>
  <c r="I7" i="15"/>
  <c r="H1518" i="2"/>
  <c r="I3" i="15" s="1"/>
  <c r="I260" i="15" s="1"/>
  <c r="H221" i="15"/>
  <c r="H250" i="15"/>
  <c r="H226" i="15"/>
  <c r="H223" i="15"/>
  <c r="H9" i="15" s="1"/>
  <c r="H15" i="15" s="1"/>
  <c r="H142" i="15" s="1"/>
  <c r="H224" i="15"/>
  <c r="H10" i="15" s="1"/>
  <c r="H16" i="15" s="1"/>
  <c r="H143" i="15" s="1"/>
  <c r="H227" i="15"/>
  <c r="H225" i="15"/>
  <c r="H11" i="15" s="1"/>
  <c r="H17" i="15" s="1"/>
  <c r="H144" i="15" s="1"/>
  <c r="H228" i="15"/>
  <c r="M218" i="15"/>
  <c r="G63" i="3"/>
  <c r="AH49" i="3"/>
  <c r="AF50" i="14"/>
  <c r="AJ50" i="14"/>
  <c r="AH50" i="14"/>
  <c r="AG50" i="14"/>
  <c r="AE50" i="14"/>
  <c r="AE51" i="14" s="1"/>
  <c r="AE52" i="14" s="1"/>
  <c r="AE53" i="14" s="1"/>
  <c r="AN45" i="14" s="1"/>
  <c r="AI50" i="14"/>
  <c r="AC50" i="14"/>
  <c r="AC51" i="14" s="1"/>
  <c r="B63" i="14"/>
  <c r="AP31" i="14"/>
  <c r="C22" i="14"/>
  <c r="C29" i="14" s="1"/>
  <c r="C25" i="14"/>
  <c r="AM14" i="14"/>
  <c r="C23" i="14"/>
  <c r="G29" i="3"/>
  <c r="AH15" i="3"/>
  <c r="AN31" i="14"/>
  <c r="Y23" i="14"/>
  <c r="Y22" i="14"/>
  <c r="Y29" i="14" s="1"/>
  <c r="U22" i="3"/>
  <c r="U29" i="3" s="1"/>
  <c r="U25" i="3"/>
  <c r="U23" i="3"/>
  <c r="C63" i="14"/>
  <c r="AD50" i="14"/>
  <c r="AD51" i="14" s="1"/>
  <c r="AD52" i="14" s="1"/>
  <c r="AD53" i="14" s="1"/>
  <c r="AM45" i="14" s="1"/>
  <c r="B22" i="14"/>
  <c r="B23" i="14"/>
  <c r="B25" i="14"/>
  <c r="AI25" i="14"/>
  <c r="I29" i="3"/>
  <c r="AJ15" i="3"/>
  <c r="H22" i="3"/>
  <c r="H23" i="3"/>
  <c r="AM52" i="3"/>
  <c r="B63" i="3"/>
  <c r="AC49" i="3"/>
  <c r="AC50" i="3" s="1"/>
  <c r="O23" i="3"/>
  <c r="O22" i="3"/>
  <c r="O29" i="3" s="1"/>
  <c r="U22" i="14"/>
  <c r="U29" i="14" s="1"/>
  <c r="U25" i="14"/>
  <c r="U23" i="14"/>
  <c r="H63" i="3"/>
  <c r="AI49" i="3"/>
  <c r="B22" i="3"/>
  <c r="B25" i="3"/>
  <c r="AI25" i="3"/>
  <c r="B23" i="3"/>
  <c r="C22" i="3"/>
  <c r="C23" i="3"/>
  <c r="C25" i="3"/>
  <c r="AM14" i="3"/>
  <c r="O23" i="14"/>
  <c r="O22" i="14"/>
  <c r="O29" i="14" s="1"/>
  <c r="BI52" i="14"/>
  <c r="F4" i="6"/>
  <c r="F7" i="6" s="1"/>
  <c r="AP31" i="3"/>
  <c r="Z22" i="14"/>
  <c r="Z29" i="14" s="1"/>
  <c r="Z23" i="14"/>
  <c r="W23" i="3"/>
  <c r="W22" i="3"/>
  <c r="W29" i="3" s="1"/>
  <c r="D4" i="6"/>
  <c r="D7" i="6" s="1"/>
  <c r="AN31" i="3"/>
  <c r="AM52" i="14"/>
  <c r="L22" i="3"/>
  <c r="L29" i="3" s="1"/>
  <c r="L25" i="3"/>
  <c r="L23" i="3"/>
  <c r="D61" i="3"/>
  <c r="Z23" i="3"/>
  <c r="Z22" i="3"/>
  <c r="Z29" i="3" s="1"/>
  <c r="W22" i="14"/>
  <c r="W29" i="14" s="1"/>
  <c r="W23" i="14"/>
  <c r="B61" i="3"/>
  <c r="AN14" i="14"/>
  <c r="D25" i="14"/>
  <c r="D22" i="14"/>
  <c r="D29" i="14" s="1"/>
  <c r="D23" i="14"/>
  <c r="BI52" i="3"/>
  <c r="Q23" i="14"/>
  <c r="Q22" i="14"/>
  <c r="Q29" i="14" s="1"/>
  <c r="C4" i="6"/>
  <c r="C7" i="6" s="1"/>
  <c r="AM31" i="3"/>
  <c r="E63" i="3"/>
  <c r="AF49" i="3"/>
  <c r="H22" i="14"/>
  <c r="H29" i="14" s="1"/>
  <c r="H23" i="14"/>
  <c r="AN14" i="3"/>
  <c r="D22" i="3"/>
  <c r="D25" i="3"/>
  <c r="D23" i="3"/>
  <c r="I52" i="3"/>
  <c r="AA22" i="14"/>
  <c r="AA29" i="14" s="1"/>
  <c r="AA23" i="14"/>
  <c r="V23" i="3"/>
  <c r="V22" i="3"/>
  <c r="V29" i="3" s="1"/>
  <c r="V25" i="3"/>
  <c r="AA22" i="3"/>
  <c r="AA29" i="3" s="1"/>
  <c r="AA23" i="3"/>
  <c r="AI47" i="14"/>
  <c r="I52" i="14"/>
  <c r="AN52" i="3"/>
  <c r="AF15" i="3"/>
  <c r="E29" i="3"/>
  <c r="BA52" i="14"/>
  <c r="Q22" i="3"/>
  <c r="Q29" i="3" s="1"/>
  <c r="Q23" i="3"/>
  <c r="B7" i="6"/>
  <c r="P23" i="14"/>
  <c r="P22" i="14"/>
  <c r="P29" i="14" s="1"/>
  <c r="D1533" i="2"/>
  <c r="V64" i="3"/>
  <c r="V65" i="3" s="1"/>
  <c r="AR31" i="14"/>
  <c r="K25" i="3"/>
  <c r="K22" i="3"/>
  <c r="K29" i="3" s="1"/>
  <c r="AI26" i="3"/>
  <c r="K23" i="3"/>
  <c r="R23" i="3"/>
  <c r="R22" i="3"/>
  <c r="R29" i="3" s="1"/>
  <c r="T25" i="14"/>
  <c r="T22" i="14"/>
  <c r="T29" i="14" s="1"/>
  <c r="AI27" i="14"/>
  <c r="T23" i="14"/>
  <c r="AN52" i="14"/>
  <c r="F22" i="3"/>
  <c r="F23" i="3"/>
  <c r="T25" i="3"/>
  <c r="AI27" i="3"/>
  <c r="T22" i="3"/>
  <c r="T29" i="3" s="1"/>
  <c r="T23" i="3"/>
  <c r="L23" i="14"/>
  <c r="L22" i="14"/>
  <c r="L29" i="14" s="1"/>
  <c r="L25" i="14"/>
  <c r="K61" i="14"/>
  <c r="K64" i="14" s="1"/>
  <c r="P22" i="3"/>
  <c r="P29" i="3" s="1"/>
  <c r="P23" i="3"/>
  <c r="C61" i="14"/>
  <c r="H19" i="10"/>
  <c r="J19" i="10" s="1"/>
  <c r="D20" i="10"/>
  <c r="D63" i="3"/>
  <c r="AE49" i="3"/>
  <c r="AE50" i="3" s="1"/>
  <c r="AE51" i="3" s="1"/>
  <c r="AE52" i="3" s="1"/>
  <c r="BA52" i="3"/>
  <c r="F22" i="14"/>
  <c r="F29" i="14" s="1"/>
  <c r="F23" i="14"/>
  <c r="K25" i="14"/>
  <c r="K23" i="14"/>
  <c r="K22" i="14"/>
  <c r="K29" i="14" s="1"/>
  <c r="AI26" i="14"/>
  <c r="V23" i="14"/>
  <c r="V22" i="14"/>
  <c r="V29" i="14" s="1"/>
  <c r="V25" i="14"/>
  <c r="C63" i="3"/>
  <c r="AD49" i="3"/>
  <c r="AD50" i="3" s="1"/>
  <c r="AD51" i="3" s="1"/>
  <c r="AD52" i="3" s="1"/>
  <c r="Y22" i="3"/>
  <c r="Y29" i="3" s="1"/>
  <c r="Y23" i="3"/>
  <c r="AR31" i="3"/>
  <c r="H4" i="6"/>
  <c r="H7" i="6" s="1"/>
  <c r="AM31" i="14"/>
  <c r="K61" i="3"/>
  <c r="R23" i="14"/>
  <c r="R22" i="14"/>
  <c r="R29" i="14" s="1"/>
  <c r="B264" i="15"/>
  <c r="L238" i="15"/>
  <c r="L263" i="15"/>
  <c r="D218" i="15"/>
  <c r="L149" i="15"/>
  <c r="L151" i="15" s="1"/>
  <c r="L166" i="15" s="1"/>
  <c r="L123" i="15"/>
  <c r="L125" i="15" s="1"/>
  <c r="L162" i="15" s="1"/>
  <c r="L137" i="15"/>
  <c r="L139" i="15" s="1"/>
  <c r="L164" i="15" s="1"/>
  <c r="N218" i="15"/>
  <c r="C218" i="15"/>
  <c r="L191" i="15"/>
  <c r="C1533" i="2" l="1"/>
  <c r="AJ49" i="3"/>
  <c r="AA59" i="17"/>
  <c r="AA59" i="16"/>
  <c r="V63" i="16"/>
  <c r="V66" i="16" s="1"/>
  <c r="V67" i="16" s="1"/>
  <c r="T28" i="17"/>
  <c r="T31" i="17" s="1"/>
  <c r="T32" i="17" s="1"/>
  <c r="BK60" i="17"/>
  <c r="BK59" i="17"/>
  <c r="BK60" i="16"/>
  <c r="BK59" i="16"/>
  <c r="AF68" i="17"/>
  <c r="K63" i="17"/>
  <c r="K66" i="17" s="1"/>
  <c r="K67" i="17" s="1"/>
  <c r="U63" i="17"/>
  <c r="U66" i="17" s="1"/>
  <c r="U67" i="17" s="1"/>
  <c r="L63" i="16"/>
  <c r="L66" i="16" s="1"/>
  <c r="L67" i="16" s="1"/>
  <c r="AM43" i="16" s="1"/>
  <c r="L28" i="16"/>
  <c r="L31" i="16" s="1"/>
  <c r="L32" i="16" s="1"/>
  <c r="AM8" i="16" s="1"/>
  <c r="B28" i="17"/>
  <c r="B63" i="17"/>
  <c r="T63" i="16"/>
  <c r="T66" i="16" s="1"/>
  <c r="T67" i="16" s="1"/>
  <c r="K28" i="17"/>
  <c r="K31" i="17" s="1"/>
  <c r="T28" i="16"/>
  <c r="T31" i="16" s="1"/>
  <c r="T32" i="16" s="1"/>
  <c r="D28" i="16"/>
  <c r="D31" i="16" s="1"/>
  <c r="D32" i="16" s="1"/>
  <c r="AN7" i="16" s="1"/>
  <c r="D28" i="17"/>
  <c r="D31" i="17" s="1"/>
  <c r="D32" i="17" s="1"/>
  <c r="AN7" i="17" s="1"/>
  <c r="U28" i="17"/>
  <c r="U31" i="17" s="1"/>
  <c r="U32" i="17" s="1"/>
  <c r="AM9" i="17" s="1"/>
  <c r="T63" i="17"/>
  <c r="T66" i="17" s="1"/>
  <c r="L28" i="17"/>
  <c r="L31" i="17" s="1"/>
  <c r="L32" i="17" s="1"/>
  <c r="AM8" i="17" s="1"/>
  <c r="D63" i="16"/>
  <c r="D66" i="16" s="1"/>
  <c r="D67" i="16" s="1"/>
  <c r="AN42" i="16" s="1"/>
  <c r="K28" i="16"/>
  <c r="K31" i="16" s="1"/>
  <c r="K32" i="16" s="1"/>
  <c r="AF33" i="17"/>
  <c r="AF33" i="16"/>
  <c r="C28" i="17"/>
  <c r="C31" i="17" s="1"/>
  <c r="C32" i="17" s="1"/>
  <c r="AM7" i="17" s="1"/>
  <c r="AN45" i="16"/>
  <c r="U63" i="16"/>
  <c r="U66" i="16" s="1"/>
  <c r="U67" i="16" s="1"/>
  <c r="L63" i="17"/>
  <c r="L66" i="17" s="1"/>
  <c r="L67" i="17" s="1"/>
  <c r="AM43" i="17" s="1"/>
  <c r="M28" i="16"/>
  <c r="M31" i="16" s="1"/>
  <c r="M32" i="16" s="1"/>
  <c r="AN8" i="16" s="1"/>
  <c r="AM54" i="16"/>
  <c r="AM19" i="16"/>
  <c r="D63" i="17"/>
  <c r="D66" i="17" s="1"/>
  <c r="D67" i="17" s="1"/>
  <c r="AN42" i="17" s="1"/>
  <c r="K63" i="16"/>
  <c r="K66" i="16" s="1"/>
  <c r="BH54" i="17"/>
  <c r="AN19" i="16"/>
  <c r="C65" i="16"/>
  <c r="AD52" i="16"/>
  <c r="AD53" i="16" s="1"/>
  <c r="AD54" i="16" s="1"/>
  <c r="AD55" i="16" s="1"/>
  <c r="AM46" i="16" s="1"/>
  <c r="C28" i="16"/>
  <c r="C31" i="16" s="1"/>
  <c r="C32" i="16" s="1"/>
  <c r="AM7" i="16" s="1"/>
  <c r="V28" i="17"/>
  <c r="V31" i="17" s="1"/>
  <c r="AM54" i="17"/>
  <c r="AN54" i="17"/>
  <c r="AN19" i="17"/>
  <c r="AC17" i="17"/>
  <c r="AC18" i="17" s="1"/>
  <c r="AE17" i="17"/>
  <c r="AE18" i="17" s="1"/>
  <c r="AE19" i="17" s="1"/>
  <c r="AE20" i="17" s="1"/>
  <c r="AN11" i="17" s="1"/>
  <c r="B30" i="17"/>
  <c r="AD17" i="17"/>
  <c r="AD18" i="17" s="1"/>
  <c r="AD19" i="17" s="1"/>
  <c r="AD20" i="17" s="1"/>
  <c r="AM11" i="17" s="1"/>
  <c r="AF17" i="17"/>
  <c r="AG17" i="17"/>
  <c r="AH17" i="17"/>
  <c r="AI17" i="17"/>
  <c r="AJ17" i="17"/>
  <c r="H54" i="16"/>
  <c r="AH48" i="16"/>
  <c r="C63" i="17"/>
  <c r="AF68" i="16"/>
  <c r="V63" i="17"/>
  <c r="V66" i="17" s="1"/>
  <c r="V67" i="17" s="1"/>
  <c r="M28" i="17"/>
  <c r="M31" i="17" s="1"/>
  <c r="M32" i="17" s="1"/>
  <c r="AN8" i="17" s="1"/>
  <c r="V28" i="16"/>
  <c r="V31" i="16" s="1"/>
  <c r="V32" i="16" s="1"/>
  <c r="AN9" i="16" s="1"/>
  <c r="AE17" i="16"/>
  <c r="AE18" i="16" s="1"/>
  <c r="AE19" i="16" s="1"/>
  <c r="AE20" i="16" s="1"/>
  <c r="AN11" i="16" s="1"/>
  <c r="AD17" i="16"/>
  <c r="AD18" i="16" s="1"/>
  <c r="AD19" i="16" s="1"/>
  <c r="AD20" i="16" s="1"/>
  <c r="AM11" i="16" s="1"/>
  <c r="B30" i="16"/>
  <c r="AC17" i="16"/>
  <c r="AC18" i="16" s="1"/>
  <c r="AF17" i="16"/>
  <c r="AF18" i="16" s="1"/>
  <c r="AF19" i="16" s="1"/>
  <c r="AF20" i="16" s="1"/>
  <c r="AO11" i="16" s="1"/>
  <c r="AG17" i="16"/>
  <c r="AG18" i="16" s="1"/>
  <c r="AG19" i="16" s="1"/>
  <c r="AG20" i="16" s="1"/>
  <c r="AP11" i="16" s="1"/>
  <c r="AH17" i="16"/>
  <c r="AH18" i="16" s="1"/>
  <c r="AH19" i="16" s="1"/>
  <c r="AH20" i="16" s="1"/>
  <c r="AQ11" i="16" s="1"/>
  <c r="AI17" i="16"/>
  <c r="AI18" i="16" s="1"/>
  <c r="AI19" i="16" s="1"/>
  <c r="AI20" i="16" s="1"/>
  <c r="AR11" i="16" s="1"/>
  <c r="AJ17" i="16"/>
  <c r="AJ18" i="16" s="1"/>
  <c r="AJ19" i="16" s="1"/>
  <c r="AJ20" i="16" s="1"/>
  <c r="AS11" i="16" s="1"/>
  <c r="AM19" i="17"/>
  <c r="C65" i="17"/>
  <c r="AD52" i="17"/>
  <c r="AD53" i="17" s="1"/>
  <c r="AD54" i="17" s="1"/>
  <c r="AD55" i="17" s="1"/>
  <c r="AM46" i="17" s="1"/>
  <c r="H54" i="17"/>
  <c r="AH48" i="17"/>
  <c r="BH54" i="16"/>
  <c r="B63" i="16"/>
  <c r="M63" i="16"/>
  <c r="M66" i="16" s="1"/>
  <c r="M67" i="16" s="1"/>
  <c r="AN43" i="16" s="1"/>
  <c r="B28" i="16"/>
  <c r="AN54" i="16"/>
  <c r="M63" i="17"/>
  <c r="M66" i="17" s="1"/>
  <c r="M67" i="17" s="1"/>
  <c r="AN43" i="17" s="1"/>
  <c r="AZ54" i="16"/>
  <c r="C63" i="16"/>
  <c r="B65" i="16"/>
  <c r="AC52" i="16"/>
  <c r="AC53" i="16" s="1"/>
  <c r="AE52" i="16"/>
  <c r="AE53" i="16" s="1"/>
  <c r="AE54" i="16" s="1"/>
  <c r="AE55" i="16" s="1"/>
  <c r="AN46" i="16" s="1"/>
  <c r="AF52" i="16"/>
  <c r="AF53" i="16" s="1"/>
  <c r="AF54" i="16" s="1"/>
  <c r="AF55" i="16" s="1"/>
  <c r="AO46" i="16" s="1"/>
  <c r="AG52" i="16"/>
  <c r="AG53" i="16" s="1"/>
  <c r="AG54" i="16" s="1"/>
  <c r="AG55" i="16" s="1"/>
  <c r="AP46" i="16" s="1"/>
  <c r="AH52" i="16"/>
  <c r="AH53" i="16" s="1"/>
  <c r="AH54" i="16" s="1"/>
  <c r="AH55" i="16" s="1"/>
  <c r="AQ46" i="16" s="1"/>
  <c r="AI52" i="16"/>
  <c r="AI53" i="16" s="1"/>
  <c r="AI54" i="16" s="1"/>
  <c r="AI55" i="16" s="1"/>
  <c r="AR46" i="16" s="1"/>
  <c r="AJ52" i="16"/>
  <c r="AJ53" i="16" s="1"/>
  <c r="AJ54" i="16" s="1"/>
  <c r="AJ55" i="16" s="1"/>
  <c r="AS46" i="16" s="1"/>
  <c r="AH52" i="17"/>
  <c r="AE52" i="17"/>
  <c r="AE53" i="17" s="1"/>
  <c r="AE54" i="17" s="1"/>
  <c r="AE55" i="17" s="1"/>
  <c r="AN46" i="17" s="1"/>
  <c r="AG52" i="17"/>
  <c r="AC52" i="17"/>
  <c r="AC53" i="17" s="1"/>
  <c r="AF52" i="17"/>
  <c r="B65" i="17"/>
  <c r="AI52" i="17"/>
  <c r="AJ52" i="17"/>
  <c r="BJ57" i="3"/>
  <c r="BJ56" i="3"/>
  <c r="BJ63" i="3" s="1"/>
  <c r="BK57" i="3"/>
  <c r="BK56" i="3"/>
  <c r="BK63" i="3" s="1"/>
  <c r="Q145" i="15"/>
  <c r="Q165" i="15" s="1"/>
  <c r="M64" i="3"/>
  <c r="M65" i="3" s="1"/>
  <c r="E1573" i="2" s="1"/>
  <c r="AN46" i="14"/>
  <c r="AN54" i="14" s="1"/>
  <c r="Q222" i="15"/>
  <c r="Q8" i="15" s="1"/>
  <c r="Q14" i="15" s="1"/>
  <c r="D1514" i="2"/>
  <c r="N145" i="15"/>
  <c r="N165" i="15" s="1"/>
  <c r="T222" i="15"/>
  <c r="T8" i="15" s="1"/>
  <c r="T14" i="15" s="1"/>
  <c r="R145" i="15"/>
  <c r="R165" i="15" s="1"/>
  <c r="T9" i="15"/>
  <c r="T15" i="15" s="1"/>
  <c r="T142" i="15" s="1"/>
  <c r="T145" i="15" s="1"/>
  <c r="T165" i="15" s="1"/>
  <c r="L64" i="3"/>
  <c r="L65" i="3" s="1"/>
  <c r="D1573" i="2" s="1"/>
  <c r="O222" i="15"/>
  <c r="O8" i="15" s="1"/>
  <c r="O14" i="15" s="1"/>
  <c r="O63" i="15" s="1"/>
  <c r="O138" i="15" s="1"/>
  <c r="O145" i="15"/>
  <c r="O165" i="15" s="1"/>
  <c r="P145" i="15"/>
  <c r="P165" i="15" s="1"/>
  <c r="C64" i="3"/>
  <c r="C65" i="3" s="1"/>
  <c r="AM41" i="3" s="1"/>
  <c r="S145" i="15"/>
  <c r="S165" i="15" s="1"/>
  <c r="R222" i="15"/>
  <c r="R8" i="15" s="1"/>
  <c r="R14" i="15" s="1"/>
  <c r="S222" i="15"/>
  <c r="S8" i="15" s="1"/>
  <c r="S14" i="15" s="1"/>
  <c r="D1575" i="2"/>
  <c r="P222" i="15"/>
  <c r="P8" i="15" s="1"/>
  <c r="P14" i="15" s="1"/>
  <c r="N222" i="15"/>
  <c r="N8" i="15" s="1"/>
  <c r="N14" i="15" s="1"/>
  <c r="N60" i="15" s="1"/>
  <c r="C64" i="14"/>
  <c r="C65" i="14" s="1"/>
  <c r="AM41" i="14" s="1"/>
  <c r="AM46" i="14" s="1"/>
  <c r="AM54" i="14" s="1"/>
  <c r="B27" i="3"/>
  <c r="B1512" i="2" s="1"/>
  <c r="C27" i="14"/>
  <c r="C30" i="14" s="1"/>
  <c r="C31" i="14" s="1"/>
  <c r="AM7" i="14" s="1"/>
  <c r="C222" i="15"/>
  <c r="C8" i="15" s="1"/>
  <c r="C14" i="15" s="1"/>
  <c r="V27" i="14"/>
  <c r="V30" i="14" s="1"/>
  <c r="V31" i="14" s="1"/>
  <c r="AN9" i="14" s="1"/>
  <c r="K27" i="3"/>
  <c r="B1514" i="2" s="1"/>
  <c r="B64" i="14"/>
  <c r="B65" i="14" s="1"/>
  <c r="T64" i="3"/>
  <c r="T65" i="3" s="1"/>
  <c r="B27" i="14"/>
  <c r="C145" i="15"/>
  <c r="C165" i="15" s="1"/>
  <c r="J222" i="15"/>
  <c r="J8" i="15" s="1"/>
  <c r="J14" i="15" s="1"/>
  <c r="J145" i="15"/>
  <c r="J165" i="15" s="1"/>
  <c r="B237" i="15"/>
  <c r="B238" i="15" s="1"/>
  <c r="B239" i="15" s="1"/>
  <c r="B240" i="15" s="1"/>
  <c r="B122" i="15"/>
  <c r="B125" i="15" s="1"/>
  <c r="B162" i="15" s="1"/>
  <c r="B136" i="15"/>
  <c r="B139" i="15" s="1"/>
  <c r="B164" i="15" s="1"/>
  <c r="B148" i="15"/>
  <c r="B151" i="15" s="1"/>
  <c r="B166" i="15" s="1"/>
  <c r="T128" i="15"/>
  <c r="T132" i="15" s="1"/>
  <c r="T163" i="15" s="1"/>
  <c r="T57" i="15"/>
  <c r="J57" i="15"/>
  <c r="J128" i="15"/>
  <c r="J132" i="15" s="1"/>
  <c r="J163" i="15" s="1"/>
  <c r="S128" i="15"/>
  <c r="S132" i="15" s="1"/>
  <c r="S163" i="15" s="1"/>
  <c r="S57" i="15"/>
  <c r="I128" i="15"/>
  <c r="I132" i="15" s="1"/>
  <c r="I163" i="15" s="1"/>
  <c r="I57" i="15"/>
  <c r="B191" i="15"/>
  <c r="U27" i="3"/>
  <c r="C1516" i="2" s="1"/>
  <c r="F222" i="15"/>
  <c r="F8" i="15" s="1"/>
  <c r="F14" i="15" s="1"/>
  <c r="F145" i="15"/>
  <c r="F165" i="15" s="1"/>
  <c r="M8" i="15"/>
  <c r="M14" i="15" s="1"/>
  <c r="E250" i="15"/>
  <c r="E221" i="15"/>
  <c r="E224" i="15"/>
  <c r="E10" i="15" s="1"/>
  <c r="E16" i="15" s="1"/>
  <c r="E143" i="15" s="1"/>
  <c r="E228" i="15"/>
  <c r="E227" i="15"/>
  <c r="E225" i="15"/>
  <c r="E11" i="15" s="1"/>
  <c r="E17" i="15" s="1"/>
  <c r="E144" i="15" s="1"/>
  <c r="E223" i="15"/>
  <c r="E9" i="15" s="1"/>
  <c r="E15" i="15" s="1"/>
  <c r="E142" i="15" s="1"/>
  <c r="E226" i="15"/>
  <c r="T27" i="14"/>
  <c r="T30" i="14" s="1"/>
  <c r="T31" i="14" s="1"/>
  <c r="C27" i="3"/>
  <c r="C1512" i="2" s="1"/>
  <c r="H222" i="15"/>
  <c r="H8" i="15" s="1"/>
  <c r="H14" i="15" s="1"/>
  <c r="D250" i="15"/>
  <c r="D221" i="15"/>
  <c r="D225" i="15"/>
  <c r="D11" i="15" s="1"/>
  <c r="D17" i="15" s="1"/>
  <c r="D144" i="15" s="1"/>
  <c r="D224" i="15"/>
  <c r="D10" i="15" s="1"/>
  <c r="D16" i="15" s="1"/>
  <c r="D143" i="15" s="1"/>
  <c r="D228" i="15"/>
  <c r="D227" i="15"/>
  <c r="D226" i="15"/>
  <c r="D223" i="15"/>
  <c r="D9" i="15" s="1"/>
  <c r="D15" i="15" s="1"/>
  <c r="D142" i="15" s="1"/>
  <c r="G221" i="15"/>
  <c r="G250" i="15"/>
  <c r="G225" i="15"/>
  <c r="G11" i="15" s="1"/>
  <c r="G17" i="15" s="1"/>
  <c r="G144" i="15" s="1"/>
  <c r="G227" i="15"/>
  <c r="G224" i="15"/>
  <c r="G10" i="15" s="1"/>
  <c r="G16" i="15" s="1"/>
  <c r="G143" i="15" s="1"/>
  <c r="G228" i="15"/>
  <c r="G223" i="15"/>
  <c r="G9" i="15" s="1"/>
  <c r="G15" i="15" s="1"/>
  <c r="G142" i="15" s="1"/>
  <c r="G226" i="15"/>
  <c r="K27" i="14"/>
  <c r="K30" i="14" s="1"/>
  <c r="K31" i="14" s="1"/>
  <c r="D27" i="14"/>
  <c r="D30" i="14" s="1"/>
  <c r="D31" i="14" s="1"/>
  <c r="AN7" i="14" s="1"/>
  <c r="J4" i="6"/>
  <c r="I250" i="15"/>
  <c r="I221" i="15"/>
  <c r="I224" i="15"/>
  <c r="I10" i="15" s="1"/>
  <c r="I16" i="15" s="1"/>
  <c r="I143" i="15" s="1"/>
  <c r="I226" i="15"/>
  <c r="I223" i="15"/>
  <c r="I9" i="15" s="1"/>
  <c r="I15" i="15" s="1"/>
  <c r="I142" i="15" s="1"/>
  <c r="I227" i="15"/>
  <c r="I228" i="15"/>
  <c r="I225" i="15"/>
  <c r="I11" i="15" s="1"/>
  <c r="I17" i="15" s="1"/>
  <c r="I144" i="15" s="1"/>
  <c r="H145" i="15"/>
  <c r="H165" i="15" s="1"/>
  <c r="M149" i="15"/>
  <c r="M123" i="15"/>
  <c r="K64" i="3"/>
  <c r="B1531" i="2"/>
  <c r="BB52" i="3"/>
  <c r="AN45" i="3"/>
  <c r="D6" i="9" s="1"/>
  <c r="E1582" i="2"/>
  <c r="K65" i="14"/>
  <c r="L27" i="14"/>
  <c r="L30" i="14" s="1"/>
  <c r="L31" i="14" s="1"/>
  <c r="AM8" i="14" s="1"/>
  <c r="AN18" i="3"/>
  <c r="BJ52" i="3"/>
  <c r="B1529" i="2"/>
  <c r="B64" i="3"/>
  <c r="BJ52" i="14"/>
  <c r="AC51" i="3"/>
  <c r="AC52" i="3" s="1"/>
  <c r="T27" i="3"/>
  <c r="AJ47" i="14"/>
  <c r="V27" i="3"/>
  <c r="D27" i="3"/>
  <c r="D1529" i="2"/>
  <c r="D64" i="3"/>
  <c r="D65" i="3" s="1"/>
  <c r="C29" i="3"/>
  <c r="AD15" i="3"/>
  <c r="AD16" i="3" s="1"/>
  <c r="AD17" i="3" s="1"/>
  <c r="AD18" i="3" s="1"/>
  <c r="AF32" i="3"/>
  <c r="U27" i="14"/>
  <c r="U30" i="14" s="1"/>
  <c r="U31" i="14" s="1"/>
  <c r="AM9" i="14" s="1"/>
  <c r="H29" i="3"/>
  <c r="AI15" i="3"/>
  <c r="AH16" i="14"/>
  <c r="AD16" i="14"/>
  <c r="AD17" i="14" s="1"/>
  <c r="AD18" i="14" s="1"/>
  <c r="AD19" i="14" s="1"/>
  <c r="AM11" i="14" s="1"/>
  <c r="AF16" i="14"/>
  <c r="AJ16" i="14"/>
  <c r="AG16" i="14"/>
  <c r="AI16" i="14"/>
  <c r="AE16" i="14"/>
  <c r="AE17" i="14" s="1"/>
  <c r="AE18" i="14" s="1"/>
  <c r="AE19" i="14" s="1"/>
  <c r="AN11" i="14" s="1"/>
  <c r="AC16" i="14"/>
  <c r="AC17" i="14" s="1"/>
  <c r="B29" i="14"/>
  <c r="AC52" i="14"/>
  <c r="AC53" i="14" s="1"/>
  <c r="D21" i="10"/>
  <c r="H20" i="10"/>
  <c r="J20" i="10" s="1"/>
  <c r="AM18" i="3"/>
  <c r="AF32" i="14"/>
  <c r="D1582" i="2"/>
  <c r="AM45" i="3"/>
  <c r="C6" i="9" s="1"/>
  <c r="AG15" i="3"/>
  <c r="F29" i="3"/>
  <c r="AN43" i="3"/>
  <c r="D5" i="9" s="1"/>
  <c r="E1575" i="2"/>
  <c r="J7" i="6"/>
  <c r="BB52" i="14"/>
  <c r="E1555" i="2"/>
  <c r="AN8" i="3"/>
  <c r="D4" i="8" s="1"/>
  <c r="AE15" i="3"/>
  <c r="AE16" i="3" s="1"/>
  <c r="AE17" i="3" s="1"/>
  <c r="AE18" i="3" s="1"/>
  <c r="D29" i="3"/>
  <c r="AN18" i="14"/>
  <c r="L27" i="3"/>
  <c r="AC15" i="3"/>
  <c r="AC16" i="3" s="1"/>
  <c r="B29" i="3"/>
  <c r="AM18" i="14"/>
  <c r="C123" i="15"/>
  <c r="C149" i="15"/>
  <c r="N149" i="15"/>
  <c r="N123" i="15"/>
  <c r="L170" i="15"/>
  <c r="L194" i="15" s="1"/>
  <c r="L200" i="15" s="1"/>
  <c r="D149" i="15"/>
  <c r="D123" i="15"/>
  <c r="L239" i="15"/>
  <c r="L264" i="15"/>
  <c r="B265" i="15"/>
  <c r="B31" i="17" l="1"/>
  <c r="B32" i="17" s="1"/>
  <c r="AN47" i="16"/>
  <c r="AN47" i="17"/>
  <c r="B31" i="16"/>
  <c r="B32" i="16" s="1"/>
  <c r="B66" i="17"/>
  <c r="B67" i="17" s="1"/>
  <c r="AN12" i="16"/>
  <c r="AM12" i="16"/>
  <c r="AM12" i="17"/>
  <c r="V32" i="17"/>
  <c r="AN9" i="17" s="1"/>
  <c r="AN12" i="17" s="1"/>
  <c r="C66" i="16"/>
  <c r="C67" i="16" s="1"/>
  <c r="AM42" i="16" s="1"/>
  <c r="AM47" i="16" s="1"/>
  <c r="AI48" i="16"/>
  <c r="I54" i="16"/>
  <c r="B66" i="16"/>
  <c r="AC19" i="17"/>
  <c r="AC20" i="17" s="1"/>
  <c r="K67" i="16"/>
  <c r="BI54" i="16"/>
  <c r="AC19" i="16"/>
  <c r="AC20" i="16" s="1"/>
  <c r="AH30" i="16"/>
  <c r="AF30" i="16" s="1"/>
  <c r="K32" i="17"/>
  <c r="AL9" i="16"/>
  <c r="AL8" i="16"/>
  <c r="I54" i="17"/>
  <c r="AI48" i="17"/>
  <c r="AC54" i="16"/>
  <c r="AC55" i="16" s="1"/>
  <c r="AH65" i="16"/>
  <c r="AF65" i="16" s="1"/>
  <c r="BA54" i="16"/>
  <c r="T67" i="17"/>
  <c r="C66" i="17"/>
  <c r="C67" i="17" s="1"/>
  <c r="AM42" i="17" s="1"/>
  <c r="AM47" i="17" s="1"/>
  <c r="AL43" i="17"/>
  <c r="BI54" i="17"/>
  <c r="AC54" i="17"/>
  <c r="AC55" i="17" s="1"/>
  <c r="AL9" i="17"/>
  <c r="AN42" i="3"/>
  <c r="D4" i="9" s="1"/>
  <c r="AN53" i="14"/>
  <c r="AN51" i="14" s="1"/>
  <c r="AN50" i="14" s="1"/>
  <c r="AN55" i="14" s="1"/>
  <c r="AN58" i="14" s="1"/>
  <c r="AN61" i="14" s="1"/>
  <c r="O60" i="15"/>
  <c r="O59" i="15"/>
  <c r="O61" i="15"/>
  <c r="O62" i="15"/>
  <c r="AM42" i="3"/>
  <c r="C4" i="9" s="1"/>
  <c r="D1571" i="2"/>
  <c r="D1581" i="2" s="1"/>
  <c r="N61" i="15"/>
  <c r="N59" i="15"/>
  <c r="N62" i="15"/>
  <c r="N137" i="15" s="1"/>
  <c r="N63" i="15"/>
  <c r="N138" i="15" s="1"/>
  <c r="AM53" i="14"/>
  <c r="AM51" i="14" s="1"/>
  <c r="AM50" i="14" s="1"/>
  <c r="AM55" i="14" s="1"/>
  <c r="AM57" i="14" s="1"/>
  <c r="AM60" i="14" s="1"/>
  <c r="B30" i="3"/>
  <c r="B31" i="3" s="1"/>
  <c r="D145" i="15"/>
  <c r="D165" i="15" s="1"/>
  <c r="K30" i="3"/>
  <c r="K31" i="3" s="1"/>
  <c r="E222" i="15"/>
  <c r="E8" i="15" s="1"/>
  <c r="E14" i="15" s="1"/>
  <c r="C30" i="3"/>
  <c r="C31" i="3" s="1"/>
  <c r="AM7" i="3" s="1"/>
  <c r="U30" i="3"/>
  <c r="U31" i="3" s="1"/>
  <c r="AM9" i="3" s="1"/>
  <c r="C5" i="8" s="1"/>
  <c r="B30" i="14"/>
  <c r="B31" i="14" s="1"/>
  <c r="I222" i="15"/>
  <c r="I8" i="15" s="1"/>
  <c r="I14" i="15" s="1"/>
  <c r="B170" i="15"/>
  <c r="B194" i="15" s="1"/>
  <c r="B200" i="15" s="1"/>
  <c r="G145" i="15"/>
  <c r="G165" i="15" s="1"/>
  <c r="E145" i="15"/>
  <c r="E165" i="15" s="1"/>
  <c r="AN12" i="14"/>
  <c r="AN20" i="14" s="1"/>
  <c r="G222" i="15"/>
  <c r="G8" i="15" s="1"/>
  <c r="G14" i="15" s="1"/>
  <c r="M63" i="15"/>
  <c r="M138" i="15" s="1"/>
  <c r="M60" i="15"/>
  <c r="M62" i="15"/>
  <c r="M137" i="15" s="1"/>
  <c r="M61" i="15"/>
  <c r="M59" i="15"/>
  <c r="D222" i="15"/>
  <c r="D8" i="15" s="1"/>
  <c r="D14" i="15" s="1"/>
  <c r="C63" i="15"/>
  <c r="C138" i="15" s="1"/>
  <c r="C62" i="15"/>
  <c r="C137" i="15" s="1"/>
  <c r="C61" i="15"/>
  <c r="C59" i="15"/>
  <c r="C60" i="15"/>
  <c r="I145" i="15"/>
  <c r="I165" i="15" s="1"/>
  <c r="H21" i="10"/>
  <c r="J21" i="10" s="1"/>
  <c r="D22" i="10"/>
  <c r="AL8" i="14"/>
  <c r="AC18" i="14"/>
  <c r="AC19" i="14" s="1"/>
  <c r="B1516" i="2"/>
  <c r="T30" i="3"/>
  <c r="AL45" i="3"/>
  <c r="B6" i="9" s="1"/>
  <c r="C1582" i="2"/>
  <c r="B65" i="3"/>
  <c r="AC17" i="3"/>
  <c r="AC18" i="3" s="1"/>
  <c r="AN11" i="3"/>
  <c r="D6" i="8" s="1"/>
  <c r="E1564" i="2"/>
  <c r="C1575" i="2"/>
  <c r="AL43" i="3"/>
  <c r="B5" i="9" s="1"/>
  <c r="AL45" i="14"/>
  <c r="V30" i="3"/>
  <c r="V31" i="3" s="1"/>
  <c r="D1516" i="2"/>
  <c r="AM12" i="14"/>
  <c r="K65" i="3"/>
  <c r="C3" i="9"/>
  <c r="C1514" i="2"/>
  <c r="L30" i="3"/>
  <c r="L31" i="3" s="1"/>
  <c r="AL9" i="14"/>
  <c r="AM11" i="3"/>
  <c r="C6" i="8" s="1"/>
  <c r="D1564" i="2"/>
  <c r="E1571" i="2"/>
  <c r="E1581" i="2" s="1"/>
  <c r="AN41" i="3"/>
  <c r="D30" i="3"/>
  <c r="D31" i="3" s="1"/>
  <c r="D1512" i="2"/>
  <c r="BK52" i="14"/>
  <c r="AL42" i="14"/>
  <c r="BK52" i="3"/>
  <c r="AL41" i="14"/>
  <c r="B241" i="15"/>
  <c r="B266" i="15"/>
  <c r="P218" i="15"/>
  <c r="E218" i="15"/>
  <c r="L240" i="15"/>
  <c r="L265" i="15"/>
  <c r="O218" i="15"/>
  <c r="AN55" i="17" l="1"/>
  <c r="AN56" i="17"/>
  <c r="AN56" i="16"/>
  <c r="AN55" i="16"/>
  <c r="AM56" i="17"/>
  <c r="AM55" i="17"/>
  <c r="AM56" i="16"/>
  <c r="AM55" i="16"/>
  <c r="AN20" i="17"/>
  <c r="AN21" i="17"/>
  <c r="AN20" i="16"/>
  <c r="AN21" i="16"/>
  <c r="AM20" i="17"/>
  <c r="AM21" i="17"/>
  <c r="AM20" i="16"/>
  <c r="AM21" i="16"/>
  <c r="AJ48" i="16"/>
  <c r="AJ48" i="17"/>
  <c r="BB54" i="16"/>
  <c r="AL46" i="16"/>
  <c r="AD65" i="16"/>
  <c r="AL11" i="16"/>
  <c r="AD30" i="16"/>
  <c r="AL11" i="17"/>
  <c r="BJ54" i="16"/>
  <c r="AL46" i="17"/>
  <c r="AL8" i="17"/>
  <c r="AL7" i="17"/>
  <c r="AL42" i="17"/>
  <c r="AL47" i="17" s="1"/>
  <c r="B67" i="16"/>
  <c r="BJ54" i="17"/>
  <c r="AL7" i="16"/>
  <c r="AL12" i="16" s="1"/>
  <c r="AL43" i="16"/>
  <c r="AN57" i="14"/>
  <c r="AN60" i="14" s="1"/>
  <c r="AN56" i="14"/>
  <c r="AN59" i="14" s="1"/>
  <c r="O64" i="15"/>
  <c r="O212" i="15" s="1"/>
  <c r="AM46" i="3"/>
  <c r="AM54" i="3" s="1"/>
  <c r="D1553" i="2"/>
  <c r="AM56" i="14"/>
  <c r="AM59" i="14" s="1"/>
  <c r="AM58" i="14"/>
  <c r="AM61" i="14" s="1"/>
  <c r="N64" i="15"/>
  <c r="N212" i="15" s="1"/>
  <c r="AL46" i="14"/>
  <c r="AL53" i="14" s="1"/>
  <c r="D1557" i="2"/>
  <c r="AN19" i="14"/>
  <c r="AN17" i="14" s="1"/>
  <c r="AN16" i="14" s="1"/>
  <c r="AN21" i="14" s="1"/>
  <c r="AN23" i="14" s="1"/>
  <c r="AN26" i="14" s="1"/>
  <c r="C64" i="15"/>
  <c r="D61" i="15"/>
  <c r="D60" i="15"/>
  <c r="D59" i="15"/>
  <c r="D63" i="15"/>
  <c r="D138" i="15" s="1"/>
  <c r="D62" i="15"/>
  <c r="D137" i="15" s="1"/>
  <c r="M64" i="15"/>
  <c r="E59" i="15"/>
  <c r="E60" i="15"/>
  <c r="E61" i="15"/>
  <c r="E63" i="15"/>
  <c r="E138" i="15" s="1"/>
  <c r="E62" i="15"/>
  <c r="E137" i="15" s="1"/>
  <c r="C3" i="8"/>
  <c r="AN7" i="3"/>
  <c r="E1553" i="2"/>
  <c r="AL42" i="3"/>
  <c r="B4" i="9" s="1"/>
  <c r="C1573" i="2"/>
  <c r="E1557" i="2"/>
  <c r="AN9" i="3"/>
  <c r="D5" i="8" s="1"/>
  <c r="T31" i="3"/>
  <c r="D23" i="10"/>
  <c r="H22" i="10"/>
  <c r="J22" i="10" s="1"/>
  <c r="AL7" i="14"/>
  <c r="AL12" i="14" s="1"/>
  <c r="C1553" i="2"/>
  <c r="AL7" i="3"/>
  <c r="AL8" i="3"/>
  <c r="B4" i="8" s="1"/>
  <c r="C1555" i="2"/>
  <c r="D3" i="9"/>
  <c r="AN46" i="3"/>
  <c r="AM19" i="14"/>
  <c r="AM20" i="14"/>
  <c r="AL11" i="14"/>
  <c r="AM8" i="3"/>
  <c r="C4" i="8" s="1"/>
  <c r="D1555" i="2"/>
  <c r="C1564" i="2"/>
  <c r="AL11" i="3"/>
  <c r="B6" i="8" s="1"/>
  <c r="AL41" i="3"/>
  <c r="C1571" i="2"/>
  <c r="O123" i="15"/>
  <c r="O149" i="15"/>
  <c r="O137" i="15"/>
  <c r="E149" i="15"/>
  <c r="E123" i="15"/>
  <c r="P123" i="15"/>
  <c r="P149" i="15"/>
  <c r="F218" i="15"/>
  <c r="L241" i="15"/>
  <c r="L266" i="15"/>
  <c r="B242" i="15"/>
  <c r="B267" i="15"/>
  <c r="AN53" i="16" l="1"/>
  <c r="AN52" i="16" s="1"/>
  <c r="AN57" i="16" s="1"/>
  <c r="AN53" i="17"/>
  <c r="AN52" i="17" s="1"/>
  <c r="AN57" i="17" s="1"/>
  <c r="AN18" i="16"/>
  <c r="AN17" i="16" s="1"/>
  <c r="AN22" i="16" s="1"/>
  <c r="AN24" i="16" s="1"/>
  <c r="AN27" i="16" s="1"/>
  <c r="AM18" i="16"/>
  <c r="AM17" i="16" s="1"/>
  <c r="AM22" i="16" s="1"/>
  <c r="AM25" i="16" s="1"/>
  <c r="AM28" i="16" s="1"/>
  <c r="AM53" i="16"/>
  <c r="AM52" i="16" s="1"/>
  <c r="AM57" i="16" s="1"/>
  <c r="AM58" i="16" s="1"/>
  <c r="AM61" i="16" s="1"/>
  <c r="AM53" i="17"/>
  <c r="AM52" i="17" s="1"/>
  <c r="AM57" i="17" s="1"/>
  <c r="AN18" i="17"/>
  <c r="AN17" i="17" s="1"/>
  <c r="AN22" i="17" s="1"/>
  <c r="AM18" i="17"/>
  <c r="AM17" i="17" s="1"/>
  <c r="AM22" i="17" s="1"/>
  <c r="AL12" i="17"/>
  <c r="AL21" i="17" s="1"/>
  <c r="AL55" i="17"/>
  <c r="AL56" i="17"/>
  <c r="BK54" i="16"/>
  <c r="AL20" i="16"/>
  <c r="AL21" i="16"/>
  <c r="BK54" i="17"/>
  <c r="AL42" i="16"/>
  <c r="AL47" i="16" s="1"/>
  <c r="O214" i="15"/>
  <c r="O213" i="15"/>
  <c r="AL54" i="14"/>
  <c r="AL51" i="14" s="1"/>
  <c r="AL50" i="14" s="1"/>
  <c r="AM53" i="3"/>
  <c r="AM51" i="3" s="1"/>
  <c r="AM50" i="3" s="1"/>
  <c r="AM55" i="3" s="1"/>
  <c r="N214" i="15"/>
  <c r="N213" i="15"/>
  <c r="D1563" i="2"/>
  <c r="AN22" i="14"/>
  <c r="AN25" i="14" s="1"/>
  <c r="AN24" i="14"/>
  <c r="AN27" i="14" s="1"/>
  <c r="D64" i="15"/>
  <c r="M212" i="15"/>
  <c r="M214" i="15"/>
  <c r="M213" i="15"/>
  <c r="E64" i="15"/>
  <c r="C212" i="15"/>
  <c r="C213" i="15"/>
  <c r="C214" i="15"/>
  <c r="AL20" i="14"/>
  <c r="AL19" i="14"/>
  <c r="C1557" i="2"/>
  <c r="C1563" i="2" s="1"/>
  <c r="AL9" i="3"/>
  <c r="B5" i="8" s="1"/>
  <c r="E1563" i="2"/>
  <c r="C1581" i="2"/>
  <c r="AM17" i="14"/>
  <c r="AM16" i="14" s="1"/>
  <c r="AM21" i="14" s="1"/>
  <c r="B3" i="8"/>
  <c r="D3" i="8"/>
  <c r="AN12" i="3"/>
  <c r="AM12" i="3"/>
  <c r="B3" i="9"/>
  <c r="AL46" i="3"/>
  <c r="AN54" i="3"/>
  <c r="AN53" i="3"/>
  <c r="H23" i="10"/>
  <c r="J23" i="10" s="1"/>
  <c r="D24" i="10"/>
  <c r="B243" i="15"/>
  <c r="B268" i="15"/>
  <c r="F149" i="15"/>
  <c r="F123" i="15"/>
  <c r="G218" i="15"/>
  <c r="Q218" i="15"/>
  <c r="L242" i="15"/>
  <c r="L267" i="15"/>
  <c r="AM58" i="3" l="1"/>
  <c r="AM72" i="3" s="1"/>
  <c r="AM57" i="3"/>
  <c r="AM60" i="3" s="1"/>
  <c r="AN58" i="17"/>
  <c r="AN61" i="17" s="1"/>
  <c r="AN59" i="17"/>
  <c r="AN62" i="17" s="1"/>
  <c r="AN60" i="17"/>
  <c r="AN63" i="17" s="1"/>
  <c r="AN60" i="16"/>
  <c r="AN63" i="16" s="1"/>
  <c r="AN59" i="16"/>
  <c r="AN62" i="16" s="1"/>
  <c r="AN58" i="16"/>
  <c r="AN61" i="16" s="1"/>
  <c r="AN25" i="16"/>
  <c r="AN28" i="16" s="1"/>
  <c r="AN23" i="16"/>
  <c r="AN26" i="16" s="1"/>
  <c r="AM24" i="16"/>
  <c r="AM27" i="16" s="1"/>
  <c r="AM23" i="16"/>
  <c r="AM26" i="16" s="1"/>
  <c r="AM59" i="16"/>
  <c r="AM62" i="16" s="1"/>
  <c r="AM60" i="16"/>
  <c r="AM63" i="16" s="1"/>
  <c r="AM58" i="17"/>
  <c r="AM61" i="17" s="1"/>
  <c r="AM59" i="17"/>
  <c r="AM62" i="17" s="1"/>
  <c r="AM60" i="17"/>
  <c r="AM63" i="17" s="1"/>
  <c r="AN23" i="17"/>
  <c r="AN26" i="17" s="1"/>
  <c r="AN24" i="17"/>
  <c r="AN27" i="17" s="1"/>
  <c r="AN25" i="17"/>
  <c r="AN28" i="17" s="1"/>
  <c r="AM23" i="17"/>
  <c r="AM26" i="17" s="1"/>
  <c r="AM25" i="17"/>
  <c r="AM28" i="17" s="1"/>
  <c r="AM24" i="17"/>
  <c r="AM27" i="17" s="1"/>
  <c r="AL55" i="16"/>
  <c r="AL56" i="16"/>
  <c r="AL20" i="17"/>
  <c r="AL18" i="17" s="1"/>
  <c r="AL17" i="17" s="1"/>
  <c r="AL18" i="16"/>
  <c r="AL17" i="16" s="1"/>
  <c r="AL53" i="17"/>
  <c r="AL52" i="17" s="1"/>
  <c r="O211" i="15"/>
  <c r="O210" i="15" s="1"/>
  <c r="O192" i="15" s="1"/>
  <c r="N211" i="15"/>
  <c r="N210" i="15" s="1"/>
  <c r="N215" i="15" s="1"/>
  <c r="N158" i="15" s="1"/>
  <c r="AM56" i="3"/>
  <c r="AM71" i="3" s="1"/>
  <c r="AL12" i="3"/>
  <c r="AL20" i="3" s="1"/>
  <c r="AN51" i="3"/>
  <c r="AN50" i="3" s="1"/>
  <c r="AN55" i="3" s="1"/>
  <c r="M211" i="15"/>
  <c r="M210" i="15" s="1"/>
  <c r="M192" i="15" s="1"/>
  <c r="AL17" i="14"/>
  <c r="AL16" i="14" s="1"/>
  <c r="AL21" i="14" s="1"/>
  <c r="C211" i="15"/>
  <c r="C210" i="15" s="1"/>
  <c r="E214" i="15"/>
  <c r="E212" i="15"/>
  <c r="E213" i="15"/>
  <c r="D213" i="15"/>
  <c r="D212" i="15"/>
  <c r="D214" i="15"/>
  <c r="AL54" i="3"/>
  <c r="AL53" i="3"/>
  <c r="AM23" i="14"/>
  <c r="AM26" i="14" s="1"/>
  <c r="AM24" i="14"/>
  <c r="AM27" i="14" s="1"/>
  <c r="AM22" i="14"/>
  <c r="AM25" i="14" s="1"/>
  <c r="AL55" i="14"/>
  <c r="AL66" i="14"/>
  <c r="D25" i="10"/>
  <c r="H24" i="10"/>
  <c r="J24" i="10" s="1"/>
  <c r="AM20" i="3"/>
  <c r="AM19" i="3"/>
  <c r="AN19" i="3"/>
  <c r="AN20" i="3"/>
  <c r="L243" i="15"/>
  <c r="L268" i="15"/>
  <c r="G149" i="15"/>
  <c r="G123" i="15"/>
  <c r="R218" i="15"/>
  <c r="Q123" i="15"/>
  <c r="Q149" i="15"/>
  <c r="I218" i="15"/>
  <c r="B244" i="15"/>
  <c r="B269" i="15"/>
  <c r="H218" i="15"/>
  <c r="AN58" i="3" l="1"/>
  <c r="AN72" i="3" s="1"/>
  <c r="AN57" i="3"/>
  <c r="AN60" i="3" s="1"/>
  <c r="AM61" i="3"/>
  <c r="AM59" i="3"/>
  <c r="AL53" i="16"/>
  <c r="AL52" i="16" s="1"/>
  <c r="AL22" i="16"/>
  <c r="AL24" i="16" s="1"/>
  <c r="AL27" i="16" s="1"/>
  <c r="AL33" i="16"/>
  <c r="AL57" i="17"/>
  <c r="AL59" i="17" s="1"/>
  <c r="AL62" i="17" s="1"/>
  <c r="AL68" i="17"/>
  <c r="AL22" i="17"/>
  <c r="AL33" i="17"/>
  <c r="O215" i="15"/>
  <c r="O156" i="15" s="1"/>
  <c r="N216" i="15"/>
  <c r="N236" i="15" s="1"/>
  <c r="N156" i="15"/>
  <c r="N157" i="15"/>
  <c r="N192" i="15"/>
  <c r="AL19" i="3"/>
  <c r="AL17" i="3" s="1"/>
  <c r="AL16" i="3" s="1"/>
  <c r="AN56" i="3"/>
  <c r="AL32" i="14"/>
  <c r="M215" i="15"/>
  <c r="M156" i="15" s="1"/>
  <c r="D211" i="15"/>
  <c r="D210" i="15" s="1"/>
  <c r="C215" i="15"/>
  <c r="C192" i="15"/>
  <c r="E211" i="15"/>
  <c r="E210" i="15" s="1"/>
  <c r="AL56" i="14"/>
  <c r="AL59" i="14" s="1"/>
  <c r="AL58" i="14"/>
  <c r="AL61" i="14" s="1"/>
  <c r="AL57" i="14"/>
  <c r="AL60" i="14" s="1"/>
  <c r="AL22" i="14"/>
  <c r="AL25" i="14" s="1"/>
  <c r="AL24" i="14"/>
  <c r="AL27" i="14" s="1"/>
  <c r="AL23" i="14"/>
  <c r="AL26" i="14" s="1"/>
  <c r="AL51" i="3"/>
  <c r="AL50" i="3" s="1"/>
  <c r="D26" i="10"/>
  <c r="H25" i="10"/>
  <c r="J25" i="10" s="1"/>
  <c r="AN17" i="3"/>
  <c r="AN16" i="3" s="1"/>
  <c r="AN21" i="3" s="1"/>
  <c r="AM17" i="3"/>
  <c r="AM16" i="3" s="1"/>
  <c r="AM21" i="3" s="1"/>
  <c r="R149" i="15"/>
  <c r="R123" i="15"/>
  <c r="S218" i="15"/>
  <c r="H149" i="15"/>
  <c r="H123" i="15"/>
  <c r="B245" i="15"/>
  <c r="B270" i="15"/>
  <c r="I123" i="15"/>
  <c r="I149" i="15"/>
  <c r="L244" i="15"/>
  <c r="L269" i="15"/>
  <c r="AN61" i="3" l="1"/>
  <c r="AN59" i="3"/>
  <c r="AN71" i="3"/>
  <c r="AL60" i="17"/>
  <c r="AL63" i="17" s="1"/>
  <c r="AL58" i="17"/>
  <c r="AL61" i="17" s="1"/>
  <c r="AL23" i="16"/>
  <c r="AL26" i="16" s="1"/>
  <c r="AL25" i="16"/>
  <c r="AL28" i="16" s="1"/>
  <c r="AL25" i="17"/>
  <c r="AL28" i="17" s="1"/>
  <c r="AL24" i="17"/>
  <c r="AL27" i="17" s="1"/>
  <c r="AL23" i="17"/>
  <c r="AL26" i="17" s="1"/>
  <c r="AL57" i="16"/>
  <c r="AL68" i="16"/>
  <c r="O158" i="15"/>
  <c r="O157" i="15"/>
  <c r="O216" i="15"/>
  <c r="O217" i="15" s="1"/>
  <c r="O191" i="15" s="1"/>
  <c r="N121" i="15"/>
  <c r="N217" i="15"/>
  <c r="N191" i="15" s="1"/>
  <c r="N135" i="15"/>
  <c r="N159" i="15"/>
  <c r="N167" i="15" s="1"/>
  <c r="M157" i="15"/>
  <c r="M158" i="15"/>
  <c r="M216" i="15"/>
  <c r="M135" i="15" s="1"/>
  <c r="N262" i="15"/>
  <c r="D192" i="15"/>
  <c r="D215" i="15"/>
  <c r="C156" i="15"/>
  <c r="C157" i="15"/>
  <c r="C158" i="15"/>
  <c r="C216" i="15"/>
  <c r="E192" i="15"/>
  <c r="E215" i="15"/>
  <c r="AL21" i="3"/>
  <c r="AL32" i="3"/>
  <c r="AL55" i="3"/>
  <c r="AL66" i="3"/>
  <c r="AM22" i="3"/>
  <c r="AM24" i="3"/>
  <c r="AM33" i="3" s="1"/>
  <c r="AM23" i="3"/>
  <c r="AN23" i="3"/>
  <c r="AN22" i="3"/>
  <c r="AN24" i="3"/>
  <c r="AN33" i="3" s="1"/>
  <c r="D27" i="10"/>
  <c r="H26" i="10"/>
  <c r="J26" i="10" s="1"/>
  <c r="J218" i="15"/>
  <c r="L245" i="15"/>
  <c r="L270" i="15"/>
  <c r="B246" i="15"/>
  <c r="B271" i="15"/>
  <c r="S149" i="15"/>
  <c r="S123" i="15"/>
  <c r="T218" i="15"/>
  <c r="AN27" i="3" l="1"/>
  <c r="AM27" i="3"/>
  <c r="AN25" i="3"/>
  <c r="AN34" i="3"/>
  <c r="AN26" i="3"/>
  <c r="AM26" i="3"/>
  <c r="AM25" i="3"/>
  <c r="AM34" i="3"/>
  <c r="AL58" i="16"/>
  <c r="AL61" i="16" s="1"/>
  <c r="AL60" i="16"/>
  <c r="AL63" i="16" s="1"/>
  <c r="AL59" i="16"/>
  <c r="AL62" i="16" s="1"/>
  <c r="O159" i="15"/>
  <c r="O167" i="15" s="1"/>
  <c r="O236" i="15"/>
  <c r="O262" i="15" s="1"/>
  <c r="O135" i="15"/>
  <c r="O122" i="15"/>
  <c r="O136" i="15"/>
  <c r="O121" i="15"/>
  <c r="O148" i="15"/>
  <c r="O151" i="15" s="1"/>
  <c r="O166" i="15" s="1"/>
  <c r="N122" i="15"/>
  <c r="N125" i="15" s="1"/>
  <c r="N162" i="15" s="1"/>
  <c r="N136" i="15"/>
  <c r="N139" i="15" s="1"/>
  <c r="N164" i="15" s="1"/>
  <c r="N237" i="15"/>
  <c r="N238" i="15" s="1"/>
  <c r="N148" i="15"/>
  <c r="N151" i="15" s="1"/>
  <c r="N166" i="15" s="1"/>
  <c r="M159" i="15"/>
  <c r="M167" i="15" s="1"/>
  <c r="M236" i="15"/>
  <c r="M262" i="15" s="1"/>
  <c r="M217" i="15"/>
  <c r="M191" i="15" s="1"/>
  <c r="M121" i="15"/>
  <c r="E157" i="15"/>
  <c r="E156" i="15"/>
  <c r="E216" i="15"/>
  <c r="E158" i="15"/>
  <c r="C159" i="15"/>
  <c r="C167" i="15" s="1"/>
  <c r="C121" i="15"/>
  <c r="C217" i="15"/>
  <c r="C191" i="15" s="1"/>
  <c r="C236" i="15"/>
  <c r="C135" i="15"/>
  <c r="D158" i="15"/>
  <c r="D157" i="15"/>
  <c r="D216" i="15"/>
  <c r="D156" i="15"/>
  <c r="H27" i="10"/>
  <c r="J27" i="10" s="1"/>
  <c r="D28" i="10"/>
  <c r="H28" i="10" s="1"/>
  <c r="J28" i="10" s="1"/>
  <c r="AL57" i="3"/>
  <c r="AL60" i="3" s="1"/>
  <c r="AL56" i="3"/>
  <c r="AL58" i="3"/>
  <c r="AL72" i="3" s="1"/>
  <c r="AL22" i="3"/>
  <c r="AL24" i="3"/>
  <c r="AL33" i="3" s="1"/>
  <c r="AL23" i="3"/>
  <c r="AL26" i="3" s="1"/>
  <c r="L246" i="15"/>
  <c r="L271" i="15"/>
  <c r="J149" i="15"/>
  <c r="J123" i="15"/>
  <c r="T149" i="15"/>
  <c r="T123" i="15"/>
  <c r="B247" i="15"/>
  <c r="B272" i="15"/>
  <c r="AL61" i="3" l="1"/>
  <c r="AL59" i="3"/>
  <c r="AL71" i="3"/>
  <c r="AL27" i="3"/>
  <c r="AL25" i="3"/>
  <c r="AL34" i="3"/>
  <c r="O237" i="15"/>
  <c r="O238" i="15" s="1"/>
  <c r="O239" i="15" s="1"/>
  <c r="O125" i="15"/>
  <c r="O162" i="15" s="1"/>
  <c r="O139" i="15"/>
  <c r="O164" i="15" s="1"/>
  <c r="N170" i="15"/>
  <c r="N194" i="15" s="1"/>
  <c r="N200" i="15" s="1"/>
  <c r="N263" i="15"/>
  <c r="M136" i="15"/>
  <c r="M139" i="15" s="1"/>
  <c r="M164" i="15" s="1"/>
  <c r="M148" i="15"/>
  <c r="M151" i="15" s="1"/>
  <c r="M166" i="15" s="1"/>
  <c r="M237" i="15"/>
  <c r="M238" i="15" s="1"/>
  <c r="M122" i="15"/>
  <c r="M125" i="15" s="1"/>
  <c r="M162" i="15" s="1"/>
  <c r="J29" i="10"/>
  <c r="J30" i="10" s="1"/>
  <c r="J31" i="10" s="1"/>
  <c r="N239" i="15"/>
  <c r="N264" i="15"/>
  <c r="C262" i="15"/>
  <c r="C237" i="15"/>
  <c r="E121" i="15"/>
  <c r="E217" i="15"/>
  <c r="E191" i="15" s="1"/>
  <c r="E236" i="15"/>
  <c r="E135" i="15"/>
  <c r="D159" i="15"/>
  <c r="D167" i="15" s="1"/>
  <c r="C148" i="15"/>
  <c r="C151" i="15" s="1"/>
  <c r="C166" i="15" s="1"/>
  <c r="C122" i="15"/>
  <c r="C125" i="15" s="1"/>
  <c r="C162" i="15" s="1"/>
  <c r="C136" i="15"/>
  <c r="C139" i="15" s="1"/>
  <c r="C164" i="15" s="1"/>
  <c r="E159" i="15"/>
  <c r="E167" i="15" s="1"/>
  <c r="D236" i="15"/>
  <c r="D217" i="15"/>
  <c r="D191" i="15" s="1"/>
  <c r="D121" i="15"/>
  <c r="D135" i="15"/>
  <c r="B248" i="15"/>
  <c r="B274" i="15" s="1"/>
  <c r="B273" i="15"/>
  <c r="L247" i="15"/>
  <c r="L272" i="15"/>
  <c r="O264" i="15" l="1"/>
  <c r="O263" i="15"/>
  <c r="O170" i="15"/>
  <c r="O194" i="15" s="1"/>
  <c r="O200" i="15" s="1"/>
  <c r="M170" i="15"/>
  <c r="M194" i="15" s="1"/>
  <c r="M200" i="15" s="1"/>
  <c r="M263" i="15"/>
  <c r="C170" i="15"/>
  <c r="C194" i="15" s="1"/>
  <c r="C200" i="15" s="1"/>
  <c r="D262" i="15"/>
  <c r="D237" i="15"/>
  <c r="C238" i="15"/>
  <c r="C263" i="15"/>
  <c r="N240" i="15"/>
  <c r="N265" i="15"/>
  <c r="D122" i="15"/>
  <c r="D125" i="15" s="1"/>
  <c r="D162" i="15" s="1"/>
  <c r="D148" i="15"/>
  <c r="D151" i="15" s="1"/>
  <c r="D166" i="15" s="1"/>
  <c r="D136" i="15"/>
  <c r="D139" i="15" s="1"/>
  <c r="D164" i="15" s="1"/>
  <c r="O240" i="15"/>
  <c r="O265" i="15"/>
  <c r="E237" i="15"/>
  <c r="E262" i="15"/>
  <c r="M239" i="15"/>
  <c r="M264" i="15"/>
  <c r="E148" i="15"/>
  <c r="E151" i="15" s="1"/>
  <c r="E166" i="15" s="1"/>
  <c r="E122" i="15"/>
  <c r="E125" i="15" s="1"/>
  <c r="E162" i="15" s="1"/>
  <c r="E136" i="15"/>
  <c r="E139" i="15" s="1"/>
  <c r="E164" i="15" s="1"/>
  <c r="L248" i="15"/>
  <c r="L274" i="15" s="1"/>
  <c r="L273" i="15"/>
  <c r="D170" i="15" l="1"/>
  <c r="D194" i="15" s="1"/>
  <c r="D200" i="15" s="1"/>
  <c r="E263" i="15"/>
  <c r="E238" i="15"/>
  <c r="C239" i="15"/>
  <c r="C264" i="15"/>
  <c r="E170" i="15"/>
  <c r="E194" i="15" s="1"/>
  <c r="E200" i="15" s="1"/>
  <c r="M265" i="15"/>
  <c r="M240" i="15"/>
  <c r="O266" i="15"/>
  <c r="O241" i="15"/>
  <c r="N241" i="15"/>
  <c r="N266" i="15"/>
  <c r="D238" i="15"/>
  <c r="D263" i="15"/>
  <c r="M266" i="15" l="1"/>
  <c r="M241" i="15"/>
  <c r="O267" i="15"/>
  <c r="O242" i="15"/>
  <c r="C240" i="15"/>
  <c r="C265" i="15"/>
  <c r="D239" i="15"/>
  <c r="D264" i="15"/>
  <c r="E264" i="15"/>
  <c r="E239" i="15"/>
  <c r="N242" i="15"/>
  <c r="N267" i="15"/>
  <c r="C241" i="15" l="1"/>
  <c r="C266" i="15"/>
  <c r="D240" i="15"/>
  <c r="D265" i="15"/>
  <c r="E240" i="15"/>
  <c r="E265" i="15"/>
  <c r="O268" i="15"/>
  <c r="O243" i="15"/>
  <c r="M267" i="15"/>
  <c r="M242" i="15"/>
  <c r="N243" i="15"/>
  <c r="N268" i="15"/>
  <c r="E266" i="15" l="1"/>
  <c r="E241" i="15"/>
  <c r="M243" i="15"/>
  <c r="M268" i="15"/>
  <c r="N244" i="15"/>
  <c r="N269" i="15"/>
  <c r="O244" i="15"/>
  <c r="O269" i="15"/>
  <c r="D266" i="15"/>
  <c r="D241" i="15"/>
  <c r="C242" i="15"/>
  <c r="C267" i="15"/>
  <c r="O270" i="15" l="1"/>
  <c r="O245" i="15"/>
  <c r="N245" i="15"/>
  <c r="N270" i="15"/>
  <c r="M244" i="15"/>
  <c r="M269" i="15"/>
  <c r="E242" i="15"/>
  <c r="E267" i="15"/>
  <c r="D267" i="15"/>
  <c r="D242" i="15"/>
  <c r="C243" i="15"/>
  <c r="C268" i="15"/>
  <c r="D268" i="15" l="1"/>
  <c r="D243" i="15"/>
  <c r="E243" i="15"/>
  <c r="E268" i="15"/>
  <c r="N271" i="15"/>
  <c r="N246" i="15"/>
  <c r="O246" i="15"/>
  <c r="O271" i="15"/>
  <c r="C244" i="15"/>
  <c r="C269" i="15"/>
  <c r="M245" i="15"/>
  <c r="M270" i="15"/>
  <c r="C270" i="15" l="1"/>
  <c r="C245" i="15"/>
  <c r="M271" i="15"/>
  <c r="M246" i="15"/>
  <c r="E244" i="15"/>
  <c r="E269" i="15"/>
  <c r="O272" i="15"/>
  <c r="O247" i="15"/>
  <c r="N272" i="15"/>
  <c r="N247" i="15"/>
  <c r="D244" i="15"/>
  <c r="D269" i="15"/>
  <c r="N273" i="15" l="1"/>
  <c r="N248" i="15"/>
  <c r="N274" i="15" s="1"/>
  <c r="C271" i="15"/>
  <c r="C246" i="15"/>
  <c r="D245" i="15"/>
  <c r="D270" i="15"/>
  <c r="O273" i="15"/>
  <c r="O248" i="15"/>
  <c r="O274" i="15" s="1"/>
  <c r="E245" i="15"/>
  <c r="E270" i="15"/>
  <c r="M247" i="15"/>
  <c r="M272" i="15"/>
  <c r="D271" i="15" l="1"/>
  <c r="D246" i="15"/>
  <c r="M273" i="15"/>
  <c r="M248" i="15"/>
  <c r="M274" i="15" s="1"/>
  <c r="E246" i="15"/>
  <c r="E271" i="15"/>
  <c r="C247" i="15"/>
  <c r="C272" i="15"/>
  <c r="C248" i="15" l="1"/>
  <c r="C274" i="15" s="1"/>
  <c r="C273" i="15"/>
  <c r="E247" i="15"/>
  <c r="E272" i="15"/>
  <c r="D247" i="15"/>
  <c r="D272" i="15"/>
  <c r="D248" i="15" l="1"/>
  <c r="D274" i="15" s="1"/>
  <c r="D273" i="15"/>
  <c r="E273" i="15"/>
  <c r="E248" i="15"/>
  <c r="E274" i="15" s="1"/>
  <c r="J373" i="2" l="1"/>
  <c r="J376" i="2"/>
  <c r="J243" i="2"/>
  <c r="K376" i="2" l="1"/>
  <c r="F1521" i="2" s="1"/>
  <c r="K373" i="2"/>
  <c r="E1521" i="2" s="1"/>
  <c r="K243" i="2"/>
  <c r="F1504" i="2" s="1"/>
  <c r="B243" i="2"/>
  <c r="G243" i="2"/>
  <c r="E243" i="2"/>
  <c r="F243" i="2"/>
  <c r="I243" i="2"/>
  <c r="D243" i="2"/>
  <c r="C243" i="2"/>
  <c r="H243" i="2"/>
  <c r="H376" i="2"/>
  <c r="D376" i="2"/>
  <c r="F376" i="2"/>
  <c r="E376" i="2"/>
  <c r="C376" i="2"/>
  <c r="B376" i="2"/>
  <c r="G376" i="2"/>
  <c r="I376" i="2"/>
  <c r="I373" i="2"/>
  <c r="B373" i="2"/>
  <c r="G373" i="2"/>
  <c r="E373" i="2"/>
  <c r="F373" i="2"/>
  <c r="D373" i="2"/>
  <c r="H373" i="2"/>
  <c r="C373" i="2"/>
  <c r="F1522" i="2" l="1"/>
  <c r="F1524" i="2" s="1"/>
  <c r="F1525" i="2" s="1"/>
  <c r="F1526" i="2" s="1"/>
  <c r="F1527" i="2" s="1"/>
  <c r="G1569" i="2" s="1"/>
  <c r="G1583" i="2" s="1"/>
  <c r="Q21" i="15"/>
  <c r="F45" i="14"/>
  <c r="AY45" i="14" s="1"/>
  <c r="AY55" i="14" s="1"/>
  <c r="AY59" i="14" s="1"/>
  <c r="AY61" i="14" s="1"/>
  <c r="AY64" i="14" s="1"/>
  <c r="AY65" i="14" s="1"/>
  <c r="AP44" i="14" s="1"/>
  <c r="F46" i="16"/>
  <c r="F57" i="16" s="1"/>
  <c r="F45" i="3"/>
  <c r="O45" i="3" s="1"/>
  <c r="X45" i="3" s="1"/>
  <c r="X55" i="3" s="1"/>
  <c r="X59" i="3" s="1"/>
  <c r="X61" i="3" s="1"/>
  <c r="AG42" i="14"/>
  <c r="F46" i="17"/>
  <c r="F57" i="17" s="1"/>
  <c r="AG43" i="17"/>
  <c r="AG42" i="3"/>
  <c r="AG43" i="3" s="1"/>
  <c r="F13" i="13" s="1"/>
  <c r="F18" i="13" s="1"/>
  <c r="AG43" i="16"/>
  <c r="E46" i="17"/>
  <c r="N46" i="17" s="1"/>
  <c r="AF42" i="14"/>
  <c r="P21" i="15"/>
  <c r="AF43" i="16"/>
  <c r="E1522" i="2"/>
  <c r="E1524" i="2" s="1"/>
  <c r="E1525" i="2" s="1"/>
  <c r="E1526" i="2" s="1"/>
  <c r="E1527" i="2" s="1"/>
  <c r="F1569" i="2" s="1"/>
  <c r="F1583" i="2" s="1"/>
  <c r="E46" i="16"/>
  <c r="E57" i="16" s="1"/>
  <c r="AF42" i="3"/>
  <c r="AF43" i="3" s="1"/>
  <c r="E13" i="13" s="1"/>
  <c r="E16" i="13" s="1"/>
  <c r="E45" i="3"/>
  <c r="N45" i="3" s="1"/>
  <c r="AF43" i="17"/>
  <c r="E45" i="14"/>
  <c r="E55" i="14" s="1"/>
  <c r="G21" i="15"/>
  <c r="F1505" i="2"/>
  <c r="F1507" i="2" s="1"/>
  <c r="F1508" i="2" s="1"/>
  <c r="F1509" i="2" s="1"/>
  <c r="F1510" i="2" s="1"/>
  <c r="G1551" i="2" s="1"/>
  <c r="G1565" i="2" s="1"/>
  <c r="F11" i="17"/>
  <c r="O11" i="17" s="1"/>
  <c r="AG8" i="3"/>
  <c r="AG9" i="3" s="1"/>
  <c r="AG13" i="3" s="1"/>
  <c r="AG14" i="3" s="1"/>
  <c r="AG16" i="3" s="1"/>
  <c r="AG17" i="3" s="1"/>
  <c r="AG18" i="3" s="1"/>
  <c r="AG8" i="14"/>
  <c r="AG8" i="17"/>
  <c r="F11" i="3"/>
  <c r="AY11" i="3" s="1"/>
  <c r="AY21" i="3" s="1"/>
  <c r="AY25" i="3" s="1"/>
  <c r="AY27" i="3" s="1"/>
  <c r="AY30" i="3" s="1"/>
  <c r="AY31" i="3" s="1"/>
  <c r="F11" i="16"/>
  <c r="AY11" i="16" s="1"/>
  <c r="AY22" i="16" s="1"/>
  <c r="AY26" i="16" s="1"/>
  <c r="AY28" i="16" s="1"/>
  <c r="AY31" i="16" s="1"/>
  <c r="AY32" i="16" s="1"/>
  <c r="AP10" i="16" s="1"/>
  <c r="F11" i="14"/>
  <c r="AY11" i="14" s="1"/>
  <c r="AY21" i="14" s="1"/>
  <c r="AY25" i="14" s="1"/>
  <c r="AY27" i="14" s="1"/>
  <c r="AY30" i="14" s="1"/>
  <c r="AY31" i="14" s="1"/>
  <c r="AG8" i="16"/>
  <c r="F55" i="14"/>
  <c r="F59" i="14" s="1"/>
  <c r="F61" i="14" s="1"/>
  <c r="F64" i="14" s="1"/>
  <c r="F65" i="14" s="1"/>
  <c r="AP41" i="14" s="1"/>
  <c r="O45" i="14"/>
  <c r="BH45" i="14" s="1"/>
  <c r="BH55" i="14" s="1"/>
  <c r="BH59" i="14" s="1"/>
  <c r="BH61" i="14" s="1"/>
  <c r="BH64" i="14" s="1"/>
  <c r="BH65" i="14" s="1"/>
  <c r="AY45" i="3" l="1"/>
  <c r="AY55" i="3" s="1"/>
  <c r="AY59" i="3" s="1"/>
  <c r="AY61" i="3" s="1"/>
  <c r="AY64" i="3" s="1"/>
  <c r="AY65" i="3" s="1"/>
  <c r="G1577" i="2" s="1"/>
  <c r="O55" i="3"/>
  <c r="O59" i="3" s="1"/>
  <c r="O61" i="3" s="1"/>
  <c r="F1531" i="2" s="1"/>
  <c r="BH45" i="3"/>
  <c r="BH55" i="3" s="1"/>
  <c r="BH59" i="3" s="1"/>
  <c r="BH61" i="3" s="1"/>
  <c r="BH64" i="3" s="1"/>
  <c r="BH65" i="3" s="1"/>
  <c r="G1579" i="2" s="1"/>
  <c r="O46" i="16"/>
  <c r="BH46" i="16" s="1"/>
  <c r="BH57" i="16" s="1"/>
  <c r="BH61" i="16" s="1"/>
  <c r="BH63" i="16" s="1"/>
  <c r="BH66" i="16" s="1"/>
  <c r="BH67" i="16" s="1"/>
  <c r="O11" i="3"/>
  <c r="BH11" i="3" s="1"/>
  <c r="BH21" i="3" s="1"/>
  <c r="BH25" i="3" s="1"/>
  <c r="BH27" i="3" s="1"/>
  <c r="BH30" i="3" s="1"/>
  <c r="BH31" i="3" s="1"/>
  <c r="G1561" i="2" s="1"/>
  <c r="F21" i="3"/>
  <c r="G45" i="15" s="1"/>
  <c r="G47" i="15" s="1"/>
  <c r="G61" i="15" s="1"/>
  <c r="O11" i="14"/>
  <c r="O21" i="14" s="1"/>
  <c r="O25" i="14" s="1"/>
  <c r="O27" i="14" s="1"/>
  <c r="O30" i="14" s="1"/>
  <c r="O31" i="14" s="1"/>
  <c r="N45" i="14"/>
  <c r="N55" i="14" s="1"/>
  <c r="N59" i="14" s="1"/>
  <c r="N61" i="14" s="1"/>
  <c r="N64" i="14" s="1"/>
  <c r="N65" i="14" s="1"/>
  <c r="AO42" i="14" s="1"/>
  <c r="AY46" i="16"/>
  <c r="AY57" i="16" s="1"/>
  <c r="AY61" i="16" s="1"/>
  <c r="AY63" i="16" s="1"/>
  <c r="AY66" i="16" s="1"/>
  <c r="AY67" i="16" s="1"/>
  <c r="AP45" i="16" s="1"/>
  <c r="AX45" i="14"/>
  <c r="AX55" i="14" s="1"/>
  <c r="AX59" i="14" s="1"/>
  <c r="AX61" i="14" s="1"/>
  <c r="AX64" i="14" s="1"/>
  <c r="AX65" i="14" s="1"/>
  <c r="AO44" i="14" s="1"/>
  <c r="F16" i="13"/>
  <c r="F55" i="3"/>
  <c r="Q45" i="15" s="1"/>
  <c r="Q48" i="15" s="1"/>
  <c r="Q62" i="15" s="1"/>
  <c r="Q137" i="15" s="1"/>
  <c r="AX46" i="17"/>
  <c r="AX57" i="17" s="1"/>
  <c r="AX61" i="17" s="1"/>
  <c r="AX63" i="17" s="1"/>
  <c r="AX66" i="17" s="1"/>
  <c r="AX67" i="17" s="1"/>
  <c r="F4" i="13"/>
  <c r="F9" i="13" s="1"/>
  <c r="AG9" i="14" s="1"/>
  <c r="AG14" i="14" s="1"/>
  <c r="AG47" i="3"/>
  <c r="AG48" i="3" s="1"/>
  <c r="AG50" i="3" s="1"/>
  <c r="AG51" i="3" s="1"/>
  <c r="AG52" i="3" s="1"/>
  <c r="AP45" i="3" s="1"/>
  <c r="F6" i="9" s="1"/>
  <c r="E57" i="17"/>
  <c r="AO49" i="17" s="1"/>
  <c r="AO54" i="17" s="1"/>
  <c r="AY11" i="17"/>
  <c r="AY22" i="17" s="1"/>
  <c r="AY26" i="17" s="1"/>
  <c r="AY28" i="17" s="1"/>
  <c r="AY31" i="17" s="1"/>
  <c r="AY32" i="17" s="1"/>
  <c r="AP10" i="17" s="1"/>
  <c r="F21" i="14"/>
  <c r="F25" i="14" s="1"/>
  <c r="F27" i="14" s="1"/>
  <c r="F30" i="14" s="1"/>
  <c r="F31" i="14" s="1"/>
  <c r="AX46" i="16"/>
  <c r="AX57" i="16" s="1"/>
  <c r="AX61" i="16" s="1"/>
  <c r="AX63" i="16" s="1"/>
  <c r="AX66" i="16" s="1"/>
  <c r="AX67" i="16" s="1"/>
  <c r="O46" i="17"/>
  <c r="X46" i="17" s="1"/>
  <c r="X57" i="17" s="1"/>
  <c r="X61" i="17" s="1"/>
  <c r="X63" i="17" s="1"/>
  <c r="X66" i="17" s="1"/>
  <c r="X67" i="17" s="1"/>
  <c r="AY46" i="17"/>
  <c r="AY57" i="17" s="1"/>
  <c r="AY61" i="17" s="1"/>
  <c r="AY63" i="17" s="1"/>
  <c r="AY66" i="17" s="1"/>
  <c r="AY67" i="17" s="1"/>
  <c r="AP45" i="17" s="1"/>
  <c r="AF47" i="3"/>
  <c r="AF48" i="3" s="1"/>
  <c r="AF50" i="3" s="1"/>
  <c r="AF51" i="3" s="1"/>
  <c r="AF52" i="3" s="1"/>
  <c r="F1582" i="2" s="1"/>
  <c r="N46" i="16"/>
  <c r="N57" i="16" s="1"/>
  <c r="N61" i="16" s="1"/>
  <c r="N63" i="16" s="1"/>
  <c r="N66" i="16" s="1"/>
  <c r="AX45" i="3"/>
  <c r="AX55" i="3" s="1"/>
  <c r="AX59" i="3" s="1"/>
  <c r="AX61" i="3" s="1"/>
  <c r="AX64" i="3" s="1"/>
  <c r="AX65" i="3" s="1"/>
  <c r="AO44" i="3" s="1"/>
  <c r="E55" i="3"/>
  <c r="E59" i="3" s="1"/>
  <c r="E61" i="3" s="1"/>
  <c r="E18" i="13"/>
  <c r="AF43" i="14" s="1"/>
  <c r="AF48" i="14" s="1"/>
  <c r="F22" i="17"/>
  <c r="AP14" i="17" s="1"/>
  <c r="AP19" i="17" s="1"/>
  <c r="O11" i="16"/>
  <c r="X11" i="16" s="1"/>
  <c r="X22" i="16" s="1"/>
  <c r="X26" i="16" s="1"/>
  <c r="X28" i="16" s="1"/>
  <c r="X31" i="16" s="1"/>
  <c r="X32" i="16" s="1"/>
  <c r="AP9" i="16" s="1"/>
  <c r="F22" i="16"/>
  <c r="F26" i="16" s="1"/>
  <c r="F28" i="16" s="1"/>
  <c r="F31" i="16" s="1"/>
  <c r="F32" i="16" s="1"/>
  <c r="AP7" i="16" s="1"/>
  <c r="E61" i="16"/>
  <c r="E63" i="16" s="1"/>
  <c r="E66" i="16" s="1"/>
  <c r="AO49" i="16"/>
  <c r="AO54" i="16" s="1"/>
  <c r="F61" i="17"/>
  <c r="F63" i="17" s="1"/>
  <c r="F66" i="17" s="1"/>
  <c r="F67" i="17" s="1"/>
  <c r="AP42" i="17" s="1"/>
  <c r="AP49" i="17"/>
  <c r="AP54" i="17" s="1"/>
  <c r="AP49" i="16"/>
  <c r="AP54" i="16" s="1"/>
  <c r="F61" i="16"/>
  <c r="F63" i="16" s="1"/>
  <c r="F66" i="16" s="1"/>
  <c r="F67" i="16" s="1"/>
  <c r="AP42" i="16" s="1"/>
  <c r="W46" i="17"/>
  <c r="W57" i="17" s="1"/>
  <c r="W61" i="17" s="1"/>
  <c r="W63" i="17" s="1"/>
  <c r="W66" i="17" s="1"/>
  <c r="N57" i="17"/>
  <c r="N61" i="17" s="1"/>
  <c r="N63" i="17" s="1"/>
  <c r="N66" i="17" s="1"/>
  <c r="BG46" i="17"/>
  <c r="BG57" i="17" s="1"/>
  <c r="BG61" i="17" s="1"/>
  <c r="BG63" i="17" s="1"/>
  <c r="BG66" i="17" s="1"/>
  <c r="BG67" i="17" s="1"/>
  <c r="AG43" i="14"/>
  <c r="AG48" i="14" s="1"/>
  <c r="AG44" i="17"/>
  <c r="AG44" i="16"/>
  <c r="BH11" i="17"/>
  <c r="BH22" i="17" s="1"/>
  <c r="BH26" i="17" s="1"/>
  <c r="BH28" i="17" s="1"/>
  <c r="BH31" i="17" s="1"/>
  <c r="BH32" i="17" s="1"/>
  <c r="X11" i="17"/>
  <c r="X22" i="17" s="1"/>
  <c r="X26" i="17" s="1"/>
  <c r="X28" i="17" s="1"/>
  <c r="X31" i="17" s="1"/>
  <c r="X32" i="17" s="1"/>
  <c r="AP9" i="17" s="1"/>
  <c r="O22" i="17"/>
  <c r="O26" i="17" s="1"/>
  <c r="O28" i="17" s="1"/>
  <c r="O31" i="17" s="1"/>
  <c r="O32" i="17" s="1"/>
  <c r="AP8" i="17" s="1"/>
  <c r="X45" i="14"/>
  <c r="X55" i="14" s="1"/>
  <c r="X59" i="14" s="1"/>
  <c r="X61" i="14" s="1"/>
  <c r="X64" i="14" s="1"/>
  <c r="X65" i="14" s="1"/>
  <c r="AP48" i="14"/>
  <c r="AP52" i="14" s="1"/>
  <c r="BH11" i="14"/>
  <c r="BH21" i="14" s="1"/>
  <c r="BH25" i="14" s="1"/>
  <c r="BH27" i="14" s="1"/>
  <c r="BH30" i="14" s="1"/>
  <c r="BH31" i="14" s="1"/>
  <c r="O55" i="14"/>
  <c r="O59" i="14" s="1"/>
  <c r="O61" i="14" s="1"/>
  <c r="O64" i="14" s="1"/>
  <c r="O65" i="14" s="1"/>
  <c r="AP42" i="14" s="1"/>
  <c r="AP46" i="14" s="1"/>
  <c r="AO48" i="14"/>
  <c r="AO52" i="14" s="1"/>
  <c r="E59" i="14"/>
  <c r="E61" i="14" s="1"/>
  <c r="E64" i="14" s="1"/>
  <c r="E65" i="14" s="1"/>
  <c r="AO41" i="14" s="1"/>
  <c r="W45" i="3"/>
  <c r="W55" i="3" s="1"/>
  <c r="W59" i="3" s="1"/>
  <c r="W61" i="3" s="1"/>
  <c r="BG45" i="3"/>
  <c r="BG55" i="3" s="1"/>
  <c r="BG59" i="3" s="1"/>
  <c r="BG61" i="3" s="1"/>
  <c r="BG64" i="3" s="1"/>
  <c r="BG65" i="3" s="1"/>
  <c r="F1579" i="2" s="1"/>
  <c r="N55" i="3"/>
  <c r="N59" i="3" s="1"/>
  <c r="N61" i="3" s="1"/>
  <c r="AP44" i="3"/>
  <c r="X64" i="3"/>
  <c r="F1533" i="2"/>
  <c r="AP10" i="14"/>
  <c r="AP10" i="3"/>
  <c r="G1559" i="2"/>
  <c r="AP11" i="3"/>
  <c r="F6" i="8" s="1"/>
  <c r="G1564" i="2"/>
  <c r="E61" i="17" l="1"/>
  <c r="E63" i="17" s="1"/>
  <c r="E66" i="17" s="1"/>
  <c r="E67" i="17" s="1"/>
  <c r="X11" i="14"/>
  <c r="X21" i="14" s="1"/>
  <c r="X25" i="14" s="1"/>
  <c r="X27" i="14" s="1"/>
  <c r="X30" i="14" s="1"/>
  <c r="X31" i="14" s="1"/>
  <c r="O64" i="3"/>
  <c r="O65" i="3" s="1"/>
  <c r="X46" i="16"/>
  <c r="X57" i="16" s="1"/>
  <c r="X61" i="16" s="1"/>
  <c r="X63" i="16" s="1"/>
  <c r="X66" i="16" s="1"/>
  <c r="X67" i="16" s="1"/>
  <c r="G59" i="15"/>
  <c r="O57" i="16"/>
  <c r="O61" i="16" s="1"/>
  <c r="O63" i="16" s="1"/>
  <c r="O66" i="16" s="1"/>
  <c r="O67" i="16" s="1"/>
  <c r="AP43" i="16" s="1"/>
  <c r="X11" i="3"/>
  <c r="X21" i="3" s="1"/>
  <c r="X25" i="3" s="1"/>
  <c r="X27" i="3" s="1"/>
  <c r="X30" i="3" s="1"/>
  <c r="X31" i="3" s="1"/>
  <c r="O21" i="3"/>
  <c r="O25" i="3" s="1"/>
  <c r="O27" i="3" s="1"/>
  <c r="O30" i="3" s="1"/>
  <c r="O31" i="3" s="1"/>
  <c r="AP14" i="14"/>
  <c r="AP18" i="14" s="1"/>
  <c r="AG9" i="17"/>
  <c r="AP14" i="16"/>
  <c r="AP19" i="16" s="1"/>
  <c r="AF44" i="17"/>
  <c r="Q47" i="15"/>
  <c r="Q61" i="15" s="1"/>
  <c r="Q59" i="15"/>
  <c r="F25" i="3"/>
  <c r="F27" i="3" s="1"/>
  <c r="F30" i="3" s="1"/>
  <c r="F31" i="3" s="1"/>
  <c r="G49" i="15"/>
  <c r="G63" i="15" s="1"/>
  <c r="G138" i="15" s="1"/>
  <c r="F7" i="13"/>
  <c r="G48" i="15"/>
  <c r="G62" i="15" s="1"/>
  <c r="G137" i="15" s="1"/>
  <c r="AP14" i="3"/>
  <c r="AP18" i="3" s="1"/>
  <c r="AG9" i="16"/>
  <c r="AP48" i="3"/>
  <c r="AP52" i="3" s="1"/>
  <c r="Q49" i="15"/>
  <c r="Q63" i="15" s="1"/>
  <c r="Q138" i="15" s="1"/>
  <c r="F59" i="3"/>
  <c r="F61" i="3" s="1"/>
  <c r="F1529" i="2" s="1"/>
  <c r="W45" i="14"/>
  <c r="W55" i="14" s="1"/>
  <c r="W59" i="14" s="1"/>
  <c r="W61" i="14" s="1"/>
  <c r="W64" i="14" s="1"/>
  <c r="W65" i="14" s="1"/>
  <c r="F1577" i="2"/>
  <c r="BG45" i="14"/>
  <c r="BG55" i="14" s="1"/>
  <c r="BG59" i="14" s="1"/>
  <c r="BG61" i="14" s="1"/>
  <c r="BG64" i="14" s="1"/>
  <c r="BG65" i="14" s="1"/>
  <c r="AF44" i="16"/>
  <c r="W46" i="16"/>
  <c r="W57" i="16" s="1"/>
  <c r="W61" i="16" s="1"/>
  <c r="W63" i="16" s="1"/>
  <c r="W66" i="16" s="1"/>
  <c r="W67" i="16" s="1"/>
  <c r="AO45" i="3"/>
  <c r="E6" i="9" s="1"/>
  <c r="G1582" i="2"/>
  <c r="BH46" i="17"/>
  <c r="BH57" i="17" s="1"/>
  <c r="BH61" i="17" s="1"/>
  <c r="BH63" i="17" s="1"/>
  <c r="BH66" i="17" s="1"/>
  <c r="BH67" i="17" s="1"/>
  <c r="O57" i="17"/>
  <c r="O61" i="17" s="1"/>
  <c r="O63" i="17" s="1"/>
  <c r="O66" i="17" s="1"/>
  <c r="O67" i="17" s="1"/>
  <c r="AP43" i="17" s="1"/>
  <c r="BH11" i="16"/>
  <c r="BH22" i="16" s="1"/>
  <c r="BH26" i="16" s="1"/>
  <c r="BH28" i="16" s="1"/>
  <c r="BH31" i="16" s="1"/>
  <c r="BH32" i="16" s="1"/>
  <c r="O22" i="16"/>
  <c r="O26" i="16" s="1"/>
  <c r="O28" i="16" s="1"/>
  <c r="O31" i="16" s="1"/>
  <c r="O32" i="16" s="1"/>
  <c r="AP8" i="16" s="1"/>
  <c r="AP12" i="16" s="1"/>
  <c r="F26" i="17"/>
  <c r="F28" i="17" s="1"/>
  <c r="F31" i="17" s="1"/>
  <c r="F32" i="17" s="1"/>
  <c r="AP7" i="17" s="1"/>
  <c r="AP12" i="17" s="1"/>
  <c r="AP20" i="17" s="1"/>
  <c r="BG46" i="16"/>
  <c r="BG57" i="16" s="1"/>
  <c r="BG61" i="16" s="1"/>
  <c r="BG63" i="16" s="1"/>
  <c r="BG66" i="16" s="1"/>
  <c r="BG67" i="16" s="1"/>
  <c r="AO48" i="3"/>
  <c r="AO52" i="3" s="1"/>
  <c r="P45" i="15"/>
  <c r="P49" i="15" s="1"/>
  <c r="P63" i="15" s="1"/>
  <c r="P138" i="15" s="1"/>
  <c r="AP47" i="16"/>
  <c r="AP55" i="16" s="1"/>
  <c r="AP47" i="17"/>
  <c r="AP55" i="17" s="1"/>
  <c r="AO45" i="16"/>
  <c r="E67" i="16"/>
  <c r="N67" i="17"/>
  <c r="N67" i="16"/>
  <c r="W67" i="17"/>
  <c r="AO45" i="17"/>
  <c r="AG15" i="14"/>
  <c r="AG17" i="14" s="1"/>
  <c r="AG18" i="14" s="1"/>
  <c r="AG19" i="14" s="1"/>
  <c r="AP11" i="14" s="1"/>
  <c r="AG14" i="17"/>
  <c r="AG16" i="17" s="1"/>
  <c r="AG18" i="17" s="1"/>
  <c r="AG19" i="17" s="1"/>
  <c r="AG20" i="17" s="1"/>
  <c r="AP11" i="17" s="1"/>
  <c r="AG49" i="14"/>
  <c r="AG51" i="14" s="1"/>
  <c r="AG52" i="14" s="1"/>
  <c r="AG53" i="14" s="1"/>
  <c r="AP45" i="14" s="1"/>
  <c r="AG49" i="17"/>
  <c r="AG51" i="17" s="1"/>
  <c r="AG53" i="17" s="1"/>
  <c r="AG54" i="17" s="1"/>
  <c r="AG55" i="17" s="1"/>
  <c r="AP46" i="17" s="1"/>
  <c r="AF49" i="14"/>
  <c r="AF51" i="14" s="1"/>
  <c r="AF52" i="14" s="1"/>
  <c r="AF53" i="14" s="1"/>
  <c r="AO45" i="14" s="1"/>
  <c r="AF49" i="17"/>
  <c r="AF51" i="17" s="1"/>
  <c r="AF53" i="17" s="1"/>
  <c r="AP54" i="14"/>
  <c r="AP53" i="14"/>
  <c r="E64" i="3"/>
  <c r="E65" i="3" s="1"/>
  <c r="E1529" i="2"/>
  <c r="N64" i="3"/>
  <c r="N65" i="3" s="1"/>
  <c r="E1531" i="2"/>
  <c r="E1533" i="2"/>
  <c r="W64" i="3"/>
  <c r="W65" i="3" s="1"/>
  <c r="AO46" i="14"/>
  <c r="AO53" i="14" s="1"/>
  <c r="AP8" i="14"/>
  <c r="AP9" i="14"/>
  <c r="X65" i="3"/>
  <c r="AP7" i="14"/>
  <c r="F1516" i="2" l="1"/>
  <c r="F1514" i="2"/>
  <c r="Q46" i="15"/>
  <c r="Q60" i="15" s="1"/>
  <c r="Q64" i="15" s="1"/>
  <c r="G46" i="15"/>
  <c r="G60" i="15" s="1"/>
  <c r="G64" i="15" s="1"/>
  <c r="G213" i="15" s="1"/>
  <c r="AP21" i="16"/>
  <c r="F1512" i="2"/>
  <c r="F64" i="3"/>
  <c r="F65" i="3" s="1"/>
  <c r="AP41" i="3" s="1"/>
  <c r="P48" i="15"/>
  <c r="P62" i="15" s="1"/>
  <c r="P137" i="15" s="1"/>
  <c r="P59" i="15"/>
  <c r="P47" i="15"/>
  <c r="AP56" i="16"/>
  <c r="AP53" i="16" s="1"/>
  <c r="AP52" i="16" s="1"/>
  <c r="AP57" i="16" s="1"/>
  <c r="AP58" i="16" s="1"/>
  <c r="AP61" i="16" s="1"/>
  <c r="AP56" i="17"/>
  <c r="AP53" i="17" s="1"/>
  <c r="AP52" i="17" s="1"/>
  <c r="AP57" i="17" s="1"/>
  <c r="AP59" i="17" s="1"/>
  <c r="AP62" i="17" s="1"/>
  <c r="AP20" i="16"/>
  <c r="AP21" i="17"/>
  <c r="AP18" i="17" s="1"/>
  <c r="AP17" i="17" s="1"/>
  <c r="AP22" i="17" s="1"/>
  <c r="AO43" i="17"/>
  <c r="AO42" i="16"/>
  <c r="AF54" i="17"/>
  <c r="AF55" i="17" s="1"/>
  <c r="AO42" i="17"/>
  <c r="AO43" i="16"/>
  <c r="AP51" i="14"/>
  <c r="AP50" i="14" s="1"/>
  <c r="AP55" i="14" s="1"/>
  <c r="AP57" i="14" s="1"/>
  <c r="AP60" i="14" s="1"/>
  <c r="AO54" i="14"/>
  <c r="AO51" i="14" s="1"/>
  <c r="AO50" i="14" s="1"/>
  <c r="AO55" i="14" s="1"/>
  <c r="AO58" i="14" s="1"/>
  <c r="AO61" i="14" s="1"/>
  <c r="F1575" i="2"/>
  <c r="AO43" i="3"/>
  <c r="E5" i="9" s="1"/>
  <c r="AO42" i="3"/>
  <c r="E4" i="9" s="1"/>
  <c r="F1573" i="2"/>
  <c r="AO41" i="3"/>
  <c r="F1571" i="2"/>
  <c r="AP12" i="14"/>
  <c r="AP20" i="14" s="1"/>
  <c r="G1553" i="2"/>
  <c r="AP7" i="3"/>
  <c r="AP43" i="3"/>
  <c r="F5" i="9" s="1"/>
  <c r="G1575" i="2"/>
  <c r="AP9" i="3"/>
  <c r="F5" i="8" s="1"/>
  <c r="G1557" i="2"/>
  <c r="G1555" i="2"/>
  <c r="AP8" i="3"/>
  <c r="F4" i="8" s="1"/>
  <c r="AP42" i="3"/>
  <c r="F4" i="9" s="1"/>
  <c r="G1573" i="2"/>
  <c r="AP18" i="16" l="1"/>
  <c r="AP17" i="16" s="1"/>
  <c r="AP22" i="16" s="1"/>
  <c r="AP25" i="16" s="1"/>
  <c r="AP28" i="16" s="1"/>
  <c r="G214" i="15"/>
  <c r="G212" i="15"/>
  <c r="Q212" i="15"/>
  <c r="Q213" i="15"/>
  <c r="Q214" i="15"/>
  <c r="G1571" i="2"/>
  <c r="G1581" i="2" s="1"/>
  <c r="P46" i="15"/>
  <c r="P60" i="15" s="1"/>
  <c r="P61" i="15"/>
  <c r="AO47" i="17"/>
  <c r="AO56" i="17" s="1"/>
  <c r="AO47" i="16"/>
  <c r="AO55" i="16" s="1"/>
  <c r="AP59" i="16"/>
  <c r="AP62" i="16" s="1"/>
  <c r="AP60" i="16"/>
  <c r="AP63" i="16" s="1"/>
  <c r="AP60" i="17"/>
  <c r="AP63" i="17" s="1"/>
  <c r="AP58" i="17"/>
  <c r="AP61" i="17" s="1"/>
  <c r="AP24" i="17"/>
  <c r="AP27" i="17" s="1"/>
  <c r="AP25" i="17"/>
  <c r="AP28" i="17" s="1"/>
  <c r="AP23" i="17"/>
  <c r="AP26" i="17" s="1"/>
  <c r="AO46" i="17"/>
  <c r="AP19" i="14"/>
  <c r="AP17" i="14" s="1"/>
  <c r="AP16" i="14" s="1"/>
  <c r="AP21" i="14" s="1"/>
  <c r="AP58" i="14"/>
  <c r="AP61" i="14" s="1"/>
  <c r="AP56" i="14"/>
  <c r="AP59" i="14" s="1"/>
  <c r="F1581" i="2"/>
  <c r="E3" i="9"/>
  <c r="AO46" i="3"/>
  <c r="AO56" i="14"/>
  <c r="AO59" i="14" s="1"/>
  <c r="AO57" i="14"/>
  <c r="AO60" i="14" s="1"/>
  <c r="G1563" i="2"/>
  <c r="AP12" i="3"/>
  <c r="F3" i="8"/>
  <c r="F3" i="9"/>
  <c r="AP46" i="3"/>
  <c r="AP24" i="16" l="1"/>
  <c r="AP27" i="16" s="1"/>
  <c r="P64" i="15"/>
  <c r="P212" i="15" s="1"/>
  <c r="AP23" i="16"/>
  <c r="AP26" i="16" s="1"/>
  <c r="G211" i="15"/>
  <c r="G210" i="15" s="1"/>
  <c r="G215" i="15" s="1"/>
  <c r="Q211" i="15"/>
  <c r="Q210" i="15" s="1"/>
  <c r="Q215" i="15" s="1"/>
  <c r="Q158" i="15" s="1"/>
  <c r="AO55" i="17"/>
  <c r="AO53" i="17" s="1"/>
  <c r="AO52" i="17" s="1"/>
  <c r="AO57" i="17" s="1"/>
  <c r="AO58" i="17" s="1"/>
  <c r="AO61" i="17" s="1"/>
  <c r="AO56" i="16"/>
  <c r="AO53" i="16" s="1"/>
  <c r="AO52" i="16" s="1"/>
  <c r="AO57" i="16" s="1"/>
  <c r="AO60" i="16" s="1"/>
  <c r="AO63" i="16" s="1"/>
  <c r="AO53" i="3"/>
  <c r="AO54" i="3"/>
  <c r="AP54" i="3"/>
  <c r="AP53" i="3"/>
  <c r="AP20" i="3"/>
  <c r="AP19" i="3"/>
  <c r="AP22" i="14"/>
  <c r="AP25" i="14" s="1"/>
  <c r="AP24" i="14"/>
  <c r="AP27" i="14" s="1"/>
  <c r="AP23" i="14"/>
  <c r="AP26" i="14" s="1"/>
  <c r="P214" i="15" l="1"/>
  <c r="P213" i="15"/>
  <c r="Q157" i="15"/>
  <c r="Q156" i="15"/>
  <c r="Q216" i="15"/>
  <c r="Q135" i="15" s="1"/>
  <c r="G192" i="15"/>
  <c r="Q192" i="15"/>
  <c r="AO59" i="17"/>
  <c r="AO62" i="17" s="1"/>
  <c r="AO60" i="17"/>
  <c r="AO63" i="17" s="1"/>
  <c r="AO59" i="16"/>
  <c r="AO62" i="16" s="1"/>
  <c r="AO58" i="16"/>
  <c r="AO61" i="16" s="1"/>
  <c r="AO51" i="3"/>
  <c r="AO50" i="3" s="1"/>
  <c r="AO55" i="3" s="1"/>
  <c r="AP17" i="3"/>
  <c r="AP16" i="3" s="1"/>
  <c r="AP21" i="3" s="1"/>
  <c r="AP22" i="3" s="1"/>
  <c r="AP51" i="3"/>
  <c r="AP50" i="3" s="1"/>
  <c r="AP55" i="3" s="1"/>
  <c r="G216" i="15"/>
  <c r="G156" i="15"/>
  <c r="G157" i="15"/>
  <c r="G158" i="15"/>
  <c r="P211" i="15" l="1"/>
  <c r="P210" i="15" s="1"/>
  <c r="P192" i="15" s="1"/>
  <c r="Q121" i="15"/>
  <c r="Q159" i="15"/>
  <c r="Q167" i="15" s="1"/>
  <c r="Q236" i="15"/>
  <c r="Q262" i="15" s="1"/>
  <c r="Q217" i="15"/>
  <c r="Q191" i="15" s="1"/>
  <c r="AP56" i="3"/>
  <c r="AP59" i="3" s="1"/>
  <c r="AP57" i="3"/>
  <c r="AP60" i="3" s="1"/>
  <c r="AO58" i="3"/>
  <c r="AO72" i="3" s="1"/>
  <c r="AO57" i="3"/>
  <c r="AO60" i="3" s="1"/>
  <c r="AP25" i="3"/>
  <c r="AP34" i="3"/>
  <c r="AO56" i="3"/>
  <c r="AP23" i="3"/>
  <c r="AP24" i="3"/>
  <c r="AP33" i="3" s="1"/>
  <c r="AP58" i="3"/>
  <c r="AP72" i="3" s="1"/>
  <c r="G159" i="15"/>
  <c r="G167" i="15" s="1"/>
  <c r="G236" i="15"/>
  <c r="G217" i="15"/>
  <c r="G191" i="15" s="1"/>
  <c r="G121" i="15"/>
  <c r="G135" i="15"/>
  <c r="P215" i="15" l="1"/>
  <c r="P156" i="15" s="1"/>
  <c r="Q122" i="15"/>
  <c r="Q125" i="15" s="1"/>
  <c r="Q162" i="15" s="1"/>
  <c r="Q136" i="15"/>
  <c r="Q139" i="15" s="1"/>
  <c r="Q164" i="15" s="1"/>
  <c r="Q237" i="15"/>
  <c r="Q238" i="15" s="1"/>
  <c r="Q148" i="15"/>
  <c r="Q151" i="15" s="1"/>
  <c r="Q166" i="15" s="1"/>
  <c r="AO61" i="3"/>
  <c r="AP71" i="3"/>
  <c r="AP27" i="3"/>
  <c r="AO59" i="3"/>
  <c r="AO71" i="3"/>
  <c r="AP61" i="3"/>
  <c r="AP26" i="3"/>
  <c r="P157" i="15"/>
  <c r="G237" i="15"/>
  <c r="G262" i="15"/>
  <c r="G122" i="15"/>
  <c r="G125" i="15" s="1"/>
  <c r="G162" i="15" s="1"/>
  <c r="G148" i="15"/>
  <c r="G151" i="15" s="1"/>
  <c r="G166" i="15" s="1"/>
  <c r="G136" i="15"/>
  <c r="G139" i="15" s="1"/>
  <c r="G164" i="15" s="1"/>
  <c r="P216" i="15" l="1"/>
  <c r="P135" i="15" s="1"/>
  <c r="P158" i="15"/>
  <c r="P159" i="15" s="1"/>
  <c r="P167" i="15" s="1"/>
  <c r="Q263" i="15"/>
  <c r="Q170" i="15"/>
  <c r="Q194" i="15" s="1"/>
  <c r="Q200" i="15" s="1"/>
  <c r="G170" i="15"/>
  <c r="G194" i="15" s="1"/>
  <c r="G200" i="15" s="1"/>
  <c r="Q264" i="15"/>
  <c r="Q239" i="15"/>
  <c r="G263" i="15"/>
  <c r="G238" i="15"/>
  <c r="P236" i="15" l="1"/>
  <c r="P121" i="15"/>
  <c r="P217" i="15"/>
  <c r="P122" i="15" s="1"/>
  <c r="P262" i="15"/>
  <c r="Q240" i="15"/>
  <c r="Q265" i="15"/>
  <c r="G264" i="15"/>
  <c r="G239" i="15"/>
  <c r="P191" i="15" l="1"/>
  <c r="P148" i="15"/>
  <c r="P151" i="15" s="1"/>
  <c r="P166" i="15" s="1"/>
  <c r="P125" i="15"/>
  <c r="P162" i="15" s="1"/>
  <c r="P237" i="15"/>
  <c r="P238" i="15" s="1"/>
  <c r="P136" i="15"/>
  <c r="P139" i="15" s="1"/>
  <c r="P164" i="15" s="1"/>
  <c r="G265" i="15"/>
  <c r="G240" i="15"/>
  <c r="Q241" i="15"/>
  <c r="Q266" i="15"/>
  <c r="P170" i="15" l="1"/>
  <c r="P194" i="15" s="1"/>
  <c r="P200" i="15" s="1"/>
  <c r="P263" i="15"/>
  <c r="P264" i="15"/>
  <c r="P239" i="15"/>
  <c r="Q267" i="15"/>
  <c r="Q242" i="15"/>
  <c r="G241" i="15"/>
  <c r="G266" i="15"/>
  <c r="P240" i="15" l="1"/>
  <c r="P265" i="15"/>
  <c r="Q243" i="15"/>
  <c r="Q268" i="15"/>
  <c r="G242" i="15"/>
  <c r="G267" i="15"/>
  <c r="P266" i="15" l="1"/>
  <c r="P241" i="15"/>
  <c r="G243" i="15"/>
  <c r="G268" i="15"/>
  <c r="Q269" i="15"/>
  <c r="Q244" i="15"/>
  <c r="P242" i="15" l="1"/>
  <c r="P267" i="15"/>
  <c r="Q270" i="15"/>
  <c r="Q245" i="15"/>
  <c r="G244" i="15"/>
  <c r="G269" i="15"/>
  <c r="P243" i="15" l="1"/>
  <c r="P268" i="15"/>
  <c r="Q246" i="15"/>
  <c r="Q271" i="15"/>
  <c r="G245" i="15"/>
  <c r="G270" i="15"/>
  <c r="P244" i="15" l="1"/>
  <c r="P269" i="15"/>
  <c r="G271" i="15"/>
  <c r="G246" i="15"/>
  <c r="Q272" i="15"/>
  <c r="Q247" i="15"/>
  <c r="P245" i="15" l="1"/>
  <c r="P270" i="15"/>
  <c r="Q273" i="15"/>
  <c r="Q248" i="15"/>
  <c r="Q274" i="15" s="1"/>
  <c r="G272" i="15"/>
  <c r="G247" i="15"/>
  <c r="P246" i="15" l="1"/>
  <c r="P271" i="15"/>
  <c r="G248" i="15"/>
  <c r="G274" i="15" s="1"/>
  <c r="G273" i="15"/>
  <c r="P247" i="15" l="1"/>
  <c r="P272" i="15"/>
  <c r="P273" i="15" l="1"/>
  <c r="P248" i="15"/>
  <c r="P274" i="15" s="1"/>
  <c r="J241" i="2" l="1"/>
  <c r="F241" i="2" l="1"/>
  <c r="K241" i="2"/>
  <c r="E1504" i="2" s="1"/>
  <c r="C241" i="2"/>
  <c r="B241" i="2"/>
  <c r="E241" i="2"/>
  <c r="G241" i="2"/>
  <c r="I241" i="2"/>
  <c r="H241" i="2"/>
  <c r="D241" i="2"/>
  <c r="AF8" i="17" l="1"/>
  <c r="E11" i="17"/>
  <c r="E11" i="16"/>
  <c r="AF8" i="16"/>
  <c r="AF8" i="14"/>
  <c r="E1505" i="2"/>
  <c r="E1507" i="2" s="1"/>
  <c r="E11" i="3"/>
  <c r="E11" i="14"/>
  <c r="AF8" i="3"/>
  <c r="AF9" i="3" s="1"/>
  <c r="F21" i="15"/>
  <c r="AX11" i="16" l="1"/>
  <c r="AX22" i="16" s="1"/>
  <c r="AX26" i="16" s="1"/>
  <c r="AX28" i="16" s="1"/>
  <c r="AX31" i="16" s="1"/>
  <c r="N11" i="16"/>
  <c r="E22" i="16"/>
  <c r="E22" i="17"/>
  <c r="N11" i="17"/>
  <c r="AX11" i="17"/>
  <c r="AX22" i="17" s="1"/>
  <c r="AX26" i="17" s="1"/>
  <c r="AX28" i="17" s="1"/>
  <c r="AX31" i="17" s="1"/>
  <c r="E4" i="13"/>
  <c r="AF13" i="3"/>
  <c r="AF14" i="3" s="1"/>
  <c r="AF16" i="3" s="1"/>
  <c r="N11" i="3"/>
  <c r="AX11" i="3"/>
  <c r="AX21" i="3" s="1"/>
  <c r="AX25" i="3" s="1"/>
  <c r="AX27" i="3" s="1"/>
  <c r="AX30" i="3" s="1"/>
  <c r="E21" i="3"/>
  <c r="N11" i="14"/>
  <c r="AX11" i="14"/>
  <c r="AX21" i="14" s="1"/>
  <c r="AX25" i="14" s="1"/>
  <c r="AX27" i="14" s="1"/>
  <c r="AX30" i="14" s="1"/>
  <c r="E21" i="14"/>
  <c r="E1508" i="2"/>
  <c r="E1509" i="2" s="1"/>
  <c r="E1510" i="2" s="1"/>
  <c r="F1551" i="2" s="1"/>
  <c r="F1565" i="2" s="1"/>
  <c r="AX32" i="17" l="1"/>
  <c r="AO14" i="17"/>
  <c r="AO19" i="17" s="1"/>
  <c r="E26" i="17"/>
  <c r="E28" i="17" s="1"/>
  <c r="E31" i="17" s="1"/>
  <c r="E26" i="16"/>
  <c r="E28" i="16" s="1"/>
  <c r="E31" i="16" s="1"/>
  <c r="AO14" i="16"/>
  <c r="AO19" i="16" s="1"/>
  <c r="AX32" i="16"/>
  <c r="N22" i="17"/>
  <c r="N26" i="17" s="1"/>
  <c r="N28" i="17" s="1"/>
  <c r="N31" i="17" s="1"/>
  <c r="BG11" i="17"/>
  <c r="BG22" i="17" s="1"/>
  <c r="BG26" i="17" s="1"/>
  <c r="BG28" i="17" s="1"/>
  <c r="BG31" i="17" s="1"/>
  <c r="BG32" i="17" s="1"/>
  <c r="W11" i="17"/>
  <c r="W22" i="17" s="1"/>
  <c r="W26" i="17" s="1"/>
  <c r="W28" i="17" s="1"/>
  <c r="W31" i="17" s="1"/>
  <c r="BG11" i="16"/>
  <c r="BG22" i="16" s="1"/>
  <c r="BG26" i="16" s="1"/>
  <c r="BG28" i="16" s="1"/>
  <c r="BG31" i="16" s="1"/>
  <c r="BG32" i="16" s="1"/>
  <c r="W11" i="16"/>
  <c r="W22" i="16" s="1"/>
  <c r="W26" i="16" s="1"/>
  <c r="W28" i="16" s="1"/>
  <c r="W31" i="16" s="1"/>
  <c r="N22" i="16"/>
  <c r="N26" i="16" s="1"/>
  <c r="N28" i="16" s="1"/>
  <c r="N31" i="16" s="1"/>
  <c r="AX31" i="3"/>
  <c r="E25" i="14"/>
  <c r="E27" i="14" s="1"/>
  <c r="E30" i="14" s="1"/>
  <c r="AO14" i="14"/>
  <c r="BG11" i="14"/>
  <c r="BG21" i="14" s="1"/>
  <c r="BG25" i="14" s="1"/>
  <c r="BG27" i="14" s="1"/>
  <c r="BG30" i="14" s="1"/>
  <c r="BG31" i="14" s="1"/>
  <c r="W11" i="14"/>
  <c r="W21" i="14" s="1"/>
  <c r="W25" i="14" s="1"/>
  <c r="W27" i="14" s="1"/>
  <c r="W30" i="14" s="1"/>
  <c r="N21" i="14"/>
  <c r="N25" i="14" s="1"/>
  <c r="N27" i="14" s="1"/>
  <c r="N30" i="14" s="1"/>
  <c r="AX31" i="14"/>
  <c r="AF17" i="3"/>
  <c r="AF18" i="3" s="1"/>
  <c r="E25" i="3"/>
  <c r="E27" i="3" s="1"/>
  <c r="F45" i="15"/>
  <c r="AO14" i="3"/>
  <c r="W11" i="3"/>
  <c r="W21" i="3" s="1"/>
  <c r="W25" i="3" s="1"/>
  <c r="W27" i="3" s="1"/>
  <c r="BG11" i="3"/>
  <c r="BG21" i="3" s="1"/>
  <c r="BG25" i="3" s="1"/>
  <c r="BG27" i="3" s="1"/>
  <c r="BG30" i="3" s="1"/>
  <c r="BG31" i="3" s="1"/>
  <c r="F1561" i="2" s="1"/>
  <c r="N21" i="3"/>
  <c r="N25" i="3" s="1"/>
  <c r="N27" i="3" s="1"/>
  <c r="E7" i="13"/>
  <c r="E9" i="13"/>
  <c r="W32" i="16" l="1"/>
  <c r="N32" i="16"/>
  <c r="AO10" i="16"/>
  <c r="W32" i="17"/>
  <c r="E32" i="17"/>
  <c r="E32" i="16"/>
  <c r="N32" i="17"/>
  <c r="AO10" i="17"/>
  <c r="AF9" i="14"/>
  <c r="AF14" i="14" s="1"/>
  <c r="AF9" i="17"/>
  <c r="AF9" i="16"/>
  <c r="W31" i="14"/>
  <c r="F47" i="15"/>
  <c r="F61" i="15" s="1"/>
  <c r="F48" i="15"/>
  <c r="F62" i="15" s="1"/>
  <c r="F137" i="15" s="1"/>
  <c r="F59" i="15"/>
  <c r="F49" i="15"/>
  <c r="F63" i="15" s="1"/>
  <c r="F138" i="15" s="1"/>
  <c r="E1512" i="2"/>
  <c r="E30" i="3"/>
  <c r="AO18" i="14"/>
  <c r="N31" i="14"/>
  <c r="F1564" i="2"/>
  <c r="AO11" i="3"/>
  <c r="E6" i="8" s="1"/>
  <c r="E31" i="14"/>
  <c r="W30" i="3"/>
  <c r="E1516" i="2"/>
  <c r="AO18" i="3"/>
  <c r="N30" i="3"/>
  <c r="E1514" i="2"/>
  <c r="AO10" i="14"/>
  <c r="F1559" i="2"/>
  <c r="AO10" i="3"/>
  <c r="AO7" i="17" l="1"/>
  <c r="AO9" i="17"/>
  <c r="AO8" i="17"/>
  <c r="AO7" i="16"/>
  <c r="AO8" i="16"/>
  <c r="AO9" i="16"/>
  <c r="AF15" i="14"/>
  <c r="AF17" i="14" s="1"/>
  <c r="AF18" i="14" s="1"/>
  <c r="AF19" i="14" s="1"/>
  <c r="AO11" i="14" s="1"/>
  <c r="AF14" i="17"/>
  <c r="AF16" i="17" s="1"/>
  <c r="AF18" i="17" s="1"/>
  <c r="F46" i="15"/>
  <c r="F60" i="15" s="1"/>
  <c r="F64" i="15" s="1"/>
  <c r="AO8" i="14"/>
  <c r="W31" i="3"/>
  <c r="AO7" i="14"/>
  <c r="N31" i="3"/>
  <c r="E31" i="3"/>
  <c r="AO9" i="14"/>
  <c r="AO12" i="17" l="1"/>
  <c r="AO21" i="17" s="1"/>
  <c r="AO12" i="16"/>
  <c r="AO21" i="16" s="1"/>
  <c r="AF19" i="17"/>
  <c r="AF20" i="17" s="1"/>
  <c r="AO8" i="3"/>
  <c r="E4" i="8" s="1"/>
  <c r="F1555" i="2"/>
  <c r="F1557" i="2"/>
  <c r="AO9" i="3"/>
  <c r="E5" i="8" s="1"/>
  <c r="AO12" i="14"/>
  <c r="F1553" i="2"/>
  <c r="AO7" i="3"/>
  <c r="F213" i="15"/>
  <c r="F212" i="15"/>
  <c r="F214" i="15"/>
  <c r="AO20" i="17" l="1"/>
  <c r="AO18" i="17" s="1"/>
  <c r="AO17" i="17" s="1"/>
  <c r="AO22" i="17" s="1"/>
  <c r="AO24" i="17" s="1"/>
  <c r="AO27" i="17" s="1"/>
  <c r="AO20" i="16"/>
  <c r="AO18" i="16" s="1"/>
  <c r="AO17" i="16" s="1"/>
  <c r="AO22" i="16" s="1"/>
  <c r="AO11" i="17"/>
  <c r="F211" i="15"/>
  <c r="F210" i="15" s="1"/>
  <c r="AO12" i="3"/>
  <c r="E3" i="8"/>
  <c r="AO20" i="14"/>
  <c r="AO19" i="14"/>
  <c r="F1563" i="2"/>
  <c r="AO25" i="17" l="1"/>
  <c r="AO28" i="17" s="1"/>
  <c r="AO23" i="17"/>
  <c r="AO26" i="17" s="1"/>
  <c r="AO24" i="16"/>
  <c r="AO27" i="16" s="1"/>
  <c r="AO23" i="16"/>
  <c r="AO26" i="16" s="1"/>
  <c r="AO25" i="16"/>
  <c r="AO28" i="16" s="1"/>
  <c r="AO17" i="14"/>
  <c r="AO16" i="14" s="1"/>
  <c r="AO21" i="14" s="1"/>
  <c r="AO24" i="14" s="1"/>
  <c r="AO27" i="14" s="1"/>
  <c r="AO20" i="3"/>
  <c r="AO19" i="3"/>
  <c r="F192" i="15"/>
  <c r="F215" i="15"/>
  <c r="AO17" i="3" l="1"/>
  <c r="AO16" i="3" s="1"/>
  <c r="AO21" i="3" s="1"/>
  <c r="AO24" i="3" s="1"/>
  <c r="AO33" i="3" s="1"/>
  <c r="AO22" i="14"/>
  <c r="AO25" i="14" s="1"/>
  <c r="AO23" i="14"/>
  <c r="AO26" i="14" s="1"/>
  <c r="F158" i="15"/>
  <c r="F156" i="15"/>
  <c r="F157" i="15"/>
  <c r="F216" i="15"/>
  <c r="AO27" i="3" l="1"/>
  <c r="AO22" i="3"/>
  <c r="AO23" i="3"/>
  <c r="F236" i="15"/>
  <c r="F217" i="15"/>
  <c r="F191" i="15" s="1"/>
  <c r="F121" i="15"/>
  <c r="F135" i="15"/>
  <c r="F159" i="15"/>
  <c r="F167" i="15" s="1"/>
  <c r="AO26" i="3" l="1"/>
  <c r="AO25" i="3"/>
  <c r="AO34" i="3"/>
  <c r="F122" i="15"/>
  <c r="F125" i="15" s="1"/>
  <c r="F162" i="15" s="1"/>
  <c r="F148" i="15"/>
  <c r="F151" i="15" s="1"/>
  <c r="F166" i="15" s="1"/>
  <c r="F136" i="15"/>
  <c r="F139" i="15" s="1"/>
  <c r="F164" i="15" s="1"/>
  <c r="F262" i="15"/>
  <c r="F237" i="15"/>
  <c r="F170" i="15" l="1"/>
  <c r="F194" i="15" s="1"/>
  <c r="F200" i="15" s="1"/>
  <c r="F263" i="15"/>
  <c r="F238" i="15"/>
  <c r="F264" i="15" l="1"/>
  <c r="F239" i="15"/>
  <c r="F240" i="15" l="1"/>
  <c r="F265" i="15"/>
  <c r="F241" i="15" l="1"/>
  <c r="F266" i="15"/>
  <c r="F267" i="15" l="1"/>
  <c r="F242" i="15"/>
  <c r="F243" i="15" l="1"/>
  <c r="F268" i="15"/>
  <c r="F244" i="15" l="1"/>
  <c r="F269" i="15"/>
  <c r="F245" i="15" l="1"/>
  <c r="F270" i="15"/>
  <c r="F271" i="15" l="1"/>
  <c r="F246" i="15"/>
  <c r="F272" i="15" l="1"/>
  <c r="F247" i="15"/>
  <c r="F248" i="15" l="1"/>
  <c r="F274" i="15" s="1"/>
  <c r="F273" i="15"/>
  <c r="J385" i="2" l="1"/>
  <c r="J382" i="2"/>
  <c r="J379" i="2"/>
  <c r="J245" i="2"/>
  <c r="J247" i="2"/>
  <c r="J249" i="2"/>
  <c r="K249" i="2" s="1"/>
  <c r="H385" i="2" l="1"/>
  <c r="K385" i="2"/>
  <c r="I1521" i="2" s="1"/>
  <c r="D382" i="2"/>
  <c r="K382" i="2"/>
  <c r="H1521" i="2" s="1"/>
  <c r="G379" i="2"/>
  <c r="K379" i="2"/>
  <c r="G1521" i="2" s="1"/>
  <c r="H247" i="2"/>
  <c r="K247" i="2"/>
  <c r="H1504" i="2" s="1"/>
  <c r="E245" i="2"/>
  <c r="K245" i="2"/>
  <c r="G1504" i="2" s="1"/>
  <c r="H245" i="2"/>
  <c r="G382" i="2"/>
  <c r="F247" i="2"/>
  <c r="B385" i="2"/>
  <c r="I385" i="2"/>
  <c r="B379" i="2"/>
  <c r="F245" i="2"/>
  <c r="H382" i="2"/>
  <c r="E382" i="2"/>
  <c r="I382" i="2"/>
  <c r="F382" i="2"/>
  <c r="C382" i="2"/>
  <c r="G385" i="2"/>
  <c r="F385" i="2"/>
  <c r="B247" i="2"/>
  <c r="B245" i="2"/>
  <c r="C385" i="2"/>
  <c r="B382" i="2"/>
  <c r="H249" i="2"/>
  <c r="I1504" i="2"/>
  <c r="C379" i="2"/>
  <c r="E385" i="2"/>
  <c r="D385" i="2"/>
  <c r="I247" i="2"/>
  <c r="D245" i="2"/>
  <c r="G245" i="2"/>
  <c r="D247" i="2"/>
  <c r="E379" i="2"/>
  <c r="D379" i="2"/>
  <c r="H379" i="2"/>
  <c r="I249" i="2"/>
  <c r="F249" i="2"/>
  <c r="F379" i="2"/>
  <c r="I379" i="2"/>
  <c r="G249" i="2"/>
  <c r="E247" i="2"/>
  <c r="I245" i="2"/>
  <c r="B249" i="2"/>
  <c r="C249" i="2"/>
  <c r="G247" i="2"/>
  <c r="C245" i="2"/>
  <c r="C247" i="2"/>
  <c r="E249" i="2"/>
  <c r="D249" i="2"/>
  <c r="H1505" i="2" l="1"/>
  <c r="H1507" i="2" s="1"/>
  <c r="AI8" i="14"/>
  <c r="AI8" i="16"/>
  <c r="I21" i="15"/>
  <c r="H11" i="16"/>
  <c r="AI8" i="3"/>
  <c r="AI9" i="3" s="1"/>
  <c r="AI8" i="17"/>
  <c r="H11" i="3"/>
  <c r="H11" i="14"/>
  <c r="H11" i="17"/>
  <c r="I45" i="14"/>
  <c r="I1522" i="2"/>
  <c r="I1524" i="2" s="1"/>
  <c r="I1525" i="2" s="1"/>
  <c r="I1526" i="2" s="1"/>
  <c r="I1527" i="2" s="1"/>
  <c r="J1569" i="2" s="1"/>
  <c r="J1583" i="2" s="1"/>
  <c r="T21" i="15"/>
  <c r="AJ43" i="17"/>
  <c r="AJ42" i="3"/>
  <c r="AJ43" i="3" s="1"/>
  <c r="AJ42" i="14"/>
  <c r="I46" i="17"/>
  <c r="AJ43" i="16"/>
  <c r="I45" i="3"/>
  <c r="I46" i="16"/>
  <c r="I11" i="16"/>
  <c r="J21" i="15"/>
  <c r="I11" i="17"/>
  <c r="I1505" i="2"/>
  <c r="I1507" i="2" s="1"/>
  <c r="I1508" i="2" s="1"/>
  <c r="I1509" i="2" s="1"/>
  <c r="I1510" i="2" s="1"/>
  <c r="J1551" i="2" s="1"/>
  <c r="J1565" i="2" s="1"/>
  <c r="AJ8" i="3"/>
  <c r="AJ9" i="3" s="1"/>
  <c r="AJ8" i="16"/>
  <c r="I11" i="3"/>
  <c r="I11" i="14"/>
  <c r="AJ8" i="17"/>
  <c r="AJ8" i="14"/>
  <c r="G11" i="16"/>
  <c r="AH8" i="16"/>
  <c r="H21" i="15"/>
  <c r="G11" i="17"/>
  <c r="G1505" i="2"/>
  <c r="G1507" i="2" s="1"/>
  <c r="AH8" i="14"/>
  <c r="AH8" i="17"/>
  <c r="G11" i="14"/>
  <c r="G11" i="3"/>
  <c r="AH8" i="3"/>
  <c r="AH9" i="3" s="1"/>
  <c r="AH42" i="14"/>
  <c r="G1522" i="2"/>
  <c r="G1524" i="2" s="1"/>
  <c r="G1525" i="2" s="1"/>
  <c r="G1526" i="2" s="1"/>
  <c r="G1527" i="2" s="1"/>
  <c r="H1569" i="2" s="1"/>
  <c r="H1583" i="2" s="1"/>
  <c r="AH42" i="3"/>
  <c r="AH43" i="3" s="1"/>
  <c r="G46" i="16"/>
  <c r="AH43" i="17"/>
  <c r="G45" i="14"/>
  <c r="AH43" i="16"/>
  <c r="G45" i="3"/>
  <c r="G46" i="17"/>
  <c r="R21" i="15"/>
  <c r="S21" i="15"/>
  <c r="H1522" i="2"/>
  <c r="H1524" i="2" s="1"/>
  <c r="H1525" i="2" s="1"/>
  <c r="H1526" i="2" s="1"/>
  <c r="H1527" i="2" s="1"/>
  <c r="I1569" i="2" s="1"/>
  <c r="I1583" i="2" s="1"/>
  <c r="H45" i="3"/>
  <c r="H46" i="17"/>
  <c r="AI42" i="14"/>
  <c r="AI43" i="16"/>
  <c r="H46" i="16"/>
  <c r="AI43" i="17"/>
  <c r="AI42" i="3"/>
  <c r="AI43" i="3" s="1"/>
  <c r="H45" i="14"/>
  <c r="BA45" i="14" l="1"/>
  <c r="BA55" i="14" s="1"/>
  <c r="BA59" i="14" s="1"/>
  <c r="BA61" i="14" s="1"/>
  <c r="BA64" i="14" s="1"/>
  <c r="BA65" i="14" s="1"/>
  <c r="AR44" i="14" s="1"/>
  <c r="H55" i="14"/>
  <c r="Q45" i="14"/>
  <c r="G55" i="3"/>
  <c r="AZ45" i="3"/>
  <c r="AZ55" i="3" s="1"/>
  <c r="AZ59" i="3" s="1"/>
  <c r="AZ61" i="3" s="1"/>
  <c r="AZ64" i="3" s="1"/>
  <c r="P45" i="3"/>
  <c r="AZ46" i="16"/>
  <c r="AZ57" i="16" s="1"/>
  <c r="AZ61" i="16" s="1"/>
  <c r="AZ63" i="16" s="1"/>
  <c r="AZ66" i="16" s="1"/>
  <c r="G57" i="16"/>
  <c r="P46" i="16"/>
  <c r="AH13" i="3"/>
  <c r="AH14" i="3" s="1"/>
  <c r="AH16" i="3" s="1"/>
  <c r="G4" i="13"/>
  <c r="I21" i="14"/>
  <c r="R11" i="14"/>
  <c r="BB11" i="14"/>
  <c r="BB21" i="14" s="1"/>
  <c r="BB25" i="14" s="1"/>
  <c r="BB27" i="14" s="1"/>
  <c r="BB30" i="14" s="1"/>
  <c r="BB31" i="14" s="1"/>
  <c r="AS10" i="14" s="1"/>
  <c r="BB46" i="16"/>
  <c r="BB57" i="16" s="1"/>
  <c r="BB61" i="16" s="1"/>
  <c r="BB63" i="16" s="1"/>
  <c r="BB66" i="16" s="1"/>
  <c r="BB67" i="16" s="1"/>
  <c r="AS45" i="16" s="1"/>
  <c r="R46" i="16"/>
  <c r="I57" i="16"/>
  <c r="BA11" i="3"/>
  <c r="BA21" i="3" s="1"/>
  <c r="BA25" i="3" s="1"/>
  <c r="BA27" i="3" s="1"/>
  <c r="BA30" i="3" s="1"/>
  <c r="BA31" i="3" s="1"/>
  <c r="Q11" i="3"/>
  <c r="H21" i="3"/>
  <c r="AI47" i="3"/>
  <c r="AI48" i="3" s="1"/>
  <c r="AI50" i="3" s="1"/>
  <c r="AI51" i="3" s="1"/>
  <c r="AI52" i="3" s="1"/>
  <c r="H13" i="13"/>
  <c r="AH47" i="3"/>
  <c r="AH48" i="3" s="1"/>
  <c r="AH50" i="3" s="1"/>
  <c r="G13" i="13"/>
  <c r="P11" i="3"/>
  <c r="G21" i="3"/>
  <c r="AZ11" i="3"/>
  <c r="AZ21" i="3" s="1"/>
  <c r="AZ25" i="3" s="1"/>
  <c r="AZ27" i="3" s="1"/>
  <c r="AZ30" i="3" s="1"/>
  <c r="G1508" i="2"/>
  <c r="G1509" i="2" s="1"/>
  <c r="G1510" i="2" s="1"/>
  <c r="H1551" i="2" s="1"/>
  <c r="H1565" i="2" s="1"/>
  <c r="P11" i="16"/>
  <c r="G22" i="16"/>
  <c r="AZ11" i="16"/>
  <c r="AZ22" i="16" s="1"/>
  <c r="AZ26" i="16" s="1"/>
  <c r="AZ28" i="16" s="1"/>
  <c r="AZ31" i="16" s="1"/>
  <c r="R11" i="3"/>
  <c r="I21" i="3"/>
  <c r="BB11" i="3"/>
  <c r="BB21" i="3" s="1"/>
  <c r="BB25" i="3" s="1"/>
  <c r="BB27" i="3" s="1"/>
  <c r="BB30" i="3" s="1"/>
  <c r="BB31" i="3" s="1"/>
  <c r="R11" i="17"/>
  <c r="BB11" i="17"/>
  <c r="BB22" i="17" s="1"/>
  <c r="BB26" i="17" s="1"/>
  <c r="BB28" i="17" s="1"/>
  <c r="BB31" i="17" s="1"/>
  <c r="BB32" i="17" s="1"/>
  <c r="AS10" i="17" s="1"/>
  <c r="I22" i="17"/>
  <c r="BB45" i="3"/>
  <c r="BB55" i="3" s="1"/>
  <c r="BB59" i="3" s="1"/>
  <c r="BB61" i="3" s="1"/>
  <c r="BB64" i="3" s="1"/>
  <c r="BB65" i="3" s="1"/>
  <c r="I55" i="3"/>
  <c r="R45" i="3"/>
  <c r="AJ47" i="3"/>
  <c r="AJ48" i="3" s="1"/>
  <c r="AJ50" i="3" s="1"/>
  <c r="AJ51" i="3" s="1"/>
  <c r="AJ52" i="3" s="1"/>
  <c r="AS45" i="3" s="1"/>
  <c r="I6" i="9" s="1"/>
  <c r="I13" i="13"/>
  <c r="I55" i="14"/>
  <c r="BB45" i="14"/>
  <c r="BB55" i="14" s="1"/>
  <c r="BB59" i="14" s="1"/>
  <c r="BB61" i="14" s="1"/>
  <c r="BB64" i="14" s="1"/>
  <c r="BB65" i="14" s="1"/>
  <c r="AS44" i="14" s="1"/>
  <c r="R45" i="14"/>
  <c r="H57" i="17"/>
  <c r="BA46" i="17"/>
  <c r="BA57" i="17" s="1"/>
  <c r="BA61" i="17" s="1"/>
  <c r="BA63" i="17" s="1"/>
  <c r="BA66" i="17" s="1"/>
  <c r="BA67" i="17" s="1"/>
  <c r="AR45" i="17" s="1"/>
  <c r="Q46" i="17"/>
  <c r="P45" i="14"/>
  <c r="AZ45" i="14"/>
  <c r="AZ55" i="14" s="1"/>
  <c r="AZ59" i="14" s="1"/>
  <c r="AZ61" i="14" s="1"/>
  <c r="AZ64" i="14" s="1"/>
  <c r="G55" i="14"/>
  <c r="G21" i="14"/>
  <c r="P11" i="14"/>
  <c r="AZ11" i="14"/>
  <c r="AZ21" i="14" s="1"/>
  <c r="AZ25" i="14" s="1"/>
  <c r="AZ27" i="14" s="1"/>
  <c r="AZ30" i="14" s="1"/>
  <c r="AZ11" i="17"/>
  <c r="AZ22" i="17" s="1"/>
  <c r="AZ26" i="17" s="1"/>
  <c r="AZ28" i="17" s="1"/>
  <c r="AZ31" i="17" s="1"/>
  <c r="G22" i="17"/>
  <c r="P11" i="17"/>
  <c r="H22" i="17"/>
  <c r="BA11" i="17"/>
  <c r="BA22" i="17" s="1"/>
  <c r="BA26" i="17" s="1"/>
  <c r="BA28" i="17" s="1"/>
  <c r="BA31" i="17" s="1"/>
  <c r="BA32" i="17" s="1"/>
  <c r="AR10" i="17" s="1"/>
  <c r="Q11" i="17"/>
  <c r="AI13" i="3"/>
  <c r="AI14" i="3" s="1"/>
  <c r="AI16" i="3" s="1"/>
  <c r="AI17" i="3" s="1"/>
  <c r="AI18" i="3" s="1"/>
  <c r="H4" i="13"/>
  <c r="BA46" i="16"/>
  <c r="BA57" i="16" s="1"/>
  <c r="BA61" i="16" s="1"/>
  <c r="BA63" i="16" s="1"/>
  <c r="BA66" i="16" s="1"/>
  <c r="BA67" i="16" s="1"/>
  <c r="AR45" i="16" s="1"/>
  <c r="Q46" i="16"/>
  <c r="H57" i="16"/>
  <c r="H55" i="3"/>
  <c r="Q45" i="3"/>
  <c r="BA45" i="3"/>
  <c r="BA55" i="3" s="1"/>
  <c r="BA59" i="3" s="1"/>
  <c r="BA61" i="3" s="1"/>
  <c r="BA64" i="3" s="1"/>
  <c r="BA65" i="3" s="1"/>
  <c r="G57" i="17"/>
  <c r="AZ46" i="17"/>
  <c r="AZ57" i="17" s="1"/>
  <c r="AZ61" i="17" s="1"/>
  <c r="AZ63" i="17" s="1"/>
  <c r="AZ66" i="17" s="1"/>
  <c r="P46" i="17"/>
  <c r="AJ13" i="3"/>
  <c r="AJ14" i="3" s="1"/>
  <c r="AJ16" i="3" s="1"/>
  <c r="AJ17" i="3" s="1"/>
  <c r="AJ18" i="3" s="1"/>
  <c r="I4" i="13"/>
  <c r="I22" i="16"/>
  <c r="R11" i="16"/>
  <c r="BB11" i="16"/>
  <c r="BB22" i="16" s="1"/>
  <c r="BB26" i="16" s="1"/>
  <c r="BB28" i="16" s="1"/>
  <c r="BB31" i="16" s="1"/>
  <c r="BB32" i="16" s="1"/>
  <c r="AS10" i="16" s="1"/>
  <c r="I57" i="17"/>
  <c r="BB46" i="17"/>
  <c r="BB57" i="17" s="1"/>
  <c r="BB61" i="17" s="1"/>
  <c r="BB63" i="17" s="1"/>
  <c r="BB66" i="17" s="1"/>
  <c r="BB67" i="17" s="1"/>
  <c r="AS45" i="17" s="1"/>
  <c r="R46" i="17"/>
  <c r="H21" i="14"/>
  <c r="Q11" i="14"/>
  <c r="BA11" i="14"/>
  <c r="BA21" i="14" s="1"/>
  <c r="BA25" i="14" s="1"/>
  <c r="BA27" i="14" s="1"/>
  <c r="BA30" i="14" s="1"/>
  <c r="BA31" i="14" s="1"/>
  <c r="AR10" i="14" s="1"/>
  <c r="H22" i="16"/>
  <c r="BA11" i="16"/>
  <c r="BA22" i="16" s="1"/>
  <c r="BA26" i="16" s="1"/>
  <c r="BA28" i="16" s="1"/>
  <c r="BA31" i="16" s="1"/>
  <c r="BA32" i="16" s="1"/>
  <c r="AR10" i="16" s="1"/>
  <c r="Q11" i="16"/>
  <c r="H1508" i="2"/>
  <c r="H1509" i="2" s="1"/>
  <c r="H1510" i="2" s="1"/>
  <c r="I1551" i="2" s="1"/>
  <c r="I1565" i="2" s="1"/>
  <c r="J1582" i="2" l="1"/>
  <c r="AR14" i="14"/>
  <c r="H25" i="14"/>
  <c r="H27" i="14" s="1"/>
  <c r="H30" i="14" s="1"/>
  <c r="H31" i="14" s="1"/>
  <c r="AR7" i="14" s="1"/>
  <c r="AR14" i="16"/>
  <c r="AR19" i="16" s="1"/>
  <c r="H26" i="16"/>
  <c r="H28" i="16" s="1"/>
  <c r="H31" i="16" s="1"/>
  <c r="H32" i="16" s="1"/>
  <c r="AR7" i="16" s="1"/>
  <c r="R57" i="17"/>
  <c r="R61" i="17" s="1"/>
  <c r="R63" i="17" s="1"/>
  <c r="R66" i="17" s="1"/>
  <c r="R67" i="17" s="1"/>
  <c r="AS43" i="17" s="1"/>
  <c r="BK46" i="17"/>
  <c r="BK57" i="17" s="1"/>
  <c r="BK61" i="17" s="1"/>
  <c r="BK63" i="17" s="1"/>
  <c r="BK66" i="17" s="1"/>
  <c r="BK67" i="17" s="1"/>
  <c r="AA46" i="17"/>
  <c r="AA57" i="17" s="1"/>
  <c r="AA61" i="17" s="1"/>
  <c r="AA63" i="17" s="1"/>
  <c r="AA66" i="17" s="1"/>
  <c r="AA67" i="17" s="1"/>
  <c r="AA11" i="16"/>
  <c r="AA22" i="16" s="1"/>
  <c r="AA26" i="16" s="1"/>
  <c r="AA28" i="16" s="1"/>
  <c r="AA31" i="16" s="1"/>
  <c r="AA32" i="16" s="1"/>
  <c r="AS9" i="16" s="1"/>
  <c r="BK11" i="16"/>
  <c r="BK22" i="16" s="1"/>
  <c r="BK26" i="16" s="1"/>
  <c r="BK28" i="16" s="1"/>
  <c r="BK31" i="16" s="1"/>
  <c r="BK32" i="16" s="1"/>
  <c r="R22" i="16"/>
  <c r="R26" i="16" s="1"/>
  <c r="R28" i="16" s="1"/>
  <c r="R31" i="16" s="1"/>
  <c r="R32" i="16" s="1"/>
  <c r="AS8" i="16" s="1"/>
  <c r="P57" i="17"/>
  <c r="P61" i="17" s="1"/>
  <c r="P63" i="17" s="1"/>
  <c r="P66" i="17" s="1"/>
  <c r="Y46" i="17"/>
  <c r="Y57" i="17" s="1"/>
  <c r="Y61" i="17" s="1"/>
  <c r="Y63" i="17" s="1"/>
  <c r="Y66" i="17" s="1"/>
  <c r="BI46" i="17"/>
  <c r="BI57" i="17" s="1"/>
  <c r="BI61" i="17" s="1"/>
  <c r="BI63" i="17" s="1"/>
  <c r="BI66" i="17" s="1"/>
  <c r="BI67" i="17" s="1"/>
  <c r="Z45" i="3"/>
  <c r="Z55" i="3" s="1"/>
  <c r="Z59" i="3" s="1"/>
  <c r="Z61" i="3" s="1"/>
  <c r="BJ45" i="3"/>
  <c r="BJ55" i="3" s="1"/>
  <c r="BJ59" i="3" s="1"/>
  <c r="BJ61" i="3" s="1"/>
  <c r="BJ64" i="3" s="1"/>
  <c r="BJ65" i="3" s="1"/>
  <c r="I1579" i="2" s="1"/>
  <c r="Q55" i="3"/>
  <c r="Q59" i="3" s="1"/>
  <c r="Q61" i="3" s="1"/>
  <c r="AZ32" i="17"/>
  <c r="AH29" i="17"/>
  <c r="AF29" i="17" s="1"/>
  <c r="G59" i="14"/>
  <c r="G61" i="14" s="1"/>
  <c r="G64" i="14" s="1"/>
  <c r="AQ48" i="14"/>
  <c r="AQ52" i="14" s="1"/>
  <c r="I59" i="14"/>
  <c r="I61" i="14" s="1"/>
  <c r="I64" i="14" s="1"/>
  <c r="I65" i="14" s="1"/>
  <c r="AS41" i="14" s="1"/>
  <c r="AS48" i="14"/>
  <c r="T45" i="15"/>
  <c r="I59" i="3"/>
  <c r="I61" i="3" s="1"/>
  <c r="AS48" i="3"/>
  <c r="AA11" i="17"/>
  <c r="AA22" i="17" s="1"/>
  <c r="AA26" i="17" s="1"/>
  <c r="AA28" i="17" s="1"/>
  <c r="AA31" i="17" s="1"/>
  <c r="AA32" i="17" s="1"/>
  <c r="AS9" i="17" s="1"/>
  <c r="R22" i="17"/>
  <c r="R26" i="17" s="1"/>
  <c r="R28" i="17" s="1"/>
  <c r="R31" i="17" s="1"/>
  <c r="R32" i="17" s="1"/>
  <c r="AS8" i="17" s="1"/>
  <c r="BK11" i="17"/>
  <c r="BK22" i="17" s="1"/>
  <c r="BK26" i="17" s="1"/>
  <c r="BK28" i="17" s="1"/>
  <c r="BK31" i="17" s="1"/>
  <c r="BK32" i="17" s="1"/>
  <c r="AZ32" i="16"/>
  <c r="AH29" i="16"/>
  <c r="AF29" i="16" s="1"/>
  <c r="G18" i="13"/>
  <c r="G16" i="13"/>
  <c r="I45" i="15"/>
  <c r="H25" i="3"/>
  <c r="H27" i="3" s="1"/>
  <c r="AR14" i="3"/>
  <c r="AA46" i="16"/>
  <c r="AA57" i="16" s="1"/>
  <c r="AA61" i="16" s="1"/>
  <c r="AA63" i="16" s="1"/>
  <c r="AA66" i="16" s="1"/>
  <c r="AA67" i="16" s="1"/>
  <c r="BK46" i="16"/>
  <c r="BK57" i="16" s="1"/>
  <c r="BK61" i="16" s="1"/>
  <c r="BK63" i="16" s="1"/>
  <c r="BK66" i="16" s="1"/>
  <c r="BK67" i="16" s="1"/>
  <c r="R57" i="16"/>
  <c r="R61" i="16" s="1"/>
  <c r="R63" i="16" s="1"/>
  <c r="R66" i="16" s="1"/>
  <c r="R67" i="16" s="1"/>
  <c r="AS43" i="16" s="1"/>
  <c r="I25" i="14"/>
  <c r="I27" i="14" s="1"/>
  <c r="I30" i="14" s="1"/>
  <c r="I31" i="14" s="1"/>
  <c r="AS7" i="14" s="1"/>
  <c r="AS14" i="14"/>
  <c r="G61" i="16"/>
  <c r="G63" i="16" s="1"/>
  <c r="G66" i="16" s="1"/>
  <c r="AQ49" i="16"/>
  <c r="AQ54" i="16" s="1"/>
  <c r="G59" i="3"/>
  <c r="G61" i="3" s="1"/>
  <c r="AQ48" i="3"/>
  <c r="R45" i="15"/>
  <c r="I26" i="16"/>
  <c r="I28" i="16" s="1"/>
  <c r="I31" i="16" s="1"/>
  <c r="I32" i="16" s="1"/>
  <c r="AS7" i="16" s="1"/>
  <c r="AS14" i="16"/>
  <c r="AZ67" i="17"/>
  <c r="AH64" i="17"/>
  <c r="AF64" i="17" s="1"/>
  <c r="AR48" i="3"/>
  <c r="S45" i="15"/>
  <c r="H59" i="3"/>
  <c r="H61" i="3" s="1"/>
  <c r="H9" i="13"/>
  <c r="H7" i="13"/>
  <c r="AR14" i="17"/>
  <c r="H26" i="17"/>
  <c r="H28" i="17" s="1"/>
  <c r="H31" i="17" s="1"/>
  <c r="H32" i="17" s="1"/>
  <c r="AR7" i="17" s="1"/>
  <c r="AZ31" i="14"/>
  <c r="AH28" i="14"/>
  <c r="AF28" i="14" s="1"/>
  <c r="AH62" i="14"/>
  <c r="AF62" i="14" s="1"/>
  <c r="AZ65" i="14"/>
  <c r="AR49" i="17"/>
  <c r="H61" i="17"/>
  <c r="H63" i="17" s="1"/>
  <c r="H66" i="17" s="1"/>
  <c r="H67" i="17" s="1"/>
  <c r="AR42" i="17" s="1"/>
  <c r="I18" i="13"/>
  <c r="I16" i="13"/>
  <c r="J1577" i="2"/>
  <c r="AS44" i="3"/>
  <c r="AS10" i="3"/>
  <c r="J1559" i="2"/>
  <c r="AQ14" i="16"/>
  <c r="G26" i="16"/>
  <c r="G28" i="16" s="1"/>
  <c r="G31" i="16" s="1"/>
  <c r="AH28" i="3"/>
  <c r="AF28" i="3" s="1"/>
  <c r="AZ31" i="3"/>
  <c r="AH51" i="3"/>
  <c r="AH52" i="3" s="1"/>
  <c r="AH63" i="3"/>
  <c r="AF63" i="3" s="1"/>
  <c r="Q21" i="3"/>
  <c r="Q25" i="3" s="1"/>
  <c r="Q27" i="3" s="1"/>
  <c r="Z11" i="3"/>
  <c r="Z21" i="3" s="1"/>
  <c r="Z25" i="3" s="1"/>
  <c r="Z27" i="3" s="1"/>
  <c r="BJ11" i="3"/>
  <c r="BJ21" i="3" s="1"/>
  <c r="BJ25" i="3" s="1"/>
  <c r="BJ27" i="3" s="1"/>
  <c r="BJ30" i="3" s="1"/>
  <c r="BJ31" i="3" s="1"/>
  <c r="I1561" i="2" s="1"/>
  <c r="G7" i="13"/>
  <c r="G9" i="13"/>
  <c r="AZ67" i="16"/>
  <c r="AH64" i="16"/>
  <c r="AF64" i="16" s="1"/>
  <c r="BJ45" i="14"/>
  <c r="BJ55" i="14" s="1"/>
  <c r="BJ59" i="14" s="1"/>
  <c r="BJ61" i="14" s="1"/>
  <c r="BJ64" i="14" s="1"/>
  <c r="BJ65" i="14" s="1"/>
  <c r="Q55" i="14"/>
  <c r="Q59" i="14" s="1"/>
  <c r="Q61" i="14" s="1"/>
  <c r="Q64" i="14" s="1"/>
  <c r="Q65" i="14" s="1"/>
  <c r="AR42" i="14" s="1"/>
  <c r="Z45" i="14"/>
  <c r="Z55" i="14" s="1"/>
  <c r="Z59" i="14" s="1"/>
  <c r="Z61" i="14" s="1"/>
  <c r="Z64" i="14" s="1"/>
  <c r="Z65" i="14" s="1"/>
  <c r="BJ11" i="16"/>
  <c r="BJ22" i="16" s="1"/>
  <c r="BJ26" i="16" s="1"/>
  <c r="BJ28" i="16" s="1"/>
  <c r="BJ31" i="16" s="1"/>
  <c r="BJ32" i="16" s="1"/>
  <c r="Q22" i="16"/>
  <c r="Q26" i="16" s="1"/>
  <c r="Q28" i="16" s="1"/>
  <c r="Q31" i="16" s="1"/>
  <c r="Q32" i="16" s="1"/>
  <c r="AR8" i="16" s="1"/>
  <c r="Z11" i="16"/>
  <c r="Z22" i="16" s="1"/>
  <c r="Z26" i="16" s="1"/>
  <c r="Z28" i="16" s="1"/>
  <c r="Z31" i="16" s="1"/>
  <c r="Z32" i="16" s="1"/>
  <c r="AR9" i="16" s="1"/>
  <c r="Q21" i="14"/>
  <c r="Q25" i="14" s="1"/>
  <c r="Q27" i="14" s="1"/>
  <c r="Q30" i="14" s="1"/>
  <c r="Q31" i="14" s="1"/>
  <c r="AR8" i="14" s="1"/>
  <c r="BJ11" i="14"/>
  <c r="BJ21" i="14" s="1"/>
  <c r="BJ25" i="14" s="1"/>
  <c r="BJ27" i="14" s="1"/>
  <c r="BJ30" i="14" s="1"/>
  <c r="BJ31" i="14" s="1"/>
  <c r="Z11" i="14"/>
  <c r="Z21" i="14" s="1"/>
  <c r="Z25" i="14" s="1"/>
  <c r="Z27" i="14" s="1"/>
  <c r="Z30" i="14" s="1"/>
  <c r="Z31" i="14" s="1"/>
  <c r="AR9" i="14" s="1"/>
  <c r="AS49" i="17"/>
  <c r="I61" i="17"/>
  <c r="I63" i="17" s="1"/>
  <c r="I66" i="17" s="1"/>
  <c r="I67" i="17" s="1"/>
  <c r="AS42" i="17" s="1"/>
  <c r="I9" i="13"/>
  <c r="I7" i="13"/>
  <c r="AQ49" i="17"/>
  <c r="AQ54" i="17" s="1"/>
  <c r="G61" i="17"/>
  <c r="G63" i="17" s="1"/>
  <c r="G66" i="17" s="1"/>
  <c r="H61" i="16"/>
  <c r="H63" i="16" s="1"/>
  <c r="H66" i="16" s="1"/>
  <c r="H67" i="16" s="1"/>
  <c r="AR42" i="16" s="1"/>
  <c r="AR49" i="16"/>
  <c r="I1564" i="2"/>
  <c r="AR11" i="3"/>
  <c r="H6" i="8" s="1"/>
  <c r="P22" i="17"/>
  <c r="P26" i="17" s="1"/>
  <c r="P28" i="17" s="1"/>
  <c r="P31" i="17" s="1"/>
  <c r="Y11" i="17"/>
  <c r="Y22" i="17" s="1"/>
  <c r="Y26" i="17" s="1"/>
  <c r="Y28" i="17" s="1"/>
  <c r="Y31" i="17" s="1"/>
  <c r="BI11" i="17"/>
  <c r="BI22" i="17" s="1"/>
  <c r="BI26" i="17" s="1"/>
  <c r="BI28" i="17" s="1"/>
  <c r="BI31" i="17" s="1"/>
  <c r="BI32" i="17" s="1"/>
  <c r="BI11" i="14"/>
  <c r="BI21" i="14" s="1"/>
  <c r="BI25" i="14" s="1"/>
  <c r="BI27" i="14" s="1"/>
  <c r="BI30" i="14" s="1"/>
  <c r="BI31" i="14" s="1"/>
  <c r="Y11" i="14"/>
  <c r="Y21" i="14" s="1"/>
  <c r="Y25" i="14" s="1"/>
  <c r="Y27" i="14" s="1"/>
  <c r="Y30" i="14" s="1"/>
  <c r="P21" i="14"/>
  <c r="P25" i="14" s="1"/>
  <c r="P27" i="14" s="1"/>
  <c r="P30" i="14" s="1"/>
  <c r="BI45" i="14"/>
  <c r="BI55" i="14" s="1"/>
  <c r="BI59" i="14" s="1"/>
  <c r="BI61" i="14" s="1"/>
  <c r="BI64" i="14" s="1"/>
  <c r="BI65" i="14" s="1"/>
  <c r="P55" i="14"/>
  <c r="P59" i="14" s="1"/>
  <c r="P61" i="14" s="1"/>
  <c r="P64" i="14" s="1"/>
  <c r="Y45" i="14"/>
  <c r="Y55" i="14" s="1"/>
  <c r="Y59" i="14" s="1"/>
  <c r="Y61" i="14" s="1"/>
  <c r="Y64" i="14" s="1"/>
  <c r="R55" i="14"/>
  <c r="R59" i="14" s="1"/>
  <c r="R61" i="14" s="1"/>
  <c r="R64" i="14" s="1"/>
  <c r="R65" i="14" s="1"/>
  <c r="AS42" i="14" s="1"/>
  <c r="BK45" i="14"/>
  <c r="BK55" i="14" s="1"/>
  <c r="BK59" i="14" s="1"/>
  <c r="BK61" i="14" s="1"/>
  <c r="BK64" i="14" s="1"/>
  <c r="BK65" i="14" s="1"/>
  <c r="AA45" i="14"/>
  <c r="AA55" i="14" s="1"/>
  <c r="AA59" i="14" s="1"/>
  <c r="AA61" i="14" s="1"/>
  <c r="AA64" i="14" s="1"/>
  <c r="AA65" i="14" s="1"/>
  <c r="AS14" i="17"/>
  <c r="I26" i="17"/>
  <c r="I28" i="17" s="1"/>
  <c r="I31" i="17" s="1"/>
  <c r="I32" i="17" s="1"/>
  <c r="AS7" i="17" s="1"/>
  <c r="AS14" i="3"/>
  <c r="I25" i="3"/>
  <c r="I27" i="3" s="1"/>
  <c r="J45" i="15"/>
  <c r="Y11" i="16"/>
  <c r="Y22" i="16" s="1"/>
  <c r="Y26" i="16" s="1"/>
  <c r="Y28" i="16" s="1"/>
  <c r="Y31" i="16" s="1"/>
  <c r="P22" i="16"/>
  <c r="P26" i="16" s="1"/>
  <c r="P28" i="16" s="1"/>
  <c r="P31" i="16" s="1"/>
  <c r="BI11" i="16"/>
  <c r="BI22" i="16" s="1"/>
  <c r="BI26" i="16" s="1"/>
  <c r="BI28" i="16" s="1"/>
  <c r="BI31" i="16" s="1"/>
  <c r="BI32" i="16" s="1"/>
  <c r="G25" i="3"/>
  <c r="G27" i="3" s="1"/>
  <c r="AQ14" i="3"/>
  <c r="AQ18" i="3" s="1"/>
  <c r="H45" i="15"/>
  <c r="H18" i="13"/>
  <c r="H16" i="13"/>
  <c r="AR10" i="3"/>
  <c r="I1559" i="2"/>
  <c r="AH17" i="3"/>
  <c r="AH18" i="3" s="1"/>
  <c r="AH29" i="3"/>
  <c r="AF29" i="3" s="1"/>
  <c r="P55" i="3"/>
  <c r="P59" i="3" s="1"/>
  <c r="P61" i="3" s="1"/>
  <c r="Y45" i="3"/>
  <c r="Y55" i="3" s="1"/>
  <c r="Y59" i="3" s="1"/>
  <c r="Y61" i="3" s="1"/>
  <c r="BI45" i="3"/>
  <c r="BI55" i="3" s="1"/>
  <c r="BI59" i="3" s="1"/>
  <c r="BI61" i="3" s="1"/>
  <c r="BI64" i="3" s="1"/>
  <c r="BI65" i="3" s="1"/>
  <c r="H1579" i="2" s="1"/>
  <c r="AR48" i="14"/>
  <c r="H59" i="14"/>
  <c r="H61" i="14" s="1"/>
  <c r="H64" i="14" s="1"/>
  <c r="H65" i="14" s="1"/>
  <c r="AR41" i="14" s="1"/>
  <c r="J1564" i="2"/>
  <c r="AS11" i="3"/>
  <c r="I6" i="8" s="1"/>
  <c r="I1577" i="2"/>
  <c r="AR44" i="3"/>
  <c r="BJ46" i="16"/>
  <c r="BJ57" i="16" s="1"/>
  <c r="BJ61" i="16" s="1"/>
  <c r="BJ63" i="16" s="1"/>
  <c r="BJ66" i="16" s="1"/>
  <c r="BJ67" i="16" s="1"/>
  <c r="Z46" i="16"/>
  <c r="Z57" i="16" s="1"/>
  <c r="Z61" i="16" s="1"/>
  <c r="Z63" i="16" s="1"/>
  <c r="Z66" i="16" s="1"/>
  <c r="Z67" i="16" s="1"/>
  <c r="Q57" i="16"/>
  <c r="Q61" i="16" s="1"/>
  <c r="Q63" i="16" s="1"/>
  <c r="Q66" i="16" s="1"/>
  <c r="Q67" i="16" s="1"/>
  <c r="AR43" i="16" s="1"/>
  <c r="BJ11" i="17"/>
  <c r="BJ22" i="17" s="1"/>
  <c r="BJ26" i="17" s="1"/>
  <c r="BJ28" i="17" s="1"/>
  <c r="BJ31" i="17" s="1"/>
  <c r="BJ32" i="17" s="1"/>
  <c r="Q22" i="17"/>
  <c r="Q26" i="17" s="1"/>
  <c r="Q28" i="17" s="1"/>
  <c r="Q31" i="17" s="1"/>
  <c r="Q32" i="17" s="1"/>
  <c r="AR8" i="17" s="1"/>
  <c r="Z11" i="17"/>
  <c r="Z22" i="17" s="1"/>
  <c r="Z26" i="17" s="1"/>
  <c r="Z28" i="17" s="1"/>
  <c r="Z31" i="17" s="1"/>
  <c r="Z32" i="17" s="1"/>
  <c r="AR9" i="17" s="1"/>
  <c r="AQ14" i="17"/>
  <c r="AQ19" i="17" s="1"/>
  <c r="G26" i="17"/>
  <c r="G28" i="17" s="1"/>
  <c r="G31" i="17" s="1"/>
  <c r="AQ14" i="14"/>
  <c r="G25" i="14"/>
  <c r="G27" i="14" s="1"/>
  <c r="G30" i="14" s="1"/>
  <c r="Z46" i="17"/>
  <c r="Z57" i="17" s="1"/>
  <c r="Z61" i="17" s="1"/>
  <c r="Z63" i="17" s="1"/>
  <c r="Z66" i="17" s="1"/>
  <c r="Z67" i="17" s="1"/>
  <c r="BJ46" i="17"/>
  <c r="BJ57" i="17" s="1"/>
  <c r="BJ61" i="17" s="1"/>
  <c r="BJ63" i="17" s="1"/>
  <c r="BJ66" i="17" s="1"/>
  <c r="BJ67" i="17" s="1"/>
  <c r="Q57" i="17"/>
  <c r="Q61" i="17" s="1"/>
  <c r="Q63" i="17" s="1"/>
  <c r="Q66" i="17" s="1"/>
  <c r="Q67" i="17" s="1"/>
  <c r="AR43" i="17" s="1"/>
  <c r="R55" i="3"/>
  <c r="R59" i="3" s="1"/>
  <c r="R61" i="3" s="1"/>
  <c r="BK45" i="3"/>
  <c r="BK55" i="3" s="1"/>
  <c r="BK59" i="3" s="1"/>
  <c r="BK61" i="3" s="1"/>
  <c r="BK64" i="3" s="1"/>
  <c r="BK65" i="3" s="1"/>
  <c r="J1579" i="2" s="1"/>
  <c r="AA45" i="3"/>
  <c r="AA55" i="3" s="1"/>
  <c r="AA59" i="3" s="1"/>
  <c r="AA61" i="3" s="1"/>
  <c r="AA11" i="3"/>
  <c r="AA21" i="3" s="1"/>
  <c r="AA25" i="3" s="1"/>
  <c r="AA27" i="3" s="1"/>
  <c r="R21" i="3"/>
  <c r="R25" i="3" s="1"/>
  <c r="R27" i="3" s="1"/>
  <c r="BK11" i="3"/>
  <c r="BK21" i="3" s="1"/>
  <c r="BK25" i="3" s="1"/>
  <c r="BK27" i="3" s="1"/>
  <c r="BK30" i="3" s="1"/>
  <c r="BK31" i="3" s="1"/>
  <c r="J1561" i="2" s="1"/>
  <c r="P21" i="3"/>
  <c r="P25" i="3" s="1"/>
  <c r="P27" i="3" s="1"/>
  <c r="Y11" i="3"/>
  <c r="Y21" i="3" s="1"/>
  <c r="Y25" i="3" s="1"/>
  <c r="Y27" i="3" s="1"/>
  <c r="BI11" i="3"/>
  <c r="BI21" i="3" s="1"/>
  <c r="BI25" i="3" s="1"/>
  <c r="BI27" i="3" s="1"/>
  <c r="BI30" i="3" s="1"/>
  <c r="BI31" i="3" s="1"/>
  <c r="H1561" i="2" s="1"/>
  <c r="I1582" i="2"/>
  <c r="AR45" i="3"/>
  <c r="H6" i="9" s="1"/>
  <c r="AS49" i="16"/>
  <c r="I61" i="16"/>
  <c r="I63" i="16" s="1"/>
  <c r="I66" i="16" s="1"/>
  <c r="I67" i="16" s="1"/>
  <c r="AS42" i="16" s="1"/>
  <c r="BK11" i="14"/>
  <c r="BK21" i="14" s="1"/>
  <c r="BK25" i="14" s="1"/>
  <c r="BK27" i="14" s="1"/>
  <c r="BK30" i="14" s="1"/>
  <c r="BK31" i="14" s="1"/>
  <c r="AA11" i="14"/>
  <c r="AA21" i="14" s="1"/>
  <c r="AA25" i="14" s="1"/>
  <c r="AA27" i="14" s="1"/>
  <c r="AA30" i="14" s="1"/>
  <c r="AA31" i="14" s="1"/>
  <c r="AS9" i="14" s="1"/>
  <c r="R21" i="14"/>
  <c r="R25" i="14" s="1"/>
  <c r="R27" i="14" s="1"/>
  <c r="R30" i="14" s="1"/>
  <c r="R31" i="14" s="1"/>
  <c r="AS8" i="14" s="1"/>
  <c r="P57" i="16"/>
  <c r="P61" i="16" s="1"/>
  <c r="P63" i="16" s="1"/>
  <c r="P66" i="16" s="1"/>
  <c r="BI46" i="16"/>
  <c r="BI57" i="16" s="1"/>
  <c r="BI61" i="16" s="1"/>
  <c r="BI63" i="16" s="1"/>
  <c r="BI66" i="16" s="1"/>
  <c r="BI67" i="16" s="1"/>
  <c r="Y46" i="16"/>
  <c r="Y57" i="16" s="1"/>
  <c r="Y61" i="16" s="1"/>
  <c r="Y63" i="16" s="1"/>
  <c r="Y66" i="16" s="1"/>
  <c r="AH62" i="3"/>
  <c r="AF62" i="3" s="1"/>
  <c r="AZ65" i="3"/>
  <c r="AS12" i="16" l="1"/>
  <c r="AS47" i="17"/>
  <c r="AS55" i="17" s="1"/>
  <c r="AS46" i="14"/>
  <c r="AS53" i="14" s="1"/>
  <c r="AS47" i="16"/>
  <c r="AS56" i="16" s="1"/>
  <c r="AR46" i="14"/>
  <c r="AR54" i="14" s="1"/>
  <c r="AS12" i="17"/>
  <c r="AS20" i="17" s="1"/>
  <c r="AS12" i="14"/>
  <c r="AS19" i="14" s="1"/>
  <c r="AR12" i="17"/>
  <c r="AR20" i="17" s="1"/>
  <c r="AR12" i="16"/>
  <c r="AR20" i="16" s="1"/>
  <c r="AR47" i="17"/>
  <c r="AR56" i="17" s="1"/>
  <c r="AR12" i="14"/>
  <c r="AR19" i="14" s="1"/>
  <c r="AR47" i="16"/>
  <c r="AR55" i="16" s="1"/>
  <c r="Y67" i="16"/>
  <c r="AD63" i="16" s="1"/>
  <c r="AH63" i="16"/>
  <c r="AF63" i="16" s="1"/>
  <c r="AA64" i="3"/>
  <c r="AA65" i="3" s="1"/>
  <c r="I1533" i="2"/>
  <c r="AQ18" i="14"/>
  <c r="AQ11" i="3"/>
  <c r="G6" i="8" s="1"/>
  <c r="H1564" i="2"/>
  <c r="AD29" i="3"/>
  <c r="G30" i="3"/>
  <c r="G1512" i="2"/>
  <c r="J48" i="15"/>
  <c r="J62" i="15" s="1"/>
  <c r="J137" i="15" s="1"/>
  <c r="J49" i="15"/>
  <c r="J63" i="15" s="1"/>
  <c r="J138" i="15" s="1"/>
  <c r="J59" i="15"/>
  <c r="J47" i="15"/>
  <c r="AS19" i="17"/>
  <c r="Y65" i="14"/>
  <c r="AD61" i="14" s="1"/>
  <c r="AH61" i="14"/>
  <c r="AF61" i="14" s="1"/>
  <c r="Y31" i="14"/>
  <c r="AH27" i="14"/>
  <c r="AF27" i="14" s="1"/>
  <c r="AH27" i="17"/>
  <c r="AF27" i="17" s="1"/>
  <c r="P32" i="17"/>
  <c r="AJ9" i="14"/>
  <c r="AJ14" i="14" s="1"/>
  <c r="AJ9" i="17"/>
  <c r="AJ9" i="16"/>
  <c r="G32" i="16"/>
  <c r="AH26" i="16"/>
  <c r="AF26" i="16" s="1"/>
  <c r="AR52" i="3"/>
  <c r="G64" i="3"/>
  <c r="G1529" i="2"/>
  <c r="AR18" i="3"/>
  <c r="AH43" i="14"/>
  <c r="AH48" i="14" s="1"/>
  <c r="AH44" i="16"/>
  <c r="AH44" i="17"/>
  <c r="T47" i="15"/>
  <c r="T48" i="15"/>
  <c r="T62" i="15" s="1"/>
  <c r="T137" i="15" s="1"/>
  <c r="T49" i="15"/>
  <c r="T63" i="15" s="1"/>
  <c r="T138" i="15" s="1"/>
  <c r="T59" i="15"/>
  <c r="Z64" i="3"/>
  <c r="Z65" i="3" s="1"/>
  <c r="H1533" i="2"/>
  <c r="AD62" i="3"/>
  <c r="AQ44" i="3"/>
  <c r="H1577" i="2"/>
  <c r="AH62" i="16"/>
  <c r="AF62" i="16" s="1"/>
  <c r="P67" i="16"/>
  <c r="I1514" i="2"/>
  <c r="R30" i="3"/>
  <c r="R31" i="3" s="1"/>
  <c r="G32" i="17"/>
  <c r="AH26" i="17"/>
  <c r="AF26" i="17" s="1"/>
  <c r="G1533" i="2"/>
  <c r="Y64" i="3"/>
  <c r="AI43" i="14"/>
  <c r="AI48" i="14" s="1"/>
  <c r="AI44" i="16"/>
  <c r="AI44" i="17"/>
  <c r="I1512" i="2"/>
  <c r="I30" i="3"/>
  <c r="I31" i="3" s="1"/>
  <c r="P65" i="14"/>
  <c r="AH60" i="14"/>
  <c r="AF60" i="14" s="1"/>
  <c r="G67" i="17"/>
  <c r="AH61" i="17"/>
  <c r="AF61" i="17" s="1"/>
  <c r="AD64" i="16"/>
  <c r="AQ45" i="16"/>
  <c r="H1582" i="2"/>
  <c r="AQ45" i="3"/>
  <c r="G6" i="9" s="1"/>
  <c r="AD63" i="3"/>
  <c r="AQ19" i="16"/>
  <c r="AR54" i="17"/>
  <c r="AQ10" i="14"/>
  <c r="AD28" i="14"/>
  <c r="AI9" i="14"/>
  <c r="AI14" i="14" s="1"/>
  <c r="AI9" i="16"/>
  <c r="AI9" i="17"/>
  <c r="H30" i="3"/>
  <c r="H31" i="3" s="1"/>
  <c r="H1512" i="2"/>
  <c r="AS52" i="14"/>
  <c r="AH59" i="14"/>
  <c r="AF59" i="14" s="1"/>
  <c r="G65" i="14"/>
  <c r="AR18" i="14"/>
  <c r="AS54" i="16"/>
  <c r="Y30" i="3"/>
  <c r="G1516" i="2"/>
  <c r="AA30" i="3"/>
  <c r="AA31" i="3" s="1"/>
  <c r="I1516" i="2"/>
  <c r="R64" i="3"/>
  <c r="R65" i="3" s="1"/>
  <c r="I1531" i="2"/>
  <c r="G1531" i="2"/>
  <c r="P64" i="3"/>
  <c r="H49" i="15"/>
  <c r="H63" i="15" s="1"/>
  <c r="H138" i="15" s="1"/>
  <c r="H59" i="15"/>
  <c r="H47" i="15"/>
  <c r="H48" i="15"/>
  <c r="H62" i="15" s="1"/>
  <c r="H137" i="15" s="1"/>
  <c r="P32" i="16"/>
  <c r="AH27" i="16"/>
  <c r="AF27" i="16" s="1"/>
  <c r="AS18" i="3"/>
  <c r="AS54" i="17"/>
  <c r="AH9" i="14"/>
  <c r="AH14" i="14" s="1"/>
  <c r="AH9" i="17"/>
  <c r="AH9" i="16"/>
  <c r="Z30" i="3"/>
  <c r="Z31" i="3" s="1"/>
  <c r="H1516" i="2"/>
  <c r="H1559" i="2"/>
  <c r="AQ10" i="3"/>
  <c r="AD28" i="3"/>
  <c r="AQ44" i="14"/>
  <c r="AD62" i="14"/>
  <c r="H1529" i="2"/>
  <c r="H64" i="3"/>
  <c r="H65" i="3" s="1"/>
  <c r="AD64" i="17"/>
  <c r="AQ45" i="17"/>
  <c r="R59" i="15"/>
  <c r="R47" i="15"/>
  <c r="R49" i="15"/>
  <c r="R63" i="15" s="1"/>
  <c r="R138" i="15" s="1"/>
  <c r="R48" i="15"/>
  <c r="R62" i="15" s="1"/>
  <c r="R137" i="15" s="1"/>
  <c r="AH61" i="16"/>
  <c r="AF61" i="16" s="1"/>
  <c r="G67" i="16"/>
  <c r="I47" i="15"/>
  <c r="I48" i="15"/>
  <c r="I62" i="15" s="1"/>
  <c r="I137" i="15" s="1"/>
  <c r="I59" i="15"/>
  <c r="I49" i="15"/>
  <c r="I63" i="15" s="1"/>
  <c r="I138" i="15" s="1"/>
  <c r="AQ10" i="16"/>
  <c r="AD29" i="16"/>
  <c r="AS52" i="3"/>
  <c r="H1531" i="2"/>
  <c r="Q64" i="3"/>
  <c r="Q65" i="3" s="1"/>
  <c r="Y67" i="17"/>
  <c r="AD63" i="17" s="1"/>
  <c r="AH63" i="17"/>
  <c r="AF63" i="17" s="1"/>
  <c r="P30" i="3"/>
  <c r="G1514" i="2"/>
  <c r="G31" i="14"/>
  <c r="AH25" i="14"/>
  <c r="AF25" i="14" s="1"/>
  <c r="AR52" i="14"/>
  <c r="Y32" i="16"/>
  <c r="AH28" i="16"/>
  <c r="AF28" i="16" s="1"/>
  <c r="P31" i="14"/>
  <c r="AH26" i="14"/>
  <c r="AF26" i="14" s="1"/>
  <c r="Y32" i="17"/>
  <c r="AH28" i="17"/>
  <c r="AF28" i="17" s="1"/>
  <c r="AR54" i="16"/>
  <c r="H1514" i="2"/>
  <c r="Q30" i="3"/>
  <c r="Q31" i="3" s="1"/>
  <c r="AJ44" i="17"/>
  <c r="AJ43" i="14"/>
  <c r="AJ48" i="14" s="1"/>
  <c r="AJ44" i="16"/>
  <c r="AR19" i="17"/>
  <c r="S48" i="15"/>
  <c r="S62" i="15" s="1"/>
  <c r="S137" i="15" s="1"/>
  <c r="S49" i="15"/>
  <c r="S63" i="15" s="1"/>
  <c r="S138" i="15" s="1"/>
  <c r="S59" i="15"/>
  <c r="S47" i="15"/>
  <c r="AS20" i="16"/>
  <c r="AS19" i="16"/>
  <c r="AS21" i="16"/>
  <c r="AQ52" i="3"/>
  <c r="AS18" i="14"/>
  <c r="I64" i="3"/>
  <c r="I65" i="3" s="1"/>
  <c r="I1529" i="2"/>
  <c r="AD29" i="17"/>
  <c r="AQ10" i="17"/>
  <c r="AH62" i="17"/>
  <c r="AF62" i="17" s="1"/>
  <c r="P67" i="17"/>
  <c r="AS56" i="17" l="1"/>
  <c r="AS54" i="14"/>
  <c r="AS51" i="14" s="1"/>
  <c r="AS50" i="14" s="1"/>
  <c r="AS55" i="14" s="1"/>
  <c r="AR21" i="17"/>
  <c r="AR18" i="17" s="1"/>
  <c r="AR17" i="17" s="1"/>
  <c r="AR22" i="17" s="1"/>
  <c r="AR21" i="16"/>
  <c r="AR18" i="16" s="1"/>
  <c r="AR17" i="16" s="1"/>
  <c r="AR22" i="16" s="1"/>
  <c r="AR25" i="16" s="1"/>
  <c r="AR28" i="16" s="1"/>
  <c r="AR56" i="16"/>
  <c r="AR53" i="16" s="1"/>
  <c r="AR52" i="16" s="1"/>
  <c r="AR57" i="16" s="1"/>
  <c r="AR53" i="14"/>
  <c r="AR51" i="14" s="1"/>
  <c r="AR50" i="14" s="1"/>
  <c r="AR55" i="14" s="1"/>
  <c r="AS55" i="16"/>
  <c r="AS53" i="16" s="1"/>
  <c r="AS52" i="16" s="1"/>
  <c r="AS57" i="16" s="1"/>
  <c r="AS20" i="14"/>
  <c r="AS17" i="14" s="1"/>
  <c r="AS16" i="14" s="1"/>
  <c r="AS21" i="14" s="1"/>
  <c r="AS21" i="17"/>
  <c r="AS18" i="17" s="1"/>
  <c r="AS17" i="17" s="1"/>
  <c r="AS22" i="17" s="1"/>
  <c r="AR55" i="17"/>
  <c r="AR53" i="17" s="1"/>
  <c r="AR52" i="17" s="1"/>
  <c r="AR57" i="17" s="1"/>
  <c r="AR20" i="14"/>
  <c r="AR17" i="14" s="1"/>
  <c r="AR16" i="14" s="1"/>
  <c r="AR21" i="14" s="1"/>
  <c r="AR24" i="14" s="1"/>
  <c r="AR27" i="14" s="1"/>
  <c r="AS18" i="16"/>
  <c r="AS17" i="16" s="1"/>
  <c r="AS22" i="16" s="1"/>
  <c r="AS25" i="16" s="1"/>
  <c r="AS28" i="16" s="1"/>
  <c r="J1571" i="2"/>
  <c r="AS41" i="3"/>
  <c r="I61" i="15"/>
  <c r="I46" i="15"/>
  <c r="I60" i="15" s="1"/>
  <c r="AH15" i="14"/>
  <c r="AH17" i="14" s="1"/>
  <c r="AH14" i="17"/>
  <c r="AH16" i="17" s="1"/>
  <c r="AH18" i="17" s="1"/>
  <c r="AQ8" i="16"/>
  <c r="AD27" i="16"/>
  <c r="J1573" i="2"/>
  <c r="AS42" i="3"/>
  <c r="I4" i="9" s="1"/>
  <c r="Y31" i="3"/>
  <c r="AH27" i="3"/>
  <c r="AF27" i="3" s="1"/>
  <c r="I1553" i="2"/>
  <c r="AR7" i="3"/>
  <c r="AD60" i="14"/>
  <c r="AQ42" i="14"/>
  <c r="AJ14" i="17"/>
  <c r="AJ16" i="17" s="1"/>
  <c r="AJ18" i="17" s="1"/>
  <c r="AJ19" i="17" s="1"/>
  <c r="AJ20" i="17" s="1"/>
  <c r="AS11" i="17" s="1"/>
  <c r="AJ15" i="14"/>
  <c r="AJ17" i="14" s="1"/>
  <c r="AJ18" i="14" s="1"/>
  <c r="AJ19" i="14" s="1"/>
  <c r="AS11" i="14" s="1"/>
  <c r="AQ9" i="14"/>
  <c r="AD27" i="14"/>
  <c r="I1555" i="2"/>
  <c r="AR8" i="3"/>
  <c r="H4" i="8" s="1"/>
  <c r="AQ8" i="14"/>
  <c r="AD26" i="14"/>
  <c r="AQ7" i="14"/>
  <c r="AD25" i="14"/>
  <c r="AQ42" i="16"/>
  <c r="AD61" i="16"/>
  <c r="R61" i="15"/>
  <c r="R46" i="15"/>
  <c r="R60" i="15" s="1"/>
  <c r="I1571" i="2"/>
  <c r="AR41" i="3"/>
  <c r="AR9" i="3"/>
  <c r="H5" i="8" s="1"/>
  <c r="I1557" i="2"/>
  <c r="AS53" i="17"/>
  <c r="AS52" i="17" s="1"/>
  <c r="AS57" i="17" s="1"/>
  <c r="P65" i="3"/>
  <c r="AH60" i="3"/>
  <c r="AF60" i="3" s="1"/>
  <c r="AS7" i="3"/>
  <c r="J1553" i="2"/>
  <c r="AI49" i="14"/>
  <c r="AI51" i="14" s="1"/>
  <c r="AI52" i="14" s="1"/>
  <c r="AI53" i="14" s="1"/>
  <c r="AR45" i="14" s="1"/>
  <c r="AI49" i="17"/>
  <c r="AI51" i="17" s="1"/>
  <c r="AI53" i="17" s="1"/>
  <c r="AI54" i="17" s="1"/>
  <c r="AI55" i="17" s="1"/>
  <c r="AR46" i="17" s="1"/>
  <c r="AQ43" i="16"/>
  <c r="AD62" i="16"/>
  <c r="AQ7" i="16"/>
  <c r="AD26" i="16"/>
  <c r="AD27" i="17"/>
  <c r="AQ8" i="17"/>
  <c r="S61" i="15"/>
  <c r="S46" i="15"/>
  <c r="S60" i="15" s="1"/>
  <c r="AJ49" i="14"/>
  <c r="AJ51" i="14" s="1"/>
  <c r="AJ52" i="14" s="1"/>
  <c r="AJ53" i="14" s="1"/>
  <c r="AS45" i="14" s="1"/>
  <c r="AJ49" i="17"/>
  <c r="AJ51" i="17" s="1"/>
  <c r="AJ53" i="17" s="1"/>
  <c r="AJ54" i="17" s="1"/>
  <c r="AJ55" i="17" s="1"/>
  <c r="AS46" i="17" s="1"/>
  <c r="AR42" i="3"/>
  <c r="H4" i="9" s="1"/>
  <c r="I1573" i="2"/>
  <c r="H61" i="15"/>
  <c r="H46" i="15"/>
  <c r="H60" i="15" s="1"/>
  <c r="J1557" i="2"/>
  <c r="AS9" i="3"/>
  <c r="I5" i="8" s="1"/>
  <c r="AD59" i="14"/>
  <c r="AQ41" i="14"/>
  <c r="AQ42" i="17"/>
  <c r="AD61" i="17"/>
  <c r="AH61" i="3"/>
  <c r="AF61" i="3" s="1"/>
  <c r="Y65" i="3"/>
  <c r="AD26" i="17"/>
  <c r="AQ7" i="17"/>
  <c r="AH49" i="17"/>
  <c r="AH51" i="17" s="1"/>
  <c r="AH53" i="17" s="1"/>
  <c r="AH49" i="14"/>
  <c r="AH51" i="14" s="1"/>
  <c r="J61" i="15"/>
  <c r="J46" i="15"/>
  <c r="J60" i="15" s="1"/>
  <c r="AS43" i="3"/>
  <c r="I5" i="9" s="1"/>
  <c r="J1575" i="2"/>
  <c r="AD62" i="17"/>
  <c r="AQ43" i="17"/>
  <c r="AD28" i="17"/>
  <c r="AQ9" i="17"/>
  <c r="AQ9" i="16"/>
  <c r="AD28" i="16"/>
  <c r="AH26" i="3"/>
  <c r="AF26" i="3" s="1"/>
  <c r="P31" i="3"/>
  <c r="AI14" i="17"/>
  <c r="AI16" i="17" s="1"/>
  <c r="AI18" i="17" s="1"/>
  <c r="AI19" i="17" s="1"/>
  <c r="AI20" i="17" s="1"/>
  <c r="AR11" i="17" s="1"/>
  <c r="AI15" i="14"/>
  <c r="AI17" i="14" s="1"/>
  <c r="AI18" i="14" s="1"/>
  <c r="AI19" i="14" s="1"/>
  <c r="AR11" i="14" s="1"/>
  <c r="AS8" i="3"/>
  <c r="I4" i="8" s="1"/>
  <c r="J1555" i="2"/>
  <c r="I1575" i="2"/>
  <c r="AR43" i="3"/>
  <c r="H5" i="9" s="1"/>
  <c r="T61" i="15"/>
  <c r="T46" i="15"/>
  <c r="T60" i="15" s="1"/>
  <c r="G65" i="3"/>
  <c r="AH59" i="3"/>
  <c r="AF59" i="3" s="1"/>
  <c r="G31" i="3"/>
  <c r="AH25" i="3"/>
  <c r="AF25" i="3" s="1"/>
  <c r="AS23" i="16" l="1"/>
  <c r="AS26" i="16" s="1"/>
  <c r="AQ46" i="14"/>
  <c r="AQ53" i="14" s="1"/>
  <c r="AS24" i="16"/>
  <c r="AS27" i="16" s="1"/>
  <c r="AQ47" i="16"/>
  <c r="AQ55" i="16" s="1"/>
  <c r="S64" i="15"/>
  <c r="R64" i="15"/>
  <c r="AR58" i="17"/>
  <c r="AR61" i="17" s="1"/>
  <c r="AR60" i="17"/>
  <c r="AR63" i="17" s="1"/>
  <c r="AR59" i="17"/>
  <c r="AR62" i="17" s="1"/>
  <c r="H64" i="15"/>
  <c r="H212" i="15" s="1"/>
  <c r="J64" i="15"/>
  <c r="J212" i="15" s="1"/>
  <c r="AR24" i="16"/>
  <c r="AR27" i="16" s="1"/>
  <c r="AR23" i="16"/>
  <c r="AR26" i="16" s="1"/>
  <c r="AR22" i="14"/>
  <c r="AR25" i="14" s="1"/>
  <c r="I64" i="15"/>
  <c r="AQ12" i="14"/>
  <c r="AQ19" i="14" s="1"/>
  <c r="AQ47" i="17"/>
  <c r="AQ55" i="17" s="1"/>
  <c r="AR23" i="14"/>
  <c r="AR26" i="14" s="1"/>
  <c r="T64" i="15"/>
  <c r="T212" i="15" s="1"/>
  <c r="AS57" i="14"/>
  <c r="AS60" i="14" s="1"/>
  <c r="AS56" i="14"/>
  <c r="AS59" i="14" s="1"/>
  <c r="AS58" i="14"/>
  <c r="AS61" i="14" s="1"/>
  <c r="AQ12" i="17"/>
  <c r="AQ20" i="17" s="1"/>
  <c r="AQ12" i="16"/>
  <c r="AQ21" i="16" s="1"/>
  <c r="AD59" i="3"/>
  <c r="AQ41" i="3"/>
  <c r="H1571" i="2"/>
  <c r="AS59" i="16"/>
  <c r="AS62" i="16" s="1"/>
  <c r="AS58" i="16"/>
  <c r="AS61" i="16" s="1"/>
  <c r="AS60" i="16"/>
  <c r="AS63" i="16" s="1"/>
  <c r="AR57" i="14"/>
  <c r="AR60" i="14" s="1"/>
  <c r="AR56" i="14"/>
  <c r="AR59" i="14" s="1"/>
  <c r="AR58" i="14"/>
  <c r="AR61" i="14" s="1"/>
  <c r="AD31" i="16"/>
  <c r="AR59" i="16"/>
  <c r="AR62" i="16" s="1"/>
  <c r="AR58" i="16"/>
  <c r="AR61" i="16" s="1"/>
  <c r="AR60" i="16"/>
  <c r="AR63" i="16" s="1"/>
  <c r="AS25" i="17"/>
  <c r="AS28" i="17" s="1"/>
  <c r="AS23" i="17"/>
  <c r="AS26" i="17" s="1"/>
  <c r="AS24" i="17"/>
  <c r="AS27" i="17" s="1"/>
  <c r="H3" i="8"/>
  <c r="AR12" i="3"/>
  <c r="AH19" i="17"/>
  <c r="AH20" i="17" s="1"/>
  <c r="AH30" i="17"/>
  <c r="AF30" i="17" s="1"/>
  <c r="J1581" i="2"/>
  <c r="AS22" i="14"/>
  <c r="AS25" i="14" s="1"/>
  <c r="AS23" i="14"/>
  <c r="AS26" i="14" s="1"/>
  <c r="AS24" i="14"/>
  <c r="AS27" i="14" s="1"/>
  <c r="I1563" i="2"/>
  <c r="AH29" i="14"/>
  <c r="AF29" i="14" s="1"/>
  <c r="AH18" i="14"/>
  <c r="AH19" i="14" s="1"/>
  <c r="AQ7" i="3"/>
  <c r="H1553" i="2"/>
  <c r="AD25" i="3"/>
  <c r="AH52" i="14"/>
  <c r="AH53" i="14" s="1"/>
  <c r="AH63" i="14"/>
  <c r="AF63" i="14" s="1"/>
  <c r="AQ43" i="3"/>
  <c r="G5" i="9" s="1"/>
  <c r="H1575" i="2"/>
  <c r="AD61" i="3"/>
  <c r="J1563" i="2"/>
  <c r="H1573" i="2"/>
  <c r="AD60" i="3"/>
  <c r="AQ42" i="3"/>
  <c r="G4" i="9" s="1"/>
  <c r="H3" i="9"/>
  <c r="AR46" i="3"/>
  <c r="AD66" i="16"/>
  <c r="AR23" i="17"/>
  <c r="AR26" i="17" s="1"/>
  <c r="AR24" i="17"/>
  <c r="AR27" i="17" s="1"/>
  <c r="AR25" i="17"/>
  <c r="AR28" i="17" s="1"/>
  <c r="AD26" i="3"/>
  <c r="AQ8" i="3"/>
  <c r="G4" i="8" s="1"/>
  <c r="H1555" i="2"/>
  <c r="AH54" i="17"/>
  <c r="AH55" i="17" s="1"/>
  <c r="AH65" i="17"/>
  <c r="AF65" i="17" s="1"/>
  <c r="I3" i="8"/>
  <c r="AS12" i="3"/>
  <c r="AS58" i="17"/>
  <c r="AS61" i="17" s="1"/>
  <c r="AS59" i="17"/>
  <c r="AS62" i="17" s="1"/>
  <c r="AS60" i="17"/>
  <c r="AS63" i="17" s="1"/>
  <c r="I1581" i="2"/>
  <c r="AQ9" i="3"/>
  <c r="G5" i="8" s="1"/>
  <c r="H1557" i="2"/>
  <c r="AD27" i="3"/>
  <c r="I3" i="9"/>
  <c r="AS46" i="3"/>
  <c r="AQ56" i="16" l="1"/>
  <c r="AQ53" i="16" s="1"/>
  <c r="AQ52" i="16" s="1"/>
  <c r="AQ57" i="16" s="1"/>
  <c r="AQ60" i="16" s="1"/>
  <c r="AQ63" i="16" s="1"/>
  <c r="AQ54" i="14"/>
  <c r="AQ51" i="14" s="1"/>
  <c r="AQ50" i="14" s="1"/>
  <c r="AQ55" i="14" s="1"/>
  <c r="T214" i="15"/>
  <c r="T213" i="15"/>
  <c r="AQ20" i="14"/>
  <c r="AQ17" i="14" s="1"/>
  <c r="AQ16" i="14" s="1"/>
  <c r="AQ21" i="14" s="1"/>
  <c r="AQ20" i="16"/>
  <c r="AQ18" i="16" s="1"/>
  <c r="AQ17" i="16" s="1"/>
  <c r="AQ22" i="16" s="1"/>
  <c r="H213" i="15"/>
  <c r="AQ56" i="17"/>
  <c r="AQ53" i="17" s="1"/>
  <c r="AQ52" i="17" s="1"/>
  <c r="AQ57" i="17" s="1"/>
  <c r="H214" i="15"/>
  <c r="J214" i="15"/>
  <c r="R214" i="15"/>
  <c r="R213" i="15"/>
  <c r="R212" i="15"/>
  <c r="S212" i="15"/>
  <c r="S214" i="15"/>
  <c r="S213" i="15"/>
  <c r="J213" i="15"/>
  <c r="AQ21" i="17"/>
  <c r="AQ18" i="17" s="1"/>
  <c r="AQ17" i="17" s="1"/>
  <c r="AQ22" i="17" s="1"/>
  <c r="I214" i="15"/>
  <c r="I213" i="15"/>
  <c r="I212" i="15"/>
  <c r="H1563" i="2"/>
  <c r="G3" i="8"/>
  <c r="AQ12" i="3"/>
  <c r="AQ11" i="17"/>
  <c r="AD30" i="17"/>
  <c r="AD31" i="17" s="1"/>
  <c r="G3" i="9"/>
  <c r="AQ46" i="3"/>
  <c r="AQ46" i="17"/>
  <c r="AD65" i="17"/>
  <c r="AD66" i="17" s="1"/>
  <c r="AQ45" i="14"/>
  <c r="AD63" i="14"/>
  <c r="AD64" i="14" s="1"/>
  <c r="AQ11" i="14"/>
  <c r="AD29" i="14"/>
  <c r="AD30" i="14" s="1"/>
  <c r="AR20" i="3"/>
  <c r="AR19" i="3"/>
  <c r="AF31" i="16"/>
  <c r="AD33" i="16"/>
  <c r="AD64" i="3"/>
  <c r="AS53" i="3"/>
  <c r="AS54" i="3"/>
  <c r="AS20" i="3"/>
  <c r="AS19" i="3"/>
  <c r="AD68" i="16"/>
  <c r="AF66" i="16"/>
  <c r="AD30" i="3"/>
  <c r="AR54" i="3"/>
  <c r="AR53" i="3"/>
  <c r="H1581" i="2"/>
  <c r="T211" i="15" l="1"/>
  <c r="T210" i="15" s="1"/>
  <c r="T215" i="15" s="1"/>
  <c r="H211" i="15"/>
  <c r="H210" i="15" s="1"/>
  <c r="H192" i="15" s="1"/>
  <c r="J211" i="15"/>
  <c r="J210" i="15" s="1"/>
  <c r="J192" i="15" s="1"/>
  <c r="S211" i="15"/>
  <c r="S210" i="15" s="1"/>
  <c r="R211" i="15"/>
  <c r="R210" i="15" s="1"/>
  <c r="R215" i="15" s="1"/>
  <c r="R158" i="15" s="1"/>
  <c r="AQ58" i="16"/>
  <c r="AQ61" i="16" s="1"/>
  <c r="AS17" i="3"/>
  <c r="AS16" i="3" s="1"/>
  <c r="AS21" i="3" s="1"/>
  <c r="AS24" i="3" s="1"/>
  <c r="AR17" i="3"/>
  <c r="AR16" i="3" s="1"/>
  <c r="AR21" i="3" s="1"/>
  <c r="AR24" i="3" s="1"/>
  <c r="AS51" i="3"/>
  <c r="AS50" i="3" s="1"/>
  <c r="AS55" i="3" s="1"/>
  <c r="AS56" i="3" s="1"/>
  <c r="AQ59" i="16"/>
  <c r="AQ62" i="16" s="1"/>
  <c r="AR51" i="3"/>
  <c r="AR50" i="3" s="1"/>
  <c r="AR55" i="3" s="1"/>
  <c r="AR58" i="3" s="1"/>
  <c r="I211" i="15"/>
  <c r="I210" i="15" s="1"/>
  <c r="AQ24" i="16"/>
  <c r="AQ27" i="16" s="1"/>
  <c r="AQ25" i="16"/>
  <c r="AQ28" i="16" s="1"/>
  <c r="AQ23" i="16"/>
  <c r="AQ26" i="16" s="1"/>
  <c r="AQ56" i="14"/>
  <c r="AQ59" i="14" s="1"/>
  <c r="AQ57" i="14"/>
  <c r="AQ60" i="14" s="1"/>
  <c r="AQ58" i="14"/>
  <c r="AQ61" i="14" s="1"/>
  <c r="AF31" i="17"/>
  <c r="AD33" i="17"/>
  <c r="AQ24" i="14"/>
  <c r="AQ27" i="14" s="1"/>
  <c r="AQ22" i="14"/>
  <c r="AQ25" i="14" s="1"/>
  <c r="AQ23" i="14"/>
  <c r="AQ26" i="14" s="1"/>
  <c r="AF30" i="3"/>
  <c r="AD32" i="3"/>
  <c r="AD66" i="3"/>
  <c r="AF64" i="3"/>
  <c r="AF64" i="14"/>
  <c r="AD66" i="14"/>
  <c r="AQ53" i="3"/>
  <c r="AQ54" i="3"/>
  <c r="AQ24" i="17"/>
  <c r="AQ27" i="17" s="1"/>
  <c r="AQ25" i="17"/>
  <c r="AQ28" i="17" s="1"/>
  <c r="AQ23" i="17"/>
  <c r="AQ26" i="17" s="1"/>
  <c r="AQ60" i="17"/>
  <c r="AQ63" i="17" s="1"/>
  <c r="AQ58" i="17"/>
  <c r="AQ61" i="17" s="1"/>
  <c r="AQ59" i="17"/>
  <c r="AQ62" i="17" s="1"/>
  <c r="AD68" i="17"/>
  <c r="AF66" i="17"/>
  <c r="AQ19" i="3"/>
  <c r="AQ20" i="3"/>
  <c r="AD32" i="14"/>
  <c r="AF30" i="14"/>
  <c r="T192" i="15" l="1"/>
  <c r="R156" i="15"/>
  <c r="R157" i="15"/>
  <c r="J215" i="15"/>
  <c r="J156" i="15" s="1"/>
  <c r="AR23" i="3"/>
  <c r="AR26" i="3" s="1"/>
  <c r="H215" i="15"/>
  <c r="H216" i="15" s="1"/>
  <c r="H135" i="15" s="1"/>
  <c r="R216" i="15"/>
  <c r="R217" i="15" s="1"/>
  <c r="R191" i="15" s="1"/>
  <c r="AR56" i="3"/>
  <c r="AR59" i="3" s="1"/>
  <c r="AS57" i="3"/>
  <c r="AS60" i="3" s="1"/>
  <c r="AS58" i="3"/>
  <c r="AS61" i="3" s="1"/>
  <c r="R192" i="15"/>
  <c r="S215" i="15"/>
  <c r="S192" i="15"/>
  <c r="AR22" i="3"/>
  <c r="AR34" i="3" s="1"/>
  <c r="AS23" i="3"/>
  <c r="AS26" i="3" s="1"/>
  <c r="AS22" i="3"/>
  <c r="AS25" i="3" s="1"/>
  <c r="AR57" i="3"/>
  <c r="AR60" i="3" s="1"/>
  <c r="AQ17" i="3"/>
  <c r="AQ16" i="3" s="1"/>
  <c r="AQ21" i="3" s="1"/>
  <c r="AQ22" i="3" s="1"/>
  <c r="I192" i="15"/>
  <c r="I215" i="15"/>
  <c r="AR33" i="3"/>
  <c r="AR27" i="3"/>
  <c r="AS59" i="3"/>
  <c r="AS71" i="3"/>
  <c r="T216" i="15"/>
  <c r="T156" i="15"/>
  <c r="T157" i="15"/>
  <c r="T158" i="15"/>
  <c r="AQ51" i="3"/>
  <c r="AQ50" i="3" s="1"/>
  <c r="AQ55" i="3" s="1"/>
  <c r="AS33" i="3"/>
  <c r="AS27" i="3"/>
  <c r="AR72" i="3"/>
  <c r="AR61" i="3"/>
  <c r="R159" i="15" l="1"/>
  <c r="R167" i="15" s="1"/>
  <c r="AR25" i="3"/>
  <c r="J158" i="15"/>
  <c r="J157" i="15"/>
  <c r="J216" i="15"/>
  <c r="J135" i="15" s="1"/>
  <c r="R236" i="15"/>
  <c r="R262" i="15" s="1"/>
  <c r="R121" i="15"/>
  <c r="AS34" i="3"/>
  <c r="H158" i="15"/>
  <c r="AR71" i="3"/>
  <c r="H157" i="15"/>
  <c r="H156" i="15"/>
  <c r="R135" i="15"/>
  <c r="H217" i="15"/>
  <c r="H148" i="15" s="1"/>
  <c r="H151" i="15" s="1"/>
  <c r="H166" i="15" s="1"/>
  <c r="H236" i="15"/>
  <c r="H262" i="15" s="1"/>
  <c r="H121" i="15"/>
  <c r="AS72" i="3"/>
  <c r="AQ24" i="3"/>
  <c r="AQ27" i="3" s="1"/>
  <c r="S216" i="15"/>
  <c r="S156" i="15"/>
  <c r="S157" i="15"/>
  <c r="S158" i="15"/>
  <c r="AQ23" i="3"/>
  <c r="AQ26" i="3" s="1"/>
  <c r="I157" i="15"/>
  <c r="I156" i="15"/>
  <c r="I158" i="15"/>
  <c r="I216" i="15"/>
  <c r="T159" i="15"/>
  <c r="T167" i="15" s="1"/>
  <c r="AQ57" i="3"/>
  <c r="AQ60" i="3" s="1"/>
  <c r="AQ56" i="3"/>
  <c r="AQ58" i="3"/>
  <c r="T236" i="15"/>
  <c r="T135" i="15"/>
  <c r="T217" i="15"/>
  <c r="T191" i="15" s="1"/>
  <c r="T121" i="15"/>
  <c r="AQ25" i="3"/>
  <c r="AQ34" i="3"/>
  <c r="R122" i="15"/>
  <c r="R148" i="15"/>
  <c r="R151" i="15" s="1"/>
  <c r="R166" i="15" s="1"/>
  <c r="R136" i="15"/>
  <c r="J121" i="15" l="1"/>
  <c r="J236" i="15"/>
  <c r="J262" i="15" s="1"/>
  <c r="J217" i="15"/>
  <c r="J148" i="15" s="1"/>
  <c r="J151" i="15" s="1"/>
  <c r="J166" i="15" s="1"/>
  <c r="J159" i="15"/>
  <c r="J167" i="15" s="1"/>
  <c r="R237" i="15"/>
  <c r="R263" i="15" s="1"/>
  <c r="R125" i="15"/>
  <c r="R162" i="15" s="1"/>
  <c r="H237" i="15"/>
  <c r="H263" i="15" s="1"/>
  <c r="H122" i="15"/>
  <c r="H125" i="15" s="1"/>
  <c r="H162" i="15" s="1"/>
  <c r="AQ33" i="3"/>
  <c r="H136" i="15"/>
  <c r="H139" i="15" s="1"/>
  <c r="H164" i="15" s="1"/>
  <c r="H191" i="15"/>
  <c r="H159" i="15"/>
  <c r="H167" i="15" s="1"/>
  <c r="R139" i="15"/>
  <c r="R164" i="15" s="1"/>
  <c r="S159" i="15"/>
  <c r="S167" i="15" s="1"/>
  <c r="S121" i="15"/>
  <c r="S135" i="15"/>
  <c r="S236" i="15"/>
  <c r="S217" i="15"/>
  <c r="I121" i="15"/>
  <c r="I217" i="15"/>
  <c r="I236" i="15"/>
  <c r="I135" i="15"/>
  <c r="I159" i="15"/>
  <c r="I167" i="15" s="1"/>
  <c r="T237" i="15"/>
  <c r="T262" i="15"/>
  <c r="AQ72" i="3"/>
  <c r="AQ61" i="3"/>
  <c r="T136" i="15"/>
  <c r="T139" i="15" s="1"/>
  <c r="T164" i="15" s="1"/>
  <c r="T148" i="15"/>
  <c r="T151" i="15" s="1"/>
  <c r="T166" i="15" s="1"/>
  <c r="T122" i="15"/>
  <c r="T125" i="15" s="1"/>
  <c r="T162" i="15" s="1"/>
  <c r="AQ71" i="3"/>
  <c r="AQ59" i="3"/>
  <c r="H238" i="15" l="1"/>
  <c r="H239" i="15" s="1"/>
  <c r="J136" i="15"/>
  <c r="J139" i="15" s="1"/>
  <c r="J164" i="15" s="1"/>
  <c r="J122" i="15"/>
  <c r="J125" i="15" s="1"/>
  <c r="J162" i="15" s="1"/>
  <c r="J191" i="15"/>
  <c r="J237" i="15"/>
  <c r="J238" i="15" s="1"/>
  <c r="R170" i="15"/>
  <c r="R194" i="15" s="1"/>
  <c r="R200" i="15" s="1"/>
  <c r="R238" i="15"/>
  <c r="R264" i="15" s="1"/>
  <c r="H170" i="15"/>
  <c r="H194" i="15" s="1"/>
  <c r="H200" i="15" s="1"/>
  <c r="S191" i="15"/>
  <c r="S122" i="15"/>
  <c r="S125" i="15" s="1"/>
  <c r="S162" i="15" s="1"/>
  <c r="S148" i="15"/>
  <c r="S151" i="15" s="1"/>
  <c r="S166" i="15" s="1"/>
  <c r="S136" i="15"/>
  <c r="S139" i="15" s="1"/>
  <c r="S164" i="15" s="1"/>
  <c r="S262" i="15"/>
  <c r="S237" i="15"/>
  <c r="I191" i="15"/>
  <c r="I148" i="15"/>
  <c r="I151" i="15" s="1"/>
  <c r="I166" i="15" s="1"/>
  <c r="I122" i="15"/>
  <c r="I125" i="15" s="1"/>
  <c r="I162" i="15" s="1"/>
  <c r="I136" i="15"/>
  <c r="I139" i="15" s="1"/>
  <c r="I164" i="15" s="1"/>
  <c r="I262" i="15"/>
  <c r="I237" i="15"/>
  <c r="T170" i="15"/>
  <c r="T194" i="15" s="1"/>
  <c r="T200" i="15" s="1"/>
  <c r="T263" i="15"/>
  <c r="T238" i="15"/>
  <c r="H264" i="15" l="1"/>
  <c r="J170" i="15"/>
  <c r="J194" i="15" s="1"/>
  <c r="J200" i="15" s="1"/>
  <c r="J263" i="15"/>
  <c r="R239" i="15"/>
  <c r="R240" i="15" s="1"/>
  <c r="S263" i="15"/>
  <c r="S238" i="15"/>
  <c r="S170" i="15"/>
  <c r="S194" i="15" s="1"/>
  <c r="S200" i="15" s="1"/>
  <c r="I238" i="15"/>
  <c r="I263" i="15"/>
  <c r="I170" i="15"/>
  <c r="I194" i="15" s="1"/>
  <c r="I200" i="15" s="1"/>
  <c r="T239" i="15"/>
  <c r="T264" i="15"/>
  <c r="J239" i="15"/>
  <c r="J264" i="15"/>
  <c r="H240" i="15"/>
  <c r="H265" i="15"/>
  <c r="R265" i="15" l="1"/>
  <c r="S264" i="15"/>
  <c r="S239" i="15"/>
  <c r="I264" i="15"/>
  <c r="I239" i="15"/>
  <c r="J240" i="15"/>
  <c r="J265" i="15"/>
  <c r="T240" i="15"/>
  <c r="T265" i="15"/>
  <c r="R266" i="15"/>
  <c r="R241" i="15"/>
  <c r="H241" i="15"/>
  <c r="H266" i="15"/>
  <c r="S265" i="15" l="1"/>
  <c r="S240" i="15"/>
  <c r="I240" i="15"/>
  <c r="I265" i="15"/>
  <c r="J266" i="15"/>
  <c r="J241" i="15"/>
  <c r="T241" i="15"/>
  <c r="T266" i="15"/>
  <c r="H267" i="15"/>
  <c r="H242" i="15"/>
  <c r="R242" i="15"/>
  <c r="R267" i="15"/>
  <c r="S241" i="15" l="1"/>
  <c r="S266" i="15"/>
  <c r="I266" i="15"/>
  <c r="I241" i="15"/>
  <c r="T242" i="15"/>
  <c r="T267" i="15"/>
  <c r="J242" i="15"/>
  <c r="J267" i="15"/>
  <c r="H268" i="15"/>
  <c r="H243" i="15"/>
  <c r="R268" i="15"/>
  <c r="R243" i="15"/>
  <c r="S242" i="15" l="1"/>
  <c r="S267" i="15"/>
  <c r="I242" i="15"/>
  <c r="I267" i="15"/>
  <c r="T243" i="15"/>
  <c r="T268" i="15"/>
  <c r="J243" i="15"/>
  <c r="J268" i="15"/>
  <c r="R244" i="15"/>
  <c r="R269" i="15"/>
  <c r="H244" i="15"/>
  <c r="H269" i="15"/>
  <c r="S243" i="15" l="1"/>
  <c r="S268" i="15"/>
  <c r="I268" i="15"/>
  <c r="I243" i="15"/>
  <c r="T244" i="15"/>
  <c r="T269" i="15"/>
  <c r="J244" i="15"/>
  <c r="J269" i="15"/>
  <c r="H245" i="15"/>
  <c r="H270" i="15"/>
  <c r="R270" i="15"/>
  <c r="R245" i="15"/>
  <c r="S269" i="15" l="1"/>
  <c r="S244" i="15"/>
  <c r="I269" i="15"/>
  <c r="I244" i="15"/>
  <c r="T245" i="15"/>
  <c r="T270" i="15"/>
  <c r="J270" i="15"/>
  <c r="J245" i="15"/>
  <c r="H271" i="15"/>
  <c r="H246" i="15"/>
  <c r="R271" i="15"/>
  <c r="R246" i="15"/>
  <c r="S245" i="15" l="1"/>
  <c r="S270" i="15"/>
  <c r="I245" i="15"/>
  <c r="I270" i="15"/>
  <c r="T271" i="15"/>
  <c r="T246" i="15"/>
  <c r="J246" i="15"/>
  <c r="J271" i="15"/>
  <c r="H247" i="15"/>
  <c r="H272" i="15"/>
  <c r="R247" i="15"/>
  <c r="R272" i="15"/>
  <c r="S271" i="15" l="1"/>
  <c r="S246" i="15"/>
  <c r="I246" i="15"/>
  <c r="I271" i="15"/>
  <c r="J272" i="15"/>
  <c r="J247" i="15"/>
  <c r="T272" i="15"/>
  <c r="T247" i="15"/>
  <c r="R273" i="15"/>
  <c r="R248" i="15"/>
  <c r="R274" i="15" s="1"/>
  <c r="H273" i="15"/>
  <c r="H248" i="15"/>
  <c r="H274" i="15" s="1"/>
  <c r="S272" i="15" l="1"/>
  <c r="S247" i="15"/>
  <c r="I272" i="15"/>
  <c r="I247" i="15"/>
  <c r="T248" i="15"/>
  <c r="T274" i="15" s="1"/>
  <c r="T273" i="15"/>
  <c r="J248" i="15"/>
  <c r="J274" i="15" s="1"/>
  <c r="J273" i="15"/>
  <c r="S248" i="15" l="1"/>
  <c r="S274" i="15" s="1"/>
  <c r="S273" i="15"/>
  <c r="I248" i="15"/>
  <c r="I274" i="15" s="1"/>
  <c r="I27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백종훈</author>
    <author>user</author>
    <author>yeo</author>
    <author xml:space="preserve"> </author>
  </authors>
  <commentList>
    <comment ref="M34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백종훈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위험도분석 대형차통과대수 적용값</t>
        </r>
      </text>
    </comment>
    <comment ref="D9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0.002 </t>
        </r>
        <r>
          <rPr>
            <sz val="9"/>
            <color indexed="81"/>
            <rFont val="돋움"/>
            <family val="3"/>
            <charset val="129"/>
          </rPr>
          <t>적용시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기준배출량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확인필요</t>
        </r>
      </text>
    </comment>
    <comment ref="E751" authorId="2" shapeId="0" xr:uid="{00000000-0006-0000-0100-000003000000}">
      <text>
        <r>
          <rPr>
            <sz val="9"/>
            <color indexed="81"/>
            <rFont val="굴림"/>
            <family val="3"/>
            <charset val="129"/>
          </rPr>
          <t>휘발유 34.2, 경유 33.6</t>
        </r>
      </text>
    </comment>
    <comment ref="K1525" authorId="3" shapeId="0" xr:uid="{00000000-0006-0000-0100-000004000000}">
      <text>
        <r>
          <rPr>
            <b/>
            <sz val="11"/>
            <color indexed="81"/>
            <rFont val="굴림"/>
            <family val="3"/>
            <charset val="129"/>
          </rPr>
          <t xml:space="preserve"> :</t>
        </r>
        <r>
          <rPr>
            <sz val="11"/>
            <color indexed="81"/>
            <rFont val="굴림"/>
            <family val="3"/>
            <charset val="129"/>
          </rPr>
          <t xml:space="preserve">
주행방향과 동일 : 1
주행방향과 반대 : 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임의수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AC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임의의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skyhoon1</author>
    <author>백종훈</author>
    <author>user</author>
  </authors>
  <commentList>
    <comment ref="I3" authorId="0" shapeId="0" xr:uid="{00000000-0006-0000-0500-000001000000}">
      <text>
        <r>
          <rPr>
            <sz val="11"/>
            <color indexed="81"/>
            <rFont val="굴림"/>
            <family val="3"/>
            <charset val="129"/>
          </rPr>
          <t>일반 1
고효율 2</t>
        </r>
      </text>
    </comment>
    <comment ref="AC7" authorId="1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백종훈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임계풍속 시뮬레이션 수치입력</t>
        </r>
      </text>
    </comment>
    <comment ref="B28" authorId="2" shapeId="0" xr:uid="{00000000-0006-0000-05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0.2D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단면임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skyhoon1</author>
    <author>백종훈</author>
  </authors>
  <commentList>
    <comment ref="I3" authorId="0" shapeId="0" xr:uid="{00000000-0006-0000-0C00-000001000000}">
      <text>
        <r>
          <rPr>
            <sz val="11"/>
            <color indexed="81"/>
            <rFont val="굴림"/>
            <family val="3"/>
            <charset val="129"/>
          </rPr>
          <t>일반 1
고효율 2</t>
        </r>
      </text>
    </comment>
    <comment ref="AC7" authorId="1" shapeId="0" xr:uid="{00000000-0006-0000-0C00-000002000000}">
      <text>
        <r>
          <rPr>
            <b/>
            <sz val="9"/>
            <color indexed="81"/>
            <rFont val="돋움"/>
            <family val="3"/>
            <charset val="129"/>
          </rPr>
          <t>백종훈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임계풍속 시뮬레이션 수치입력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skyhoon1</author>
    <author>백종훈</author>
    <author>jklee</author>
  </authors>
  <commentList>
    <comment ref="I3" authorId="0" shapeId="0" xr:uid="{00000000-0006-0000-0D00-000001000000}">
      <text>
        <r>
          <rPr>
            <sz val="11"/>
            <color indexed="81"/>
            <rFont val="굴림"/>
            <family val="3"/>
            <charset val="129"/>
          </rPr>
          <t>일반 1
고효율 2</t>
        </r>
      </text>
    </comment>
    <comment ref="AC7" authorId="1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백종훈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임계풍속 시뮬레이션 수치입력</t>
        </r>
      </text>
    </comment>
    <comment ref="AC15" authorId="2" shapeId="0" xr:uid="{00000000-0006-0000-0D00-000003000000}">
      <text>
        <r>
          <rPr>
            <b/>
            <sz val="9"/>
            <color indexed="81"/>
            <rFont val="Tahoma"/>
            <family val="2"/>
          </rPr>
          <t>jklee: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시뮬레이션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결과값
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AC50" authorId="2" shapeId="0" xr:uid="{00000000-0006-0000-0D00-000004000000}">
      <text>
        <r>
          <rPr>
            <b/>
            <sz val="9"/>
            <color indexed="81"/>
            <rFont val="Tahoma"/>
            <family val="2"/>
          </rPr>
          <t>jklee: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시뮬레이션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결과값
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skyhoon1</author>
    <author>백종훈</author>
    <author>jklee</author>
  </authors>
  <commentList>
    <comment ref="I3" authorId="0" shapeId="0" xr:uid="{00000000-0006-0000-0E00-000001000000}">
      <text>
        <r>
          <rPr>
            <sz val="11"/>
            <color indexed="81"/>
            <rFont val="굴림"/>
            <family val="3"/>
            <charset val="129"/>
          </rPr>
          <t>일반 1
고효율 2</t>
        </r>
      </text>
    </comment>
    <comment ref="AC7" authorId="1" shapeId="0" xr:uid="{00000000-0006-0000-0E00-000002000000}">
      <text>
        <r>
          <rPr>
            <b/>
            <sz val="9"/>
            <color indexed="81"/>
            <rFont val="돋움"/>
            <family val="3"/>
            <charset val="129"/>
          </rPr>
          <t>백종훈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임계풍속 시뮬레이션 수치입력</t>
        </r>
      </text>
    </comment>
    <comment ref="AC15" authorId="2" shapeId="0" xr:uid="{00000000-0006-0000-0E00-000003000000}">
      <text>
        <r>
          <rPr>
            <b/>
            <sz val="9"/>
            <color indexed="81"/>
            <rFont val="Tahoma"/>
            <family val="2"/>
          </rPr>
          <t>jklee: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시뮬레이션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결과값
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AC50" authorId="2" shapeId="0" xr:uid="{00000000-0006-0000-0E00-000004000000}">
      <text>
        <r>
          <rPr>
            <b/>
            <sz val="9"/>
            <color indexed="81"/>
            <rFont val="Tahoma"/>
            <family val="2"/>
          </rPr>
          <t>jklee: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시뮬레이션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결과값
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설계2팀/현경진</author>
  </authors>
  <commentList>
    <comment ref="B253" authorId="0" shapeId="0" xr:uid="{00000000-0006-0000-1200-000001000000}">
      <text>
        <r>
          <rPr>
            <b/>
            <sz val="11"/>
            <color indexed="81"/>
            <rFont val="굴림"/>
            <family val="3"/>
            <charset val="129"/>
          </rPr>
          <t>집진기,수직갱 대수 변화에
따라 (설치위치L1-L7)를 꼭!
필히 확인바람!
*참고 (집1+수1)=L3 까지
  입력 바람.</t>
        </r>
      </text>
    </comment>
    <comment ref="L253" authorId="0" shapeId="0" xr:uid="{00000000-0006-0000-1200-000002000000}">
      <text>
        <r>
          <rPr>
            <b/>
            <sz val="11"/>
            <color indexed="81"/>
            <rFont val="굴림"/>
            <family val="3"/>
            <charset val="129"/>
          </rPr>
          <t>집진기,수직갱 대수 변화에
따라 (설치위치L1-L7)를 꼭!
필히 확인바람!
*참고 (집1+수1)=L3 까지
  입력 바람.</t>
        </r>
      </text>
    </comment>
  </commentList>
</comments>
</file>

<file path=xl/sharedStrings.xml><?xml version="1.0" encoding="utf-8"?>
<sst xmlns="http://schemas.openxmlformats.org/spreadsheetml/2006/main" count="4245" uniqueCount="985">
  <si>
    <t>⇒</t>
  </si>
  <si>
    <t xml:space="preserve"> </t>
  </si>
  <si>
    <t>1구간</t>
  </si>
  <si>
    <t>2구간</t>
  </si>
  <si>
    <t>터널길이</t>
  </si>
  <si>
    <t>터널대표직경(Dr=(4 * Ar)/Lp)</t>
  </si>
  <si>
    <t>적용CODE</t>
  </si>
  <si>
    <t>( 단, 환기설계상 속도 =</t>
  </si>
  <si>
    <t>1) 추정교통량</t>
  </si>
  <si>
    <t>구 간</t>
  </si>
  <si>
    <t>적용년도</t>
  </si>
  <si>
    <t>일교통량 (대/일)</t>
  </si>
  <si>
    <t>합 계</t>
  </si>
  <si>
    <t>년도별</t>
  </si>
  <si>
    <t>목표년도</t>
  </si>
  <si>
    <t>승용차</t>
  </si>
  <si>
    <t xml:space="preserve">            버스</t>
  </si>
  <si>
    <t>트  럭</t>
  </si>
  <si>
    <t>AADT비율</t>
  </si>
  <si>
    <t>소형</t>
  </si>
  <si>
    <t>대형</t>
  </si>
  <si>
    <t>중형</t>
  </si>
  <si>
    <t>특수</t>
  </si>
  <si>
    <t>(AADT)</t>
  </si>
  <si>
    <t>(%)</t>
  </si>
  <si>
    <t>차량별혼입율</t>
  </si>
  <si>
    <t>2) 추정교통량</t>
  </si>
  <si>
    <t>1) 적용식</t>
  </si>
  <si>
    <r>
      <t>2) 매연배출량 [qo</t>
    </r>
    <r>
      <rPr>
        <b/>
        <vertAlign val="superscript"/>
        <sz val="11"/>
        <rFont val="돋움"/>
        <family val="3"/>
        <charset val="129"/>
      </rPr>
      <t>T</t>
    </r>
    <r>
      <rPr>
        <b/>
        <sz val="11"/>
        <rFont val="돋움"/>
        <family val="3"/>
        <charset val="129"/>
      </rPr>
      <t>]의 기준 적용값</t>
    </r>
  </si>
  <si>
    <t>Truck, Bus with diesel motors ( m &gt;3.5 ton )</t>
  </si>
  <si>
    <t>Km/h</t>
  </si>
  <si>
    <t>Emission Law</t>
  </si>
  <si>
    <t>Control</t>
  </si>
  <si>
    <t>Truck weight (ton)</t>
  </si>
  <si>
    <t>80-130</t>
  </si>
  <si>
    <t>160-250</t>
  </si>
  <si>
    <t>300-400</t>
  </si>
  <si>
    <t>400-600</t>
  </si>
  <si>
    <t>no</t>
  </si>
  <si>
    <t>EEC R 49 + 24</t>
  </si>
  <si>
    <t>EEC R 49 + 24 EEC</t>
  </si>
  <si>
    <t>yes</t>
  </si>
  <si>
    <t>88 / 77</t>
  </si>
  <si>
    <t>US Transient 88</t>
  </si>
  <si>
    <t>US Transient 91</t>
  </si>
  <si>
    <t>US Transient 94</t>
  </si>
  <si>
    <t>3) 허용 매연농도 적용값</t>
  </si>
  <si>
    <t>속  도 (km/h)</t>
  </si>
  <si>
    <t>이하</t>
  </si>
  <si>
    <t>이상</t>
  </si>
  <si>
    <t>5) 표고 보정계수 [fh]</t>
  </si>
  <si>
    <t xml:space="preserve"> [fh]</t>
  </si>
  <si>
    <t>6) 교통밀도산정표</t>
  </si>
  <si>
    <t>교통량</t>
  </si>
  <si>
    <t>7-1) 속도별교통량산정 :</t>
  </si>
  <si>
    <t xml:space="preserve"> 가. 차종별혼입율, 중량 및 통행차량수</t>
  </si>
  <si>
    <t>(기준년도 :</t>
  </si>
  <si>
    <t>)</t>
  </si>
  <si>
    <t xml:space="preserve">            버 스</t>
  </si>
  <si>
    <t xml:space="preserve">                        트         럭</t>
  </si>
  <si>
    <t>구    분</t>
  </si>
  <si>
    <t>혼입율(%,대수기준)</t>
  </si>
  <si>
    <t>Load = 100%</t>
  </si>
  <si>
    <t>Net:Load=2:8</t>
  </si>
  <si>
    <t>PCU / 대</t>
  </si>
  <si>
    <t>PCU % / 대수 % =</t>
  </si>
  <si>
    <t>: 1</t>
  </si>
  <si>
    <t>차량속도(km/h)</t>
  </si>
  <si>
    <t xml:space="preserve">         차 량 대 수</t>
  </si>
  <si>
    <t>7-2) 속도별교통량산정 :</t>
  </si>
  <si>
    <t xml:space="preserve">           [단위 : CMS]</t>
  </si>
  <si>
    <t xml:space="preserve">                  속 도 ( km /h )</t>
  </si>
  <si>
    <t>합계</t>
  </si>
  <si>
    <r>
      <t>2) CO 배출량( qo</t>
    </r>
    <r>
      <rPr>
        <b/>
        <vertAlign val="superscript"/>
        <sz val="11"/>
        <rFont val="돋움"/>
        <family val="3"/>
        <charset val="129"/>
      </rPr>
      <t>CO</t>
    </r>
    <r>
      <rPr>
        <b/>
        <sz val="11"/>
        <rFont val="돋움"/>
        <family val="3"/>
        <charset val="129"/>
      </rPr>
      <t>)의 기준 및 적용값</t>
    </r>
  </si>
  <si>
    <t>PS</t>
  </si>
  <si>
    <t>g/kw*h</t>
  </si>
  <si>
    <t>km/h)</t>
  </si>
  <si>
    <t>3) 적용기준</t>
  </si>
  <si>
    <t>차량속도</t>
  </si>
  <si>
    <r>
      <t>Co</t>
    </r>
    <r>
      <rPr>
        <vertAlign val="subscript"/>
        <sz val="11"/>
        <rFont val="돋움"/>
        <family val="3"/>
        <charset val="129"/>
      </rPr>
      <t>lim</t>
    </r>
  </si>
  <si>
    <t>5) 표고보정계수 : [ fh ]</t>
  </si>
  <si>
    <t>8) 일산화탄소(CO)  소요환기량</t>
  </si>
  <si>
    <t xml:space="preserve">                  속도 ( km/h )</t>
  </si>
  <si>
    <r>
      <t>2) NOx  배출량 (qo</t>
    </r>
    <r>
      <rPr>
        <b/>
        <vertAlign val="superscript"/>
        <sz val="11"/>
        <rFont val="돋움"/>
        <family val="3"/>
        <charset val="129"/>
      </rPr>
      <t xml:space="preserve"> NOX</t>
    </r>
    <r>
      <rPr>
        <b/>
        <sz val="11"/>
        <rFont val="돋움"/>
        <family val="3"/>
        <charset val="129"/>
      </rPr>
      <t xml:space="preserve"> )기준 및 적용값</t>
    </r>
  </si>
  <si>
    <t>g / km</t>
  </si>
  <si>
    <t>전속도</t>
  </si>
  <si>
    <r>
      <t>NOx</t>
    </r>
    <r>
      <rPr>
        <vertAlign val="subscript"/>
        <sz val="11"/>
        <rFont val="돋움"/>
        <family val="3"/>
        <charset val="129"/>
      </rPr>
      <t>lim</t>
    </r>
  </si>
  <si>
    <t>8) 질소산화물(NOx) 소요환기량</t>
  </si>
  <si>
    <r>
      <t>m</t>
    </r>
    <r>
      <rPr>
        <vertAlign val="superscript"/>
        <sz val="11"/>
        <rFont val="돋움"/>
        <family val="3"/>
        <charset val="129"/>
      </rPr>
      <t>2</t>
    </r>
  </si>
  <si>
    <t>대형차혼입율</t>
  </si>
  <si>
    <t>터널단면적(Ar)</t>
  </si>
  <si>
    <t>터널대표직경(Dr)</t>
  </si>
  <si>
    <t>m</t>
  </si>
  <si>
    <t>자연풍속(일방)</t>
  </si>
  <si>
    <t>m/sec</t>
  </si>
  <si>
    <t>입구손실계수</t>
  </si>
  <si>
    <t>마찰손실계수</t>
  </si>
  <si>
    <t>공기밀도</t>
  </si>
  <si>
    <t>교통량(대/시)</t>
  </si>
  <si>
    <t>자동차수(대)</t>
  </si>
  <si>
    <t>주행속도(m/sec)</t>
  </si>
  <si>
    <t>K</t>
  </si>
  <si>
    <t>차도내풍속 Vr*</t>
  </si>
  <si>
    <t>자연환기량</t>
  </si>
  <si>
    <t>소요환기량(매연)</t>
  </si>
  <si>
    <t>소요환기량(CO)</t>
  </si>
  <si>
    <t>주행속도(Km/h)</t>
  </si>
  <si>
    <t>주행속도(m/sec,Vt)</t>
  </si>
  <si>
    <t>소요환기량(Qtreq)</t>
  </si>
  <si>
    <t>차도내풍속(Vr)</t>
  </si>
  <si>
    <t>자연풍속(Un)</t>
  </si>
  <si>
    <t>설계시간교통량(대/시)</t>
  </si>
  <si>
    <t>터널길이(Lr)</t>
  </si>
  <si>
    <t>공기밀도( ρ )</t>
  </si>
  <si>
    <t>터널입구손실 ( ξ )</t>
  </si>
  <si>
    <t>터널마찰손실계수 (λ)</t>
  </si>
  <si>
    <t>등가저항면적(Ae)</t>
  </si>
  <si>
    <t>젯트팬면적(Aj)</t>
  </si>
  <si>
    <t>젯트팬토출속도(Vj)</t>
  </si>
  <si>
    <t>터널내자동차수(n)</t>
  </si>
  <si>
    <t>2. 방재용젯트팬수</t>
  </si>
  <si>
    <t>방재시차도내풍속(Vr)</t>
  </si>
  <si>
    <t>방재시 터널내에 존재하는 자동차대수</t>
  </si>
  <si>
    <t>a = (1+ξ+λ*Lr/Dr)*ρ/2</t>
  </si>
  <si>
    <t>b = ρ/2 * Ae/Ar *n (Vt &lt; Vr이면 "-" )</t>
  </si>
  <si>
    <t>A = a -b</t>
  </si>
  <si>
    <t>터널실제풍량(Qr*)</t>
  </si>
  <si>
    <t>pcu/hr</t>
    <phoneticPr fontId="11" type="noConversion"/>
  </si>
  <si>
    <t>1. 환기량산출 설계조건</t>
    <phoneticPr fontId="11" type="noConversion"/>
  </si>
  <si>
    <t>3. 일산화탄소(CO)에 대한 소요환기량</t>
    <phoneticPr fontId="11" type="noConversion"/>
  </si>
  <si>
    <t>4. 질소산화물(NOx)에 대한 소요환기량</t>
    <phoneticPr fontId="11" type="noConversion"/>
  </si>
  <si>
    <t>방향</t>
    <phoneticPr fontId="11" type="noConversion"/>
  </si>
  <si>
    <t>소 형 트 럭</t>
    <phoneticPr fontId="11" type="noConversion"/>
  </si>
  <si>
    <t>소 형 버 스</t>
    <phoneticPr fontId="11" type="noConversion"/>
  </si>
  <si>
    <t>중 형 트 럭</t>
    <phoneticPr fontId="11" type="noConversion"/>
  </si>
  <si>
    <t>대 형 버 스</t>
    <phoneticPr fontId="11" type="noConversion"/>
  </si>
  <si>
    <t>대 형 트 럭</t>
    <phoneticPr fontId="11" type="noConversion"/>
  </si>
  <si>
    <t>특 수 트 럭</t>
    <phoneticPr fontId="11" type="noConversion"/>
  </si>
  <si>
    <t>승   용   차</t>
    <phoneticPr fontId="11" type="noConversion"/>
  </si>
  <si>
    <t>[g / km ]</t>
    <phoneticPr fontId="11" type="noConversion"/>
  </si>
  <si>
    <t>방향</t>
    <phoneticPr fontId="11" type="noConversion"/>
  </si>
  <si>
    <t>소 형 트 럭</t>
    <phoneticPr fontId="11" type="noConversion"/>
  </si>
  <si>
    <t>중 형 트 럭</t>
    <phoneticPr fontId="11" type="noConversion"/>
  </si>
  <si>
    <t>대 형 버 스</t>
    <phoneticPr fontId="11" type="noConversion"/>
  </si>
  <si>
    <t>대 형 트 럭</t>
    <phoneticPr fontId="11" type="noConversion"/>
  </si>
  <si>
    <t>특 수 트 럭</t>
    <phoneticPr fontId="11" type="noConversion"/>
  </si>
  <si>
    <t>소 형 버 스</t>
    <phoneticPr fontId="11" type="noConversion"/>
  </si>
  <si>
    <t>승   용   차</t>
    <phoneticPr fontId="11" type="noConversion"/>
  </si>
  <si>
    <t>년</t>
    <phoneticPr fontId="11" type="noConversion"/>
  </si>
  <si>
    <t xml:space="preserve">    범례 : No Law = 1, EEC 49+24 =2, EEC R 49+24 EEC=3, 88/77=4</t>
    <phoneticPr fontId="11" type="noConversion"/>
  </si>
  <si>
    <t xml:space="preserve">             USTransient 88=5, US Transient 91=6, Us Transient 94=7</t>
    <phoneticPr fontId="11" type="noConversion"/>
  </si>
  <si>
    <t xml:space="preserve">   최대교통량(Imax)</t>
    <phoneticPr fontId="11" type="noConversion"/>
  </si>
  <si>
    <r>
      <t>실제속도(Vr*=-B+√(B</t>
    </r>
    <r>
      <rPr>
        <b/>
        <vertAlign val="superscript"/>
        <sz val="11"/>
        <rFont val="굴림"/>
        <family val="3"/>
        <charset val="129"/>
      </rPr>
      <t>2</t>
    </r>
    <r>
      <rPr>
        <b/>
        <sz val="11"/>
        <rFont val="굴림"/>
        <family val="3"/>
        <charset val="129"/>
      </rPr>
      <t>-4AC)/(2A))</t>
    </r>
  </si>
  <si>
    <r>
      <t>√(B</t>
    </r>
    <r>
      <rPr>
        <vertAlign val="superscript"/>
        <sz val="11"/>
        <rFont val="굴림"/>
        <family val="3"/>
        <charset val="129"/>
      </rPr>
      <t>2</t>
    </r>
    <r>
      <rPr>
        <sz val="11"/>
        <rFont val="굴림"/>
        <family val="3"/>
        <charset val="129"/>
      </rPr>
      <t>-4*A*C)</t>
    </r>
  </si>
  <si>
    <r>
      <t>ΔPr = (1+ξ+λ*Lr/Dr)*ρ/2 *Vr</t>
    </r>
    <r>
      <rPr>
        <vertAlign val="superscript"/>
        <sz val="11"/>
        <rFont val="굴림"/>
        <family val="3"/>
        <charset val="129"/>
      </rPr>
      <t>2</t>
    </r>
    <phoneticPr fontId="11" type="noConversion"/>
  </si>
  <si>
    <r>
      <t>ΔPm=(1+ξ+λ*Lr/Dr)*ρ/2 *Vn</t>
    </r>
    <r>
      <rPr>
        <vertAlign val="superscript"/>
        <sz val="11"/>
        <rFont val="굴림"/>
        <family val="3"/>
        <charset val="129"/>
      </rPr>
      <t>2</t>
    </r>
    <phoneticPr fontId="11" type="noConversion"/>
  </si>
  <si>
    <r>
      <t>ΔPt =ρ/2*Ae/Ar*n*(Vt-Vr)</t>
    </r>
    <r>
      <rPr>
        <vertAlign val="superscript"/>
        <sz val="11"/>
        <rFont val="굴림"/>
        <family val="3"/>
        <charset val="129"/>
      </rPr>
      <t xml:space="preserve">2 </t>
    </r>
    <r>
      <rPr>
        <sz val="11"/>
        <rFont val="굴림"/>
        <family val="3"/>
        <charset val="129"/>
      </rPr>
      <t xml:space="preserve"> (Vt&gt;Vr)</t>
    </r>
    <phoneticPr fontId="11" type="noConversion"/>
  </si>
  <si>
    <t xml:space="preserve">ΔPq = Pr + Pm - Pt </t>
    <phoneticPr fontId="11" type="noConversion"/>
  </si>
  <si>
    <r>
      <t xml:space="preserve">       -ρ/2*Ae/Ar*n*(Vr-Vt)</t>
    </r>
    <r>
      <rPr>
        <vertAlign val="superscript"/>
        <sz val="11"/>
        <rFont val="굴림"/>
        <family val="3"/>
        <charset val="129"/>
      </rPr>
      <t xml:space="preserve">2 </t>
    </r>
    <r>
      <rPr>
        <sz val="11"/>
        <rFont val="굴림"/>
        <family val="3"/>
        <charset val="129"/>
      </rPr>
      <t xml:space="preserve"> (Vt&lt;Vr)</t>
    </r>
    <phoneticPr fontId="11" type="noConversion"/>
  </si>
  <si>
    <r>
      <t xml:space="preserve">ΔPt = -ρ/2 * Ae/Ar *n * Vr </t>
    </r>
    <r>
      <rPr>
        <vertAlign val="superscript"/>
        <sz val="11"/>
        <rFont val="굴림"/>
        <family val="3"/>
        <charset val="129"/>
      </rPr>
      <t>2 ,</t>
    </r>
    <r>
      <rPr>
        <sz val="11"/>
        <rFont val="굴림"/>
        <family val="3"/>
        <charset val="129"/>
      </rPr>
      <t xml:space="preserve"> </t>
    </r>
    <phoneticPr fontId="11" type="noConversion"/>
  </si>
  <si>
    <t>Jet Fan(Φ)</t>
    <phoneticPr fontId="11" type="noConversion"/>
  </si>
  <si>
    <t xml:space="preserve">    n = N * L / (Vt*1000) + N * 3/60</t>
    <phoneticPr fontId="11" type="noConversion"/>
  </si>
  <si>
    <t xml:space="preserve"> ◈ 서비스수준 </t>
    <phoneticPr fontId="11" type="noConversion"/>
  </si>
  <si>
    <t xml:space="preserve"> ※ 교통환기력 계산을 위한 도표</t>
    <phoneticPr fontId="11" type="noConversion"/>
  </si>
  <si>
    <t xml:space="preserve"> ◈ 교통량적용년도</t>
    <phoneticPr fontId="11" type="noConversion"/>
  </si>
  <si>
    <t>1. 2 젯트팬환기방식</t>
    <phoneticPr fontId="11" type="noConversion"/>
  </si>
  <si>
    <t>1.3 젯트팬환기방식</t>
    <phoneticPr fontId="11" type="noConversion"/>
  </si>
  <si>
    <t>구              분</t>
    <phoneticPr fontId="11" type="noConversion"/>
  </si>
  <si>
    <t xml:space="preserve"> </t>
    <phoneticPr fontId="11" type="noConversion"/>
  </si>
  <si>
    <t>매연 (Smoke)</t>
    <phoneticPr fontId="11" type="noConversion"/>
  </si>
  <si>
    <t>일산화탄소 (CO)</t>
    <phoneticPr fontId="11" type="noConversion"/>
  </si>
  <si>
    <t>질소산화물 (NOx)</t>
    <phoneticPr fontId="11" type="noConversion"/>
  </si>
  <si>
    <t>소요젯트팬수 (Z)</t>
    <phoneticPr fontId="11" type="noConversion"/>
  </si>
  <si>
    <t>적용수량 (Z)대</t>
    <phoneticPr fontId="11" type="noConversion"/>
  </si>
  <si>
    <t>1.2 젯트팬환기방식</t>
    <phoneticPr fontId="11" type="noConversion"/>
  </si>
  <si>
    <t>Jet Fan</t>
    <phoneticPr fontId="11" type="noConversion"/>
  </si>
  <si>
    <t>구       분</t>
    <phoneticPr fontId="11" type="noConversion"/>
  </si>
  <si>
    <t>▶ 젯트팬 설치간격 ;</t>
    <phoneticPr fontId="4" type="noConversion"/>
  </si>
  <si>
    <t>m ◀</t>
    <phoneticPr fontId="4" type="noConversion"/>
  </si>
  <si>
    <t>한도공 산출방식 환산</t>
    <phoneticPr fontId="11" type="noConversion"/>
  </si>
  <si>
    <t>자동차등가저항면적(Ae)</t>
    <phoneticPr fontId="11" type="noConversion"/>
  </si>
  <si>
    <t>교통량(PCU/km,lane)</t>
    <phoneticPr fontId="11" type="noConversion"/>
  </si>
  <si>
    <t>차량대수(대/km,lane)</t>
    <phoneticPr fontId="11" type="noConversion"/>
  </si>
  <si>
    <t>대/km,lane</t>
    <phoneticPr fontId="11" type="noConversion"/>
  </si>
  <si>
    <t>대/hr,lane</t>
    <phoneticPr fontId="11" type="noConversion"/>
  </si>
  <si>
    <t xml:space="preserve"> 나. 주행속도별 각차종의 통행 차량수 [대 /km, lane]</t>
    <phoneticPr fontId="11" type="noConversion"/>
  </si>
  <si>
    <t>차량속도(km/h)</t>
    <phoneticPr fontId="11" type="noConversion"/>
  </si>
  <si>
    <t>(PCU/km, lane)</t>
    <phoneticPr fontId="11" type="noConversion"/>
  </si>
  <si>
    <t xml:space="preserve"> 한도공 산출방식 환산</t>
    <phoneticPr fontId="11" type="noConversion"/>
  </si>
  <si>
    <t xml:space="preserve">                          구 분( km/h )</t>
    <phoneticPr fontId="11" type="noConversion"/>
  </si>
  <si>
    <t>(기준년도:</t>
    <phoneticPr fontId="11" type="noConversion"/>
  </si>
  <si>
    <t>분류효율 (η)</t>
    <phoneticPr fontId="4" type="noConversion"/>
  </si>
  <si>
    <t>필요승압력</t>
    <phoneticPr fontId="11" type="noConversion"/>
  </si>
  <si>
    <t>한도공 설계기준</t>
    <phoneticPr fontId="11" type="noConversion"/>
  </si>
  <si>
    <t>추정교통량</t>
    <phoneticPr fontId="11" type="noConversion"/>
  </si>
  <si>
    <t>대형차혼입율</t>
    <phoneticPr fontId="11" type="noConversion"/>
  </si>
  <si>
    <t>소형버스</t>
    <phoneticPr fontId="11" type="noConversion"/>
  </si>
  <si>
    <t>소형트럭</t>
    <phoneticPr fontId="11" type="noConversion"/>
  </si>
  <si>
    <t>대형트럭</t>
    <phoneticPr fontId="11" type="noConversion"/>
  </si>
  <si>
    <t>특수트럭</t>
    <phoneticPr fontId="11" type="noConversion"/>
  </si>
  <si>
    <t>혼입율</t>
    <phoneticPr fontId="11" type="noConversion"/>
  </si>
  <si>
    <t>120km : 0.1</t>
    <phoneticPr fontId="11" type="noConversion"/>
  </si>
  <si>
    <t>100km : 0.2</t>
    <phoneticPr fontId="11" type="noConversion"/>
  </si>
  <si>
    <t>80km : 0.3</t>
    <phoneticPr fontId="11" type="noConversion"/>
  </si>
  <si>
    <t>서비스수준</t>
    <phoneticPr fontId="11" type="noConversion"/>
  </si>
  <si>
    <t xml:space="preserve"> ◈ 설계속도(V)  = </t>
    <phoneticPr fontId="11" type="noConversion"/>
  </si>
  <si>
    <t>대/시</t>
    <phoneticPr fontId="11" type="noConversion"/>
  </si>
  <si>
    <r>
      <t>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/s</t>
    </r>
    <phoneticPr fontId="11" type="noConversion"/>
  </si>
  <si>
    <t>노란색</t>
    <phoneticPr fontId="11" type="noConversion"/>
  </si>
  <si>
    <t>만 입력</t>
    <phoneticPr fontId="11" type="noConversion"/>
  </si>
  <si>
    <t>방재시</t>
    <phoneticPr fontId="11" type="noConversion"/>
  </si>
  <si>
    <t>용량적용</t>
    <phoneticPr fontId="4" type="noConversion"/>
  </si>
  <si>
    <t>용량적용시(방재계산)</t>
    <phoneticPr fontId="11" type="noConversion"/>
  </si>
  <si>
    <t>대</t>
    <phoneticPr fontId="4" type="noConversion"/>
  </si>
  <si>
    <t>매연</t>
    <phoneticPr fontId="4" type="noConversion"/>
  </si>
  <si>
    <t>CO</t>
    <phoneticPr fontId="4" type="noConversion"/>
  </si>
  <si>
    <t>NOx</t>
    <phoneticPr fontId="4" type="noConversion"/>
  </si>
  <si>
    <t>방재</t>
    <phoneticPr fontId="4" type="noConversion"/>
  </si>
  <si>
    <t>젯트팬방식</t>
    <phoneticPr fontId="4" type="noConversion"/>
  </si>
  <si>
    <t>km/h</t>
    <phoneticPr fontId="4" type="noConversion"/>
  </si>
  <si>
    <t>환기기</t>
    <phoneticPr fontId="4" type="noConversion"/>
  </si>
  <si>
    <t xml:space="preserve">예비용젯트팬 수량 : </t>
    <phoneticPr fontId="4" type="noConversion"/>
  </si>
  <si>
    <t>터널내 풍속 :</t>
    <phoneticPr fontId="4" type="noConversion"/>
  </si>
  <si>
    <t>1.1 젯트팬환기방식</t>
    <phoneticPr fontId="4" type="noConversion"/>
  </si>
  <si>
    <t>최대중량(ton)</t>
    <phoneticPr fontId="11" type="noConversion"/>
  </si>
  <si>
    <t>적용중량(ton)</t>
    <phoneticPr fontId="11" type="noConversion"/>
  </si>
  <si>
    <t>터널내풍속</t>
    <phoneticPr fontId="11" type="noConversion"/>
  </si>
  <si>
    <t>2.1 제트팬 가동조건</t>
    <phoneticPr fontId="4" type="noConversion"/>
  </si>
  <si>
    <t>매연 농도비</t>
    <phoneticPr fontId="4" type="noConversion"/>
  </si>
  <si>
    <t>일산화탄소(CO) 농도비</t>
    <phoneticPr fontId="4" type="noConversion"/>
  </si>
  <si>
    <t>질소산화물(NOx) 농도비</t>
    <phoneticPr fontId="4" type="noConversion"/>
  </si>
  <si>
    <t>매연</t>
    <phoneticPr fontId="11" type="noConversion"/>
  </si>
  <si>
    <t>CO</t>
    <phoneticPr fontId="11" type="noConversion"/>
  </si>
  <si>
    <t>Nox</t>
    <phoneticPr fontId="11" type="noConversion"/>
  </si>
  <si>
    <t>소요환기량</t>
    <phoneticPr fontId="11" type="noConversion"/>
  </si>
  <si>
    <t>매연</t>
    <phoneticPr fontId="11" type="noConversion"/>
  </si>
  <si>
    <t>CO</t>
    <phoneticPr fontId="11" type="noConversion"/>
  </si>
  <si>
    <t>Nox</t>
    <phoneticPr fontId="11" type="noConversion"/>
  </si>
  <si>
    <t>소요환기량</t>
    <phoneticPr fontId="11" type="noConversion"/>
  </si>
  <si>
    <t>CO</t>
    <phoneticPr fontId="11" type="noConversion"/>
  </si>
  <si>
    <t>NOx</t>
    <phoneticPr fontId="11" type="noConversion"/>
  </si>
  <si>
    <t>매연</t>
    <phoneticPr fontId="11" type="noConversion"/>
  </si>
  <si>
    <t>CO</t>
    <phoneticPr fontId="11" type="noConversion"/>
  </si>
  <si>
    <t>NOx</t>
    <phoneticPr fontId="11" type="noConversion"/>
  </si>
  <si>
    <t>방재</t>
    <phoneticPr fontId="11" type="noConversion"/>
  </si>
  <si>
    <t>방재</t>
    <phoneticPr fontId="11" type="noConversion"/>
  </si>
  <si>
    <t>매연에 의한 환기기</t>
    <phoneticPr fontId="4" type="noConversion"/>
  </si>
  <si>
    <t>일산화탄소(CO)에 의한 환기기</t>
    <phoneticPr fontId="4" type="noConversion"/>
  </si>
  <si>
    <t>질소산화물(NOx)에 의한 환기기</t>
    <phoneticPr fontId="4" type="noConversion"/>
  </si>
  <si>
    <t>방재용 제트팬 수량</t>
    <phoneticPr fontId="4" type="noConversion"/>
  </si>
  <si>
    <t>c= ρ/2*Vj*2*Aj/Ar*η</t>
    <phoneticPr fontId="4" type="noConversion"/>
  </si>
  <si>
    <t>B = 2*b*Vt + c *Z</t>
    <phoneticPr fontId="4" type="noConversion"/>
  </si>
  <si>
    <r>
      <t>C = a*Vn</t>
    </r>
    <r>
      <rPr>
        <vertAlign val="superscript"/>
        <sz val="11"/>
        <rFont val="굴림"/>
        <family val="3"/>
        <charset val="129"/>
      </rPr>
      <t>2</t>
    </r>
    <r>
      <rPr>
        <sz val="11"/>
        <rFont val="굴림"/>
        <family val="3"/>
        <charset val="129"/>
      </rPr>
      <t xml:space="preserve"> - b*Vt</t>
    </r>
    <r>
      <rPr>
        <vertAlign val="superscript"/>
        <sz val="11"/>
        <rFont val="굴림"/>
        <family val="3"/>
        <charset val="129"/>
      </rPr>
      <t xml:space="preserve">2 </t>
    </r>
    <r>
      <rPr>
        <sz val="11"/>
        <rFont val="굴림"/>
        <family val="3"/>
        <charset val="129"/>
      </rPr>
      <t xml:space="preserve"> - c*Vj*Z</t>
    </r>
    <phoneticPr fontId="4" type="noConversion"/>
  </si>
  <si>
    <t>매연 배출량(g/s)</t>
    <phoneticPr fontId="4" type="noConversion"/>
  </si>
  <si>
    <t>일산화탄소(CO) 배출량(g/s)</t>
    <phoneticPr fontId="4" type="noConversion"/>
  </si>
  <si>
    <t>일산화탄소(CO)에 의한 환기량</t>
    <phoneticPr fontId="4" type="noConversion"/>
  </si>
  <si>
    <t>질소산화물(NOx)에 의한 환기량</t>
    <phoneticPr fontId="4" type="noConversion"/>
  </si>
  <si>
    <t>소요환기량</t>
    <phoneticPr fontId="4" type="noConversion"/>
  </si>
  <si>
    <t>구              분</t>
    <phoneticPr fontId="11" type="noConversion"/>
  </si>
  <si>
    <t xml:space="preserve"> </t>
    <phoneticPr fontId="11" type="noConversion"/>
  </si>
  <si>
    <t>매연에 의한 환기기</t>
    <phoneticPr fontId="4" type="noConversion"/>
  </si>
  <si>
    <t>일산화탄소(CO)에 의한 환기기</t>
    <phoneticPr fontId="4" type="noConversion"/>
  </si>
  <si>
    <t>환기시 가동대수(Z)</t>
    <phoneticPr fontId="4" type="noConversion"/>
  </si>
  <si>
    <t>질소산화물(NOx) 배출량(g/s)</t>
    <phoneticPr fontId="4" type="noConversion"/>
  </si>
  <si>
    <t>매연에 의한 환기량</t>
    <phoneticPr fontId="4" type="noConversion"/>
  </si>
  <si>
    <t>B = 2*b*Vt + c *Z</t>
    <phoneticPr fontId="4" type="noConversion"/>
  </si>
  <si>
    <t>보통버스</t>
    <phoneticPr fontId="11" type="noConversion"/>
  </si>
  <si>
    <t>보통트럭</t>
    <phoneticPr fontId="11" type="noConversion"/>
  </si>
  <si>
    <t>휘발유</t>
    <phoneticPr fontId="11" type="noConversion"/>
  </si>
  <si>
    <t>경유</t>
    <phoneticPr fontId="11" type="noConversion"/>
  </si>
  <si>
    <t xml:space="preserve">       2009년 1월1일 환경부</t>
    <phoneticPr fontId="11" type="noConversion"/>
  </si>
  <si>
    <t>V=10km/h</t>
    <phoneticPr fontId="11" type="noConversion"/>
  </si>
  <si>
    <t>V=50km/h</t>
    <phoneticPr fontId="11" type="noConversion"/>
  </si>
  <si>
    <t>매연 배출량 허용기준</t>
    <phoneticPr fontId="11" type="noConversion"/>
  </si>
  <si>
    <t>% (V =</t>
    <phoneticPr fontId="11" type="noConversion"/>
  </si>
  <si>
    <t>감소계수</t>
    <phoneticPr fontId="11" type="noConversion"/>
  </si>
  <si>
    <t>승용차</t>
    <phoneticPr fontId="11" type="noConversion"/>
  </si>
  <si>
    <t>승 용 차</t>
    <phoneticPr fontId="11" type="noConversion"/>
  </si>
  <si>
    <t>버 스</t>
    <phoneticPr fontId="11" type="noConversion"/>
  </si>
  <si>
    <t>트 럭</t>
    <phoneticPr fontId="11" type="noConversion"/>
  </si>
  <si>
    <t>기준배출량</t>
    <phoneticPr fontId="11" type="noConversion"/>
  </si>
  <si>
    <t>8) 차령 및 상대주행거리(REM)에 따른 연도보정계수</t>
    <phoneticPr fontId="11" type="noConversion"/>
  </si>
  <si>
    <t>차령</t>
    <phoneticPr fontId="27" type="noConversion"/>
  </si>
  <si>
    <t>구성비</t>
    <phoneticPr fontId="27" type="noConversion"/>
  </si>
  <si>
    <t>주행거리비</t>
    <phoneticPr fontId="27" type="noConversion"/>
  </si>
  <si>
    <t>매연보정</t>
    <phoneticPr fontId="27" type="noConversion"/>
  </si>
  <si>
    <t xml:space="preserve"> </t>
    <phoneticPr fontId="27" type="noConversion"/>
  </si>
  <si>
    <t>속도(km/h)</t>
    <phoneticPr fontId="11" type="noConversion"/>
  </si>
  <si>
    <t>속도(km/h)</t>
    <phoneticPr fontId="11" type="noConversion"/>
  </si>
  <si>
    <t>합계</t>
    <phoneticPr fontId="11" type="noConversion"/>
  </si>
  <si>
    <t>구 분</t>
    <phoneticPr fontId="11" type="noConversion"/>
  </si>
  <si>
    <t>1구간</t>
    <phoneticPr fontId="11" type="noConversion"/>
  </si>
  <si>
    <t>2구간</t>
    <phoneticPr fontId="11" type="noConversion"/>
  </si>
  <si>
    <t>구간</t>
    <phoneticPr fontId="11" type="noConversion"/>
  </si>
  <si>
    <t>속 도 (km/h)</t>
    <phoneticPr fontId="11" type="noConversion"/>
  </si>
  <si>
    <t>9) 매연의 주행속도별 비차량 배출분진의 배출량</t>
    <phoneticPr fontId="11" type="noConversion"/>
  </si>
  <si>
    <t>11) 매연(smoke)의 소요환기량</t>
    <phoneticPr fontId="11" type="noConversion"/>
  </si>
  <si>
    <t>3구간</t>
    <phoneticPr fontId="11" type="noConversion"/>
  </si>
  <si>
    <t>4구간</t>
    <phoneticPr fontId="11" type="noConversion"/>
  </si>
  <si>
    <t>5구간</t>
    <phoneticPr fontId="11" type="noConversion"/>
  </si>
  <si>
    <t>버 스</t>
    <phoneticPr fontId="11" type="noConversion"/>
  </si>
  <si>
    <t>트 럭</t>
    <phoneticPr fontId="11" type="noConversion"/>
  </si>
  <si>
    <t>차령보정</t>
    <phoneticPr fontId="27" type="noConversion"/>
  </si>
  <si>
    <t>합 계</t>
    <phoneticPr fontId="11" type="noConversion"/>
  </si>
  <si>
    <t>차령보정</t>
    <phoneticPr fontId="11" type="noConversion"/>
  </si>
  <si>
    <t>CO보정계수</t>
    <phoneticPr fontId="11" type="noConversion"/>
  </si>
  <si>
    <t>(휘발유)</t>
    <phoneticPr fontId="27" type="noConversion"/>
  </si>
  <si>
    <t>(경유)</t>
    <phoneticPr fontId="11" type="noConversion"/>
  </si>
  <si>
    <t>Nox보정계수</t>
    <phoneticPr fontId="11" type="noConversion"/>
  </si>
  <si>
    <t>NOx 배출량 허용기준</t>
    <phoneticPr fontId="11" type="noConversion"/>
  </si>
  <si>
    <t>차 종 구 분</t>
    <phoneticPr fontId="11" type="noConversion"/>
  </si>
  <si>
    <t>CO 배출량 허용기준</t>
    <phoneticPr fontId="11" type="noConversion"/>
  </si>
  <si>
    <t>3구간</t>
    <phoneticPr fontId="11" type="noConversion"/>
  </si>
  <si>
    <t>4구간</t>
    <phoneticPr fontId="11" type="noConversion"/>
  </si>
  <si>
    <t>5구간</t>
    <phoneticPr fontId="11" type="noConversion"/>
  </si>
  <si>
    <t xml:space="preserve"> 다. 터널내 차량수 [PCU]</t>
    <phoneticPr fontId="11" type="noConversion"/>
  </si>
  <si>
    <t>n  : 교통량 [ PCU대/km lane ]</t>
    <phoneticPr fontId="11" type="noConversion"/>
  </si>
  <si>
    <t>L  : 터널길이 [ km ]</t>
    <phoneticPr fontId="11" type="noConversion"/>
  </si>
  <si>
    <t>amb : 외부농도 [ ppm ]</t>
    <phoneticPr fontId="11" type="noConversion"/>
  </si>
  <si>
    <t>V=20 ~ 40km/h</t>
    <phoneticPr fontId="11" type="noConversion"/>
  </si>
  <si>
    <t xml:space="preserve"> 속  도</t>
    <phoneticPr fontId="11" type="noConversion"/>
  </si>
  <si>
    <t>구     분</t>
    <phoneticPr fontId="11" type="noConversion"/>
  </si>
  <si>
    <t>구      분</t>
    <phoneticPr fontId="11" type="noConversion"/>
  </si>
  <si>
    <t>속 도 (km/h)</t>
    <phoneticPr fontId="11" type="noConversion"/>
  </si>
  <si>
    <t>속 도 ( km/h )</t>
    <phoneticPr fontId="11" type="noConversion"/>
  </si>
  <si>
    <t>[ g / km ]</t>
    <phoneticPr fontId="11" type="noConversion"/>
  </si>
  <si>
    <t>[ g/kw*h ]</t>
    <phoneticPr fontId="11" type="noConversion"/>
  </si>
  <si>
    <t>고효율 여부</t>
    <phoneticPr fontId="4" type="noConversion"/>
  </si>
  <si>
    <t>구 간</t>
    <phoneticPr fontId="4" type="noConversion"/>
  </si>
  <si>
    <t>대 형</t>
    <phoneticPr fontId="11" type="noConversion"/>
  </si>
  <si>
    <t>소 형</t>
    <phoneticPr fontId="11" type="noConversion"/>
  </si>
  <si>
    <t>차 종</t>
    <phoneticPr fontId="11" type="noConversion"/>
  </si>
  <si>
    <t>A</t>
    <phoneticPr fontId="11" type="noConversion"/>
  </si>
  <si>
    <t>B</t>
    <phoneticPr fontId="11" type="noConversion"/>
  </si>
  <si>
    <t>C</t>
    <phoneticPr fontId="11" type="noConversion"/>
  </si>
  <si>
    <t>D</t>
    <phoneticPr fontId="11" type="noConversion"/>
  </si>
  <si>
    <t>E</t>
    <phoneticPr fontId="11" type="noConversion"/>
  </si>
  <si>
    <t>F</t>
    <phoneticPr fontId="11" type="noConversion"/>
  </si>
  <si>
    <t>(km/h )</t>
    <phoneticPr fontId="11" type="noConversion"/>
  </si>
  <si>
    <t>속도 ( km/h )</t>
    <phoneticPr fontId="11" type="noConversion"/>
  </si>
  <si>
    <t>휘발유승용차</t>
    <phoneticPr fontId="11" type="noConversion"/>
  </si>
  <si>
    <t>디젤승용차</t>
    <phoneticPr fontId="11" type="noConversion"/>
  </si>
  <si>
    <r>
      <t>ΔPj = Kj*ρ/2*Vj</t>
    </r>
    <r>
      <rPr>
        <vertAlign val="superscript"/>
        <sz val="11"/>
        <rFont val="굴림"/>
        <family val="3"/>
        <charset val="129"/>
      </rPr>
      <t>2</t>
    </r>
    <r>
      <rPr>
        <sz val="11"/>
        <rFont val="굴림"/>
        <family val="3"/>
        <charset val="129"/>
      </rPr>
      <t>*Aj/Ar*(1-Vr/Vj)*η</t>
    </r>
    <phoneticPr fontId="11" type="noConversion"/>
  </si>
  <si>
    <t>제트팬 승압계수(Kj)</t>
    <phoneticPr fontId="4" type="noConversion"/>
  </si>
  <si>
    <t>8구간</t>
    <phoneticPr fontId="11" type="noConversion"/>
  </si>
  <si>
    <t>6구간</t>
    <phoneticPr fontId="11" type="noConversion"/>
  </si>
  <si>
    <t>7구간</t>
    <phoneticPr fontId="11" type="noConversion"/>
  </si>
  <si>
    <t>8구간</t>
    <phoneticPr fontId="11" type="noConversion"/>
  </si>
  <si>
    <t>9구간</t>
    <phoneticPr fontId="11" type="noConversion"/>
  </si>
  <si>
    <t>10구간</t>
    <phoneticPr fontId="11" type="noConversion"/>
  </si>
  <si>
    <t>6구간</t>
    <phoneticPr fontId="11" type="noConversion"/>
  </si>
  <si>
    <t>7구간</t>
    <phoneticPr fontId="11" type="noConversion"/>
  </si>
  <si>
    <t>8구간</t>
    <phoneticPr fontId="11" type="noConversion"/>
  </si>
  <si>
    <t>9구간</t>
    <phoneticPr fontId="11" type="noConversion"/>
  </si>
  <si>
    <t>10구간</t>
    <phoneticPr fontId="11" type="noConversion"/>
  </si>
  <si>
    <t>6구간</t>
    <phoneticPr fontId="11" type="noConversion"/>
  </si>
  <si>
    <t>7구간</t>
    <phoneticPr fontId="11" type="noConversion"/>
  </si>
  <si>
    <t>9구간</t>
    <phoneticPr fontId="11" type="noConversion"/>
  </si>
  <si>
    <t>10구간</t>
    <phoneticPr fontId="11" type="noConversion"/>
  </si>
  <si>
    <t>하행</t>
    <phoneticPr fontId="11" type="noConversion"/>
  </si>
  <si>
    <t>광명방향</t>
    <phoneticPr fontId="11" type="noConversion"/>
  </si>
  <si>
    <t>서울방향</t>
    <phoneticPr fontId="11" type="noConversion"/>
  </si>
  <si>
    <t>자연환기량</t>
    <phoneticPr fontId="11" type="noConversion"/>
  </si>
  <si>
    <t>구분</t>
    <phoneticPr fontId="11" type="noConversion"/>
  </si>
  <si>
    <t>승용차</t>
    <phoneticPr fontId="11" type="noConversion"/>
  </si>
  <si>
    <t>버스</t>
    <phoneticPr fontId="11" type="noConversion"/>
  </si>
  <si>
    <t>트럭</t>
    <phoneticPr fontId="11" type="noConversion"/>
  </si>
  <si>
    <t>비고</t>
    <phoneticPr fontId="11" type="noConversion"/>
  </si>
  <si>
    <t>휘발류</t>
    <phoneticPr fontId="11" type="noConversion"/>
  </si>
  <si>
    <t>경유</t>
    <phoneticPr fontId="11" type="noConversion"/>
  </si>
  <si>
    <t>소형</t>
    <phoneticPr fontId="11" type="noConversion"/>
  </si>
  <si>
    <t>대형</t>
    <phoneticPr fontId="11" type="noConversion"/>
  </si>
  <si>
    <t>중형</t>
    <phoneticPr fontId="11" type="noConversion"/>
  </si>
  <si>
    <t>특수</t>
    <phoneticPr fontId="11" type="noConversion"/>
  </si>
  <si>
    <r>
      <t>차종별 구성비[%</t>
    </r>
    <r>
      <rPr>
        <sz val="11"/>
        <rFont val="돋움"/>
        <family val="3"/>
        <charset val="129"/>
      </rPr>
      <t>]</t>
    </r>
    <phoneticPr fontId="11" type="noConversion"/>
  </si>
  <si>
    <t>차령별 상대주행거리비[REM]</t>
    <phoneticPr fontId="11" type="noConversion"/>
  </si>
  <si>
    <t>차종구성비율[%]</t>
    <phoneticPr fontId="11" type="noConversion"/>
  </si>
  <si>
    <t>EPP[%]</t>
    <phoneticPr fontId="11" type="noConversion"/>
  </si>
  <si>
    <t>승용차환산계수</t>
    <phoneticPr fontId="11" type="noConversion"/>
  </si>
  <si>
    <t>0~4</t>
    <phoneticPr fontId="11" type="noConversion"/>
  </si>
  <si>
    <t>5~9</t>
    <phoneticPr fontId="11" type="noConversion"/>
  </si>
  <si>
    <t>10~14</t>
    <phoneticPr fontId="11" type="noConversion"/>
  </si>
  <si>
    <t>차종</t>
    <phoneticPr fontId="11" type="noConversion"/>
  </si>
  <si>
    <t>년식</t>
    <phoneticPr fontId="11" type="noConversion"/>
  </si>
  <si>
    <t>구성비(%)</t>
    <phoneticPr fontId="11" type="noConversion"/>
  </si>
  <si>
    <t>A</t>
    <phoneticPr fontId="11" type="noConversion"/>
  </si>
  <si>
    <t>차령비율(%)</t>
    <phoneticPr fontId="11" type="noConversion"/>
  </si>
  <si>
    <t>B</t>
    <phoneticPr fontId="11" type="noConversion"/>
  </si>
  <si>
    <t>주행거리비율(REM,%)</t>
    <phoneticPr fontId="11" type="noConversion"/>
  </si>
  <si>
    <t>차종구성비율(%)</t>
    <phoneticPr fontId="11" type="noConversion"/>
  </si>
  <si>
    <t>C</t>
    <phoneticPr fontId="11" type="noConversion"/>
  </si>
  <si>
    <t>A×B×C</t>
    <phoneticPr fontId="11" type="noConversion"/>
  </si>
  <si>
    <t>PCU 대당 배출비율(1/PCE,%)</t>
    <phoneticPr fontId="11" type="noConversion"/>
  </si>
  <si>
    <t>EPP (%)</t>
    <phoneticPr fontId="11" type="noConversion"/>
  </si>
  <si>
    <t>D</t>
    <phoneticPr fontId="11" type="noConversion"/>
  </si>
  <si>
    <t>A×B×C×D</t>
    <phoneticPr fontId="11" type="noConversion"/>
  </si>
  <si>
    <t>휘발유    승용</t>
    <phoneticPr fontId="11" type="noConversion"/>
  </si>
  <si>
    <t>경유         승용</t>
    <phoneticPr fontId="11" type="noConversion"/>
  </si>
  <si>
    <t>버스       (소형)</t>
    <phoneticPr fontId="11" type="noConversion"/>
  </si>
  <si>
    <t>버스       (대형)</t>
    <phoneticPr fontId="11" type="noConversion"/>
  </si>
  <si>
    <t>트럭        (소형)</t>
    <phoneticPr fontId="11" type="noConversion"/>
  </si>
  <si>
    <t>트럭       (중형)</t>
    <phoneticPr fontId="11" type="noConversion"/>
  </si>
  <si>
    <t>트럭       (대형)</t>
    <phoneticPr fontId="11" type="noConversion"/>
  </si>
  <si>
    <t>트럭       (특수)</t>
    <phoneticPr fontId="11" type="noConversion"/>
  </si>
  <si>
    <t>년</t>
    <phoneticPr fontId="11" type="noConversion"/>
  </si>
  <si>
    <t>용량적용</t>
    <phoneticPr fontId="4" type="noConversion"/>
  </si>
  <si>
    <t>구              분</t>
    <phoneticPr fontId="11" type="noConversion"/>
  </si>
  <si>
    <r>
      <t>ΔPj = Kj*ρ/2*Vj</t>
    </r>
    <r>
      <rPr>
        <vertAlign val="superscript"/>
        <sz val="11"/>
        <rFont val="굴림"/>
        <family val="3"/>
        <charset val="129"/>
      </rPr>
      <t>2</t>
    </r>
    <r>
      <rPr>
        <sz val="11"/>
        <rFont val="굴림"/>
        <family val="3"/>
        <charset val="129"/>
      </rPr>
      <t>*Aj/Ar*(1-Vr/Vj)*η</t>
    </r>
    <phoneticPr fontId="11" type="noConversion"/>
  </si>
  <si>
    <t>대</t>
    <phoneticPr fontId="4" type="noConversion"/>
  </si>
  <si>
    <t>km/h</t>
    <phoneticPr fontId="4" type="noConversion"/>
  </si>
  <si>
    <t>선정</t>
    <phoneticPr fontId="4" type="noConversion"/>
  </si>
  <si>
    <t>대</t>
    <phoneticPr fontId="4" type="noConversion"/>
  </si>
  <si>
    <t>대</t>
    <phoneticPr fontId="4" type="noConversion"/>
  </si>
  <si>
    <t>km/h</t>
    <phoneticPr fontId="4" type="noConversion"/>
  </si>
  <si>
    <t>CO</t>
    <phoneticPr fontId="4" type="noConversion"/>
  </si>
  <si>
    <t>NOx</t>
    <phoneticPr fontId="4" type="noConversion"/>
  </si>
  <si>
    <t>방재</t>
    <phoneticPr fontId="4" type="noConversion"/>
  </si>
  <si>
    <t>대</t>
    <phoneticPr fontId="4" type="noConversion"/>
  </si>
  <si>
    <t>km/h</t>
    <phoneticPr fontId="4" type="noConversion"/>
  </si>
  <si>
    <t>선정</t>
    <phoneticPr fontId="4" type="noConversion"/>
  </si>
  <si>
    <t>대</t>
    <phoneticPr fontId="4" type="noConversion"/>
  </si>
  <si>
    <t>대형차통과대수</t>
    <phoneticPr fontId="11" type="noConversion"/>
  </si>
  <si>
    <t>공기치환</t>
    <phoneticPr fontId="4" type="noConversion"/>
  </si>
  <si>
    <t>터널내풍속</t>
    <phoneticPr fontId="4" type="noConversion"/>
  </si>
  <si>
    <t>3. 최소공기치환</t>
    <phoneticPr fontId="11" type="noConversion"/>
  </si>
  <si>
    <t>최소공기치환에 의한 환기기</t>
    <phoneticPr fontId="4" type="noConversion"/>
  </si>
  <si>
    <t>매연</t>
    <phoneticPr fontId="11" type="noConversion"/>
  </si>
  <si>
    <r>
      <t>q</t>
    </r>
    <r>
      <rPr>
        <vertAlign val="subscript"/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 xml:space="preserve">     [m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/h]</t>
    </r>
    <phoneticPr fontId="11" type="noConversion"/>
  </si>
  <si>
    <r>
      <t>f</t>
    </r>
    <r>
      <rPr>
        <vertAlign val="subscript"/>
        <sz val="11"/>
        <rFont val="돋움"/>
        <family val="3"/>
        <charset val="129"/>
      </rPr>
      <t>v,I</t>
    </r>
    <r>
      <rPr>
        <sz val="11"/>
        <rFont val="돋움"/>
        <family val="3"/>
        <charset val="129"/>
      </rPr>
      <t xml:space="preserve">        (경사/속도보정계수)</t>
    </r>
    <phoneticPr fontId="11" type="noConversion"/>
  </si>
  <si>
    <t>EPP</t>
    <phoneticPr fontId="11" type="noConversion"/>
  </si>
  <si>
    <r>
      <t>Q</t>
    </r>
    <r>
      <rPr>
        <vertAlign val="subscript"/>
        <sz val="11"/>
        <rFont val="돋움"/>
        <family val="3"/>
        <charset val="129"/>
      </rPr>
      <t>t</t>
    </r>
    <r>
      <rPr>
        <sz val="11"/>
        <rFont val="돋움"/>
        <family val="3"/>
        <charset val="129"/>
      </rPr>
      <t>×EPP</t>
    </r>
    <r>
      <rPr>
        <vertAlign val="subscript"/>
        <sz val="11"/>
        <rFont val="돋움"/>
        <family val="3"/>
        <charset val="129"/>
      </rPr>
      <t>t</t>
    </r>
    <phoneticPr fontId="11" type="noConversion"/>
  </si>
  <si>
    <r>
      <t>f</t>
    </r>
    <r>
      <rPr>
        <vertAlign val="subscript"/>
        <sz val="11"/>
        <rFont val="돋움"/>
        <family val="3"/>
        <charset val="129"/>
      </rPr>
      <t>h</t>
    </r>
    <r>
      <rPr>
        <sz val="11"/>
        <rFont val="돋움"/>
        <family val="3"/>
        <charset val="129"/>
      </rPr>
      <t xml:space="preserve">          (표고보정계수)</t>
    </r>
    <phoneticPr fontId="11" type="noConversion"/>
  </si>
  <si>
    <r>
      <t>f</t>
    </r>
    <r>
      <rPr>
        <vertAlign val="subscript"/>
        <sz val="11"/>
        <rFont val="돋움"/>
        <family val="3"/>
        <charset val="129"/>
      </rPr>
      <t>a</t>
    </r>
    <r>
      <rPr>
        <sz val="11"/>
        <rFont val="돋움"/>
        <family val="3"/>
        <charset val="129"/>
      </rPr>
      <t xml:space="preserve">          (차령보정계수)</t>
    </r>
    <phoneticPr fontId="11" type="noConversion"/>
  </si>
  <si>
    <t>nepm        (비차량 배출분진)</t>
    <phoneticPr fontId="11" type="noConversion"/>
  </si>
  <si>
    <t>B</t>
    <phoneticPr fontId="11" type="noConversion"/>
  </si>
  <si>
    <t>C</t>
    <phoneticPr fontId="11" type="noConversion"/>
  </si>
  <si>
    <t>D</t>
    <phoneticPr fontId="11" type="noConversion"/>
  </si>
  <si>
    <t>E</t>
    <phoneticPr fontId="11" type="noConversion"/>
  </si>
  <si>
    <t>A×B×C×D+E</t>
    <phoneticPr fontId="11" type="noConversion"/>
  </si>
  <si>
    <t xml:space="preserve"> Qt               (차종별 배출량)</t>
    <phoneticPr fontId="11" type="noConversion"/>
  </si>
  <si>
    <r>
      <t>Q</t>
    </r>
    <r>
      <rPr>
        <vertAlign val="subscript"/>
        <sz val="11"/>
        <rFont val="돋움"/>
        <family val="3"/>
        <charset val="129"/>
      </rPr>
      <t>t,aver</t>
    </r>
    <r>
      <rPr>
        <sz val="11"/>
        <rFont val="돋움"/>
        <family val="3"/>
        <charset val="129"/>
      </rPr>
      <t xml:space="preserve"> (PCU 대당평균배출량,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/h 대) = ∑Q</t>
    </r>
    <r>
      <rPr>
        <vertAlign val="subscript"/>
        <sz val="11"/>
        <rFont val="돋움"/>
        <family val="3"/>
        <charset val="129"/>
      </rPr>
      <t>t</t>
    </r>
    <r>
      <rPr>
        <sz val="11"/>
        <rFont val="돋움"/>
        <family val="3"/>
        <charset val="129"/>
      </rPr>
      <t xml:space="preserve"> × EPP</t>
    </r>
    <phoneticPr fontId="11" type="noConversion"/>
  </si>
  <si>
    <t>Qs (총 배충량</t>
    <phoneticPr fontId="11" type="noConversion"/>
  </si>
  <si>
    <r>
      <t xml:space="preserve">    Q</t>
    </r>
    <r>
      <rPr>
        <vertAlign val="subscript"/>
        <sz val="11"/>
        <rFont val="돋움"/>
        <family val="3"/>
        <charset val="129"/>
      </rPr>
      <t xml:space="preserve">T </t>
    </r>
    <r>
      <rPr>
        <sz val="11"/>
        <rFont val="돋움"/>
        <family val="3"/>
        <charset val="129"/>
      </rPr>
      <t>= Q</t>
    </r>
    <r>
      <rPr>
        <vertAlign val="subscript"/>
        <sz val="11"/>
        <rFont val="돋움"/>
        <family val="3"/>
        <charset val="129"/>
      </rPr>
      <t>aver</t>
    </r>
    <r>
      <rPr>
        <sz val="11"/>
        <rFont val="돋움"/>
        <family val="3"/>
        <charset val="129"/>
      </rPr>
      <t xml:space="preserve"> × ( 1 / 3600 ) × ( 1 / K</t>
    </r>
    <r>
      <rPr>
        <vertAlign val="subscript"/>
        <sz val="11"/>
        <rFont val="돋움"/>
        <family val="3"/>
        <charset val="129"/>
      </rPr>
      <t>lim</t>
    </r>
    <r>
      <rPr>
        <sz val="11"/>
        <rFont val="돋움"/>
        <family val="3"/>
        <charset val="129"/>
      </rPr>
      <t xml:space="preserve"> - K</t>
    </r>
    <r>
      <rPr>
        <vertAlign val="subscript"/>
        <sz val="11"/>
        <rFont val="돋움"/>
        <family val="3"/>
        <charset val="129"/>
      </rPr>
      <t>amb</t>
    </r>
    <r>
      <rPr>
        <sz val="11"/>
        <rFont val="돋움"/>
        <family val="3"/>
        <charset val="129"/>
      </rPr>
      <t xml:space="preserve"> ) × n × L × 차선수 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/s ]</t>
    </r>
    <phoneticPr fontId="11" type="noConversion"/>
  </si>
  <si>
    <r>
      <t>Q</t>
    </r>
    <r>
      <rPr>
        <vertAlign val="subscript"/>
        <sz val="11"/>
        <rFont val="돋움"/>
        <family val="3"/>
        <charset val="129"/>
      </rPr>
      <t>T</t>
    </r>
    <r>
      <rPr>
        <sz val="11"/>
        <rFont val="돋움"/>
        <family val="3"/>
        <charset val="129"/>
      </rPr>
      <t xml:space="preserve">  : 오염물질에 대한 소요환기량 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/s ]</t>
    </r>
    <phoneticPr fontId="11" type="noConversion"/>
  </si>
  <si>
    <r>
      <t>Qaver : 환산승용차대당 평균배출량 [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/h*대 ]</t>
    </r>
    <phoneticPr fontId="11" type="noConversion"/>
  </si>
  <si>
    <r>
      <t xml:space="preserve">lim </t>
    </r>
    <r>
      <rPr>
        <sz val="11"/>
        <rFont val="돋움"/>
        <family val="3"/>
        <charset val="129"/>
      </rPr>
      <t>: 설계농도 [ m</t>
    </r>
    <r>
      <rPr>
        <vertAlign val="superscript"/>
        <sz val="11"/>
        <rFont val="돋움"/>
        <family val="3"/>
        <charset val="129"/>
      </rPr>
      <t xml:space="preserve">-1 </t>
    </r>
    <r>
      <rPr>
        <sz val="11"/>
        <rFont val="돋움"/>
        <family val="3"/>
        <charset val="129"/>
      </rPr>
      <t>]</t>
    </r>
    <phoneticPr fontId="11" type="noConversion"/>
  </si>
  <si>
    <r>
      <t>amb : 외부농도 [ m</t>
    </r>
    <r>
      <rPr>
        <vertAlign val="superscript"/>
        <sz val="11"/>
        <rFont val="돋움"/>
        <family val="3"/>
        <charset val="129"/>
      </rPr>
      <t>-1</t>
    </r>
    <r>
      <rPr>
        <sz val="11"/>
        <rFont val="돋움"/>
        <family val="3"/>
        <charset val="129"/>
      </rPr>
      <t xml:space="preserve"> ]</t>
    </r>
    <phoneticPr fontId="11" type="noConversion"/>
  </si>
  <si>
    <r>
      <t xml:space="preserve"> qo</t>
    </r>
    <r>
      <rPr>
        <strike/>
        <vertAlign val="superscript"/>
        <sz val="11"/>
        <rFont val="돋움"/>
        <family val="3"/>
        <charset val="129"/>
      </rPr>
      <t>T</t>
    </r>
    <r>
      <rPr>
        <sz val="11"/>
        <rFont val="돋움"/>
        <family val="3"/>
        <charset val="129"/>
      </rPr>
      <t xml:space="preserve"> (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/h, veh)   V =</t>
    </r>
  </si>
  <si>
    <r>
      <t>[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 / h * 대 ]</t>
    </r>
    <phoneticPr fontId="11" type="noConversion"/>
  </si>
  <si>
    <r>
      <t>국도/고속도로</t>
    </r>
    <r>
      <rPr>
        <sz val="11"/>
        <rFont val="돋움"/>
        <family val="3"/>
        <charset val="129"/>
      </rPr>
      <t>:1</t>
    </r>
    <phoneticPr fontId="11" type="noConversion"/>
  </si>
  <si>
    <r>
      <t>적용 qo</t>
    </r>
    <r>
      <rPr>
        <vertAlign val="superscript"/>
        <sz val="11"/>
        <rFont val="돋움"/>
        <family val="3"/>
        <charset val="129"/>
      </rPr>
      <t>T</t>
    </r>
    <r>
      <rPr>
        <sz val="11"/>
        <rFont val="돋움"/>
        <family val="3"/>
        <charset val="129"/>
      </rPr>
      <t xml:space="preserve"> (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/h, veh)  </t>
    </r>
  </si>
  <si>
    <r>
      <t>승용차,소형버스,소형트럭</t>
    </r>
    <r>
      <rPr>
        <sz val="11"/>
        <rFont val="돋움"/>
        <family val="3"/>
        <charset val="129"/>
      </rPr>
      <t xml:space="preserve"> (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/h )</t>
    </r>
    <phoneticPr fontId="11" type="noConversion"/>
  </si>
  <si>
    <r>
      <t>대형버스,중형~특수트럭 (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/h )</t>
    </r>
    <phoneticPr fontId="11" type="noConversion"/>
  </si>
  <si>
    <r>
      <t>10) 매연의 총배출량 Qs[m</t>
    </r>
    <r>
      <rPr>
        <b/>
        <vertAlign val="superscript"/>
        <sz val="11"/>
        <rFont val="돋움"/>
        <family val="3"/>
        <charset val="129"/>
      </rPr>
      <t>2</t>
    </r>
    <r>
      <rPr>
        <b/>
        <sz val="11"/>
        <rFont val="돋움"/>
        <family val="3"/>
        <charset val="129"/>
      </rPr>
      <t>/h]</t>
    </r>
    <phoneticPr fontId="11" type="noConversion"/>
  </si>
  <si>
    <r>
      <t>K lim</t>
    </r>
    <r>
      <rPr>
        <vertAlign val="superscript"/>
        <sz val="11"/>
        <rFont val="돋움"/>
        <family val="3"/>
        <charset val="129"/>
      </rPr>
      <t>-1</t>
    </r>
    <phoneticPr fontId="11" type="noConversion"/>
  </si>
  <si>
    <r>
      <t xml:space="preserve">    Q</t>
    </r>
    <r>
      <rPr>
        <vertAlign val="subscript"/>
        <sz val="11"/>
        <rFont val="돋움"/>
        <family val="3"/>
        <charset val="129"/>
      </rPr>
      <t xml:space="preserve">co </t>
    </r>
    <r>
      <rPr>
        <sz val="11"/>
        <rFont val="돋움"/>
        <family val="3"/>
        <charset val="129"/>
      </rPr>
      <t>= Q</t>
    </r>
    <r>
      <rPr>
        <vertAlign val="subscript"/>
        <sz val="11"/>
        <rFont val="돋움"/>
        <family val="3"/>
        <charset val="129"/>
      </rPr>
      <t>aver</t>
    </r>
    <r>
      <rPr>
        <sz val="11"/>
        <rFont val="돋움"/>
        <family val="3"/>
        <charset val="129"/>
      </rPr>
      <t xml:space="preserve"> × ( 1 / 3600 ) × ( 10</t>
    </r>
    <r>
      <rPr>
        <vertAlign val="superscript"/>
        <sz val="11"/>
        <rFont val="돋움"/>
        <family val="3"/>
        <charset val="129"/>
      </rPr>
      <t>6</t>
    </r>
    <r>
      <rPr>
        <sz val="11"/>
        <rFont val="돋움"/>
        <family val="3"/>
        <charset val="129"/>
      </rPr>
      <t xml:space="preserve"> / CO</t>
    </r>
    <r>
      <rPr>
        <vertAlign val="subscript"/>
        <sz val="11"/>
        <rFont val="돋움"/>
        <family val="3"/>
        <charset val="129"/>
      </rPr>
      <t>lim</t>
    </r>
    <r>
      <rPr>
        <sz val="11"/>
        <rFont val="돋움"/>
        <family val="3"/>
        <charset val="129"/>
      </rPr>
      <t xml:space="preserve"> - CO</t>
    </r>
    <r>
      <rPr>
        <vertAlign val="subscript"/>
        <sz val="11"/>
        <rFont val="돋움"/>
        <family val="3"/>
        <charset val="129"/>
      </rPr>
      <t>amb</t>
    </r>
    <r>
      <rPr>
        <sz val="11"/>
        <rFont val="돋움"/>
        <family val="3"/>
        <charset val="129"/>
      </rPr>
      <t xml:space="preserve"> ) × n × L × 차선수 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/s ]</t>
    </r>
    <phoneticPr fontId="11" type="noConversion"/>
  </si>
  <si>
    <r>
      <t>Qco  : 오염물질에 대한 소요환기량 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/s ]</t>
    </r>
    <phoneticPr fontId="11" type="noConversion"/>
  </si>
  <si>
    <r>
      <t>Qaver : 환산승용차대당 평균배출량 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/h*대 ]</t>
    </r>
    <phoneticPr fontId="11" type="noConversion"/>
  </si>
  <si>
    <r>
      <t xml:space="preserve">lim </t>
    </r>
    <r>
      <rPr>
        <sz val="11"/>
        <rFont val="돋움"/>
        <family val="3"/>
        <charset val="129"/>
      </rPr>
      <t>: 설계농도 [ ppm ]</t>
    </r>
    <phoneticPr fontId="11" type="noConversion"/>
  </si>
  <si>
    <r>
      <t>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 / h * 대 ]</t>
    </r>
    <phoneticPr fontId="11" type="noConversion"/>
  </si>
  <si>
    <r>
      <t xml:space="preserve">        * 1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 CO = </t>
    </r>
  </si>
  <si>
    <r>
      <t>g/m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 (V =</t>
    </r>
    <phoneticPr fontId="11" type="noConversion"/>
  </si>
  <si>
    <r>
      <t>10~</t>
    </r>
    <r>
      <rPr>
        <sz val="11"/>
        <rFont val="돋움"/>
        <family val="3"/>
        <charset val="129"/>
      </rPr>
      <t>80 (km/h)</t>
    </r>
    <phoneticPr fontId="11" type="noConversion"/>
  </si>
  <si>
    <r>
      <t>Co</t>
    </r>
    <r>
      <rPr>
        <vertAlign val="subscript"/>
        <sz val="11"/>
        <rFont val="돋움"/>
        <family val="3"/>
        <charset val="129"/>
      </rPr>
      <t xml:space="preserve"> lim </t>
    </r>
    <r>
      <rPr>
        <sz val="11"/>
        <rFont val="돋움"/>
        <family val="3"/>
        <charset val="129"/>
      </rPr>
      <t>(ppm)</t>
    </r>
    <phoneticPr fontId="11" type="noConversion"/>
  </si>
  <si>
    <r>
      <t xml:space="preserve">    Q</t>
    </r>
    <r>
      <rPr>
        <vertAlign val="subscript"/>
        <sz val="11"/>
        <rFont val="돋움"/>
        <family val="3"/>
        <charset val="129"/>
      </rPr>
      <t xml:space="preserve">nox </t>
    </r>
    <r>
      <rPr>
        <sz val="11"/>
        <rFont val="돋움"/>
        <family val="3"/>
        <charset val="129"/>
      </rPr>
      <t>= Q</t>
    </r>
    <r>
      <rPr>
        <vertAlign val="subscript"/>
        <sz val="11"/>
        <rFont val="돋움"/>
        <family val="3"/>
        <charset val="129"/>
      </rPr>
      <t>aver</t>
    </r>
    <r>
      <rPr>
        <sz val="11"/>
        <rFont val="돋움"/>
        <family val="3"/>
        <charset val="129"/>
      </rPr>
      <t xml:space="preserve"> × ( 1 / 3600 ) × ( 10</t>
    </r>
    <r>
      <rPr>
        <vertAlign val="superscript"/>
        <sz val="11"/>
        <rFont val="돋움"/>
        <family val="3"/>
        <charset val="129"/>
      </rPr>
      <t>6</t>
    </r>
    <r>
      <rPr>
        <sz val="11"/>
        <rFont val="돋움"/>
        <family val="3"/>
        <charset val="129"/>
      </rPr>
      <t xml:space="preserve"> / NOx</t>
    </r>
    <r>
      <rPr>
        <vertAlign val="subscript"/>
        <sz val="11"/>
        <rFont val="돋움"/>
        <family val="3"/>
        <charset val="129"/>
      </rPr>
      <t>lim</t>
    </r>
    <r>
      <rPr>
        <sz val="11"/>
        <rFont val="돋움"/>
        <family val="3"/>
        <charset val="129"/>
      </rPr>
      <t xml:space="preserve"> - NOx</t>
    </r>
    <r>
      <rPr>
        <vertAlign val="subscript"/>
        <sz val="11"/>
        <rFont val="돋움"/>
        <family val="3"/>
        <charset val="129"/>
      </rPr>
      <t>amb</t>
    </r>
    <r>
      <rPr>
        <sz val="11"/>
        <rFont val="돋움"/>
        <family val="3"/>
        <charset val="129"/>
      </rPr>
      <t xml:space="preserve"> ) × n × L × 차선수 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/s ]</t>
    </r>
    <phoneticPr fontId="11" type="noConversion"/>
  </si>
  <si>
    <r>
      <t>Q</t>
    </r>
    <r>
      <rPr>
        <vertAlign val="subscript"/>
        <sz val="11"/>
        <rFont val="돋움"/>
        <family val="3"/>
        <charset val="129"/>
      </rPr>
      <t>NOx</t>
    </r>
    <r>
      <rPr>
        <sz val="11"/>
        <rFont val="돋움"/>
        <family val="3"/>
        <charset val="129"/>
      </rPr>
      <t xml:space="preserve">  : 오염물질에 대한 소요환기량 [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>/s ]</t>
    </r>
    <phoneticPr fontId="11" type="noConversion"/>
  </si>
  <si>
    <r>
      <t xml:space="preserve">        * 1 m</t>
    </r>
    <r>
      <rPr>
        <vertAlign val="superscript"/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 Nox = </t>
    </r>
    <phoneticPr fontId="11" type="noConversion"/>
  </si>
  <si>
    <r>
      <t>NOx</t>
    </r>
    <r>
      <rPr>
        <vertAlign val="subscript"/>
        <sz val="11"/>
        <rFont val="돋움"/>
        <family val="3"/>
        <charset val="129"/>
      </rPr>
      <t xml:space="preserve"> lim </t>
    </r>
    <r>
      <rPr>
        <sz val="11"/>
        <rFont val="돋움"/>
        <family val="3"/>
        <charset val="129"/>
      </rPr>
      <t>(ppm)</t>
    </r>
    <phoneticPr fontId="11" type="noConversion"/>
  </si>
  <si>
    <r>
      <t>터널단면적(m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)</t>
    </r>
    <phoneticPr fontId="11" type="noConversion"/>
  </si>
  <si>
    <r>
      <t>자동차의 등가저하면적</t>
    </r>
    <r>
      <rPr>
        <sz val="11"/>
        <rFont val="돋움"/>
        <family val="3"/>
        <charset val="129"/>
      </rPr>
      <t>AM [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 ]</t>
    </r>
    <phoneticPr fontId="11" type="noConversion"/>
  </si>
  <si>
    <r>
      <t>(K*Vt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-(1-K)Vn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)</t>
    </r>
    <r>
      <rPr>
        <vertAlign val="superscript"/>
        <sz val="11"/>
        <rFont val="돋움"/>
        <family val="3"/>
        <charset val="129"/>
      </rPr>
      <t>1/2</t>
    </r>
  </si>
  <si>
    <r>
      <t>소요환기량(NO</t>
    </r>
    <r>
      <rPr>
        <sz val="11"/>
        <rFont val="돋움"/>
        <family val="3"/>
        <charset val="129"/>
      </rPr>
      <t>x)</t>
    </r>
    <phoneticPr fontId="11" type="noConversion"/>
  </si>
  <si>
    <r>
      <t>K</t>
    </r>
    <r>
      <rPr>
        <vertAlign val="subscript"/>
        <sz val="11"/>
        <rFont val="돋움"/>
        <family val="3"/>
        <charset val="129"/>
      </rPr>
      <t>lim</t>
    </r>
    <r>
      <rPr>
        <vertAlign val="superscript"/>
        <sz val="11"/>
        <rFont val="돋움"/>
        <family val="3"/>
        <charset val="129"/>
      </rPr>
      <t>-1</t>
    </r>
    <phoneticPr fontId="11" type="noConversion"/>
  </si>
  <si>
    <r>
      <t>1) 오염물질에 대한 소요환기량 산정 [m</t>
    </r>
    <r>
      <rPr>
        <b/>
        <vertAlign val="superscript"/>
        <sz val="11"/>
        <rFont val="돋움"/>
        <family val="3"/>
        <charset val="129"/>
      </rPr>
      <t>3</t>
    </r>
    <r>
      <rPr>
        <b/>
        <sz val="11"/>
        <rFont val="돋움"/>
        <family val="3"/>
        <charset val="129"/>
      </rPr>
      <t>/s]</t>
    </r>
    <phoneticPr fontId="11" type="noConversion"/>
  </si>
  <si>
    <t>시간당 환기횟수</t>
    <phoneticPr fontId="11" type="noConversion"/>
  </si>
  <si>
    <t>회</t>
    <phoneticPr fontId="11" type="noConversion"/>
  </si>
  <si>
    <t>터널단면적</t>
    <phoneticPr fontId="11" type="noConversion"/>
  </si>
  <si>
    <r>
      <t>m</t>
    </r>
    <r>
      <rPr>
        <vertAlign val="superscript"/>
        <sz val="11"/>
        <rFont val="돋움"/>
        <family val="3"/>
        <charset val="129"/>
      </rPr>
      <t>2</t>
    </r>
    <phoneticPr fontId="11" type="noConversion"/>
  </si>
  <si>
    <t>터널연장</t>
    <phoneticPr fontId="11" type="noConversion"/>
  </si>
  <si>
    <t>m</t>
    <phoneticPr fontId="11" type="noConversion"/>
  </si>
  <si>
    <t>터널 최소풍속</t>
    <phoneticPr fontId="11" type="noConversion"/>
  </si>
  <si>
    <t>m/s</t>
    <phoneticPr fontId="11" type="noConversion"/>
  </si>
  <si>
    <r>
      <t>2) 최소 공기치환율에 대한 소요환기량 [m</t>
    </r>
    <r>
      <rPr>
        <b/>
        <vertAlign val="superscript"/>
        <sz val="11"/>
        <rFont val="돋움"/>
        <family val="3"/>
        <charset val="129"/>
      </rPr>
      <t>3</t>
    </r>
    <r>
      <rPr>
        <b/>
        <sz val="11"/>
        <rFont val="돋움"/>
        <family val="3"/>
        <charset val="129"/>
      </rPr>
      <t>/s]</t>
    </r>
    <phoneticPr fontId="11" type="noConversion"/>
  </si>
  <si>
    <t>일산화탄소(CO)</t>
    <phoneticPr fontId="11" type="noConversion"/>
  </si>
  <si>
    <t>최소공기치환율</t>
    <phoneticPr fontId="11" type="noConversion"/>
  </si>
  <si>
    <t>최소풍속</t>
    <phoneticPr fontId="11" type="noConversion"/>
  </si>
  <si>
    <t>자연환기량</t>
    <phoneticPr fontId="11" type="noConversion"/>
  </si>
  <si>
    <t>자연환기량</t>
    <phoneticPr fontId="11" type="noConversion"/>
  </si>
  <si>
    <t>5. 자연환기량 및 소요환기량 계산</t>
    <phoneticPr fontId="11" type="noConversion"/>
  </si>
  <si>
    <t>기계환기 필요성 검토</t>
    <phoneticPr fontId="11" type="noConversion"/>
  </si>
  <si>
    <t xml:space="preserve"> ◈ 첨두시교통량</t>
    <phoneticPr fontId="11" type="noConversion"/>
  </si>
  <si>
    <t>2. 매연(Smoke)에 대한 소요환기량</t>
    <phoneticPr fontId="11" type="noConversion"/>
  </si>
  <si>
    <t>10 km/h</t>
    <phoneticPr fontId="11" type="noConversion"/>
  </si>
  <si>
    <t>20 km/h</t>
    <phoneticPr fontId="11" type="noConversion"/>
  </si>
  <si>
    <t>30 km/h</t>
    <phoneticPr fontId="11" type="noConversion"/>
  </si>
  <si>
    <t>40 km/h</t>
    <phoneticPr fontId="11" type="noConversion"/>
  </si>
  <si>
    <t>50 km/h</t>
    <phoneticPr fontId="11" type="noConversion"/>
  </si>
  <si>
    <t>60 km/h</t>
    <phoneticPr fontId="11" type="noConversion"/>
  </si>
  <si>
    <t>70 km/h</t>
    <phoneticPr fontId="11" type="noConversion"/>
  </si>
  <si>
    <t>80 km/h</t>
    <phoneticPr fontId="11" type="noConversion"/>
  </si>
  <si>
    <t>10 km/h</t>
    <phoneticPr fontId="11" type="noConversion"/>
  </si>
  <si>
    <t>40 km/h</t>
    <phoneticPr fontId="11" type="noConversion"/>
  </si>
  <si>
    <t>80 km/h</t>
    <phoneticPr fontId="11" type="noConversion"/>
  </si>
  <si>
    <r>
      <t>3) 최소풍속에 대한 소요환기량 [m</t>
    </r>
    <r>
      <rPr>
        <b/>
        <vertAlign val="superscript"/>
        <sz val="11"/>
        <rFont val="돋움"/>
        <family val="3"/>
        <charset val="129"/>
      </rPr>
      <t>3</t>
    </r>
    <r>
      <rPr>
        <b/>
        <sz val="11"/>
        <rFont val="돋움"/>
        <family val="3"/>
        <charset val="129"/>
      </rPr>
      <t>/s] (종류환기방식 연장 1km이상 터널만 적용)</t>
    </r>
    <phoneticPr fontId="11" type="noConversion"/>
  </si>
  <si>
    <t>소요환기량</t>
    <phoneticPr fontId="11" type="noConversion"/>
  </si>
  <si>
    <t>소요환기량</t>
    <phoneticPr fontId="11" type="noConversion"/>
  </si>
  <si>
    <t>6. 환기량 선정 및 환기기선정</t>
    <phoneticPr fontId="11" type="noConversion"/>
  </si>
  <si>
    <t>소요환기량</t>
    <phoneticPr fontId="11" type="noConversion"/>
  </si>
  <si>
    <t>환기기대수</t>
    <phoneticPr fontId="11" type="noConversion"/>
  </si>
  <si>
    <t>4. 최소풍속</t>
    <phoneticPr fontId="11" type="noConversion"/>
  </si>
  <si>
    <r>
      <t>환기량 선정 [m</t>
    </r>
    <r>
      <rPr>
        <b/>
        <vertAlign val="superscript"/>
        <sz val="11"/>
        <rFont val="돋움"/>
        <family val="3"/>
        <charset val="129"/>
      </rPr>
      <t>3</t>
    </r>
    <r>
      <rPr>
        <b/>
        <sz val="11"/>
        <rFont val="돋움"/>
        <family val="3"/>
        <charset val="129"/>
      </rPr>
      <t>/s]</t>
    </r>
    <phoneticPr fontId="11" type="noConversion"/>
  </si>
  <si>
    <r>
      <t>환기량 선정 [m</t>
    </r>
    <r>
      <rPr>
        <b/>
        <vertAlign val="superscript"/>
        <sz val="11"/>
        <rFont val="돋움"/>
        <family val="3"/>
        <charset val="129"/>
      </rPr>
      <t>3</t>
    </r>
    <r>
      <rPr>
        <b/>
        <sz val="11"/>
        <rFont val="돋움"/>
        <family val="3"/>
        <charset val="129"/>
      </rPr>
      <t>/s]</t>
    </r>
    <phoneticPr fontId="11" type="noConversion"/>
  </si>
  <si>
    <t>환기용</t>
    <phoneticPr fontId="11" type="noConversion"/>
  </si>
  <si>
    <t>제연용</t>
    <phoneticPr fontId="11" type="noConversion"/>
  </si>
  <si>
    <t>환기기 선정 (대)</t>
    <phoneticPr fontId="11" type="noConversion"/>
  </si>
  <si>
    <t>질소산화물(NOx)</t>
    <phoneticPr fontId="11" type="noConversion"/>
  </si>
  <si>
    <t>최소풍속</t>
    <phoneticPr fontId="11" type="noConversion"/>
  </si>
  <si>
    <t>최소공기치환</t>
    <phoneticPr fontId="11" type="noConversion"/>
  </si>
  <si>
    <t>최소공기치환</t>
    <phoneticPr fontId="11" type="noConversion"/>
  </si>
  <si>
    <t>소요대수</t>
    <phoneticPr fontId="4" type="noConversion"/>
  </si>
  <si>
    <t>차량정체길이(Ls)</t>
    <phoneticPr fontId="11" type="noConversion"/>
  </si>
  <si>
    <t>차종별 혼입율</t>
    <phoneticPr fontId="11" type="noConversion"/>
  </si>
  <si>
    <t>차량 길이(m)</t>
    <phoneticPr fontId="11" type="noConversion"/>
  </si>
  <si>
    <t>차종별 혼입율(%)</t>
    <phoneticPr fontId="11" type="noConversion"/>
  </si>
  <si>
    <t>차량평균길이(Clavg)</t>
    <phoneticPr fontId="11" type="noConversion"/>
  </si>
  <si>
    <t>차간간격(LTH)</t>
    <phoneticPr fontId="11" type="noConversion"/>
  </si>
  <si>
    <t>10km/h</t>
    <phoneticPr fontId="11" type="noConversion"/>
  </si>
  <si>
    <t>20km/h</t>
    <phoneticPr fontId="11" type="noConversion"/>
  </si>
  <si>
    <t>30km/h</t>
    <phoneticPr fontId="11" type="noConversion"/>
  </si>
  <si>
    <t>40km/h</t>
    <phoneticPr fontId="11" type="noConversion"/>
  </si>
  <si>
    <t>50km/h</t>
    <phoneticPr fontId="11" type="noConversion"/>
  </si>
  <si>
    <t>60km/h</t>
    <phoneticPr fontId="11" type="noConversion"/>
  </si>
  <si>
    <t>70km/h</t>
    <phoneticPr fontId="11" type="noConversion"/>
  </si>
  <si>
    <t>80km/h</t>
    <phoneticPr fontId="11" type="noConversion"/>
  </si>
  <si>
    <t>제연용 등가저항면적(Am'=0.86*Am)</t>
    <phoneticPr fontId="11" type="noConversion"/>
  </si>
  <si>
    <t>터널내 존재하는 차량대수(한도공 기준)</t>
    <phoneticPr fontId="11" type="noConversion"/>
  </si>
  <si>
    <t>◈ 제연용량 산정을 위한 터널내 차량대수 산정</t>
    <phoneticPr fontId="11" type="noConversion"/>
  </si>
  <si>
    <t>◈ 차량 평균길이 산정</t>
    <phoneticPr fontId="11" type="noConversion"/>
  </si>
  <si>
    <t>차선수(Lane)</t>
    <phoneticPr fontId="11" type="noConversion"/>
  </si>
  <si>
    <t>화재시 차량대수(대)</t>
    <phoneticPr fontId="11" type="noConversion"/>
  </si>
  <si>
    <t>터널길이(m)</t>
    <phoneticPr fontId="11" type="noConversion"/>
  </si>
  <si>
    <t>터널내 존재가능한 차량대수(대)</t>
    <phoneticPr fontId="11" type="noConversion"/>
  </si>
  <si>
    <t>실제 차량대수(대)</t>
    <phoneticPr fontId="11" type="noConversion"/>
  </si>
  <si>
    <t>합 계</t>
    <phoneticPr fontId="11" type="noConversion"/>
  </si>
  <si>
    <t>1. (수직갱)환기방식</t>
    <phoneticPr fontId="11" type="noConversion"/>
  </si>
  <si>
    <t>적용년도 :</t>
    <phoneticPr fontId="11" type="noConversion"/>
  </si>
  <si>
    <t>년</t>
    <phoneticPr fontId="11" type="noConversion"/>
  </si>
  <si>
    <t>구 간</t>
    <phoneticPr fontId="11" type="noConversion"/>
  </si>
  <si>
    <t>총 소요환기량(Qtreq)</t>
    <phoneticPr fontId="4" type="noConversion"/>
  </si>
  <si>
    <r>
      <t xml:space="preserve">  1구간 소요환기량(Q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</si>
  <si>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2구간 소요환기량(Q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</si>
  <si>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3구간 소요환기량(Q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</si>
  <si>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4구간 소요환기량(Q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>)</t>
    </r>
    <phoneticPr fontId="4" type="noConversion"/>
  </si>
  <si>
    <t>차도내 풍속</t>
    <phoneticPr fontId="4" type="noConversion"/>
  </si>
  <si>
    <r>
      <t xml:space="preserve">  1구간 차도내풍속(V</t>
    </r>
    <r>
      <rPr>
        <vertAlign val="subscript"/>
        <sz val="10"/>
        <rFont val="굴림체"/>
        <family val="3"/>
        <charset val="129"/>
      </rPr>
      <t>r1</t>
    </r>
    <r>
      <rPr>
        <sz val="10"/>
        <rFont val="굴림체"/>
        <family val="3"/>
        <charset val="129"/>
      </rPr>
      <t xml:space="preserve"> = Q</t>
    </r>
    <r>
      <rPr>
        <vertAlign val="subscript"/>
        <sz val="10"/>
        <rFont val="굴림체"/>
        <family val="3"/>
        <charset val="129"/>
      </rPr>
      <t>r1</t>
    </r>
    <r>
      <rPr>
        <sz val="10"/>
        <rFont val="굴림체"/>
        <family val="3"/>
        <charset val="129"/>
      </rPr>
      <t>/ Ar)</t>
    </r>
    <phoneticPr fontId="4" type="noConversion"/>
  </si>
  <si>
    <r>
      <t xml:space="preserve">  2구간 차도내풍속(V</t>
    </r>
    <r>
      <rPr>
        <vertAlign val="subscript"/>
        <sz val="10"/>
        <rFont val="굴림체"/>
        <family val="3"/>
        <charset val="129"/>
      </rPr>
      <t>r2</t>
    </r>
    <r>
      <rPr>
        <sz val="10"/>
        <rFont val="굴림체"/>
        <family val="3"/>
        <charset val="129"/>
      </rPr>
      <t xml:space="preserve"> = Q</t>
    </r>
    <r>
      <rPr>
        <vertAlign val="subscript"/>
        <sz val="10"/>
        <rFont val="굴림체"/>
        <family val="3"/>
        <charset val="129"/>
      </rPr>
      <t>r2</t>
    </r>
    <r>
      <rPr>
        <sz val="10"/>
        <rFont val="굴림체"/>
        <family val="3"/>
        <charset val="129"/>
      </rPr>
      <t>/ Ar)</t>
    </r>
    <phoneticPr fontId="4" type="noConversion"/>
  </si>
  <si>
    <r>
      <t xml:space="preserve">  3구간 차도내풍속(V</t>
    </r>
    <r>
      <rPr>
        <vertAlign val="subscript"/>
        <sz val="10"/>
        <rFont val="굴림체"/>
        <family val="3"/>
        <charset val="129"/>
      </rPr>
      <t>r3</t>
    </r>
    <r>
      <rPr>
        <sz val="10"/>
        <rFont val="굴림체"/>
        <family val="3"/>
        <charset val="129"/>
      </rPr>
      <t xml:space="preserve"> = Q</t>
    </r>
    <r>
      <rPr>
        <vertAlign val="subscript"/>
        <sz val="10"/>
        <rFont val="굴림체"/>
        <family val="3"/>
        <charset val="129"/>
      </rPr>
      <t>r3</t>
    </r>
    <r>
      <rPr>
        <sz val="10"/>
        <rFont val="굴림체"/>
        <family val="3"/>
        <charset val="129"/>
      </rPr>
      <t>/ Ar)</t>
    </r>
    <phoneticPr fontId="4" type="noConversion"/>
  </si>
  <si>
    <r>
      <t xml:space="preserve">  4구간 차도내풍속(V</t>
    </r>
    <r>
      <rPr>
        <vertAlign val="subscript"/>
        <sz val="10"/>
        <rFont val="굴림체"/>
        <family val="3"/>
        <charset val="129"/>
      </rPr>
      <t>r4</t>
    </r>
    <r>
      <rPr>
        <sz val="10"/>
        <rFont val="굴림체"/>
        <family val="3"/>
        <charset val="129"/>
      </rPr>
      <t xml:space="preserve"> = Q</t>
    </r>
    <r>
      <rPr>
        <vertAlign val="subscript"/>
        <sz val="10"/>
        <rFont val="굴림체"/>
        <family val="3"/>
        <charset val="129"/>
      </rPr>
      <t>r4</t>
    </r>
    <r>
      <rPr>
        <sz val="10"/>
        <rFont val="굴림체"/>
        <family val="3"/>
        <charset val="129"/>
      </rPr>
      <t>/ Ar)</t>
    </r>
    <phoneticPr fontId="4" type="noConversion"/>
  </si>
  <si>
    <t>자연풍속(Vn)</t>
    <phoneticPr fontId="11" type="noConversion"/>
  </si>
  <si>
    <t>터널총 길이(Lr)</t>
    <phoneticPr fontId="4" type="noConversion"/>
  </si>
  <si>
    <t>터널총 길이(Lr)</t>
    <phoneticPr fontId="4" type="noConversion"/>
  </si>
  <si>
    <r>
      <t xml:space="preserve">  1구간 터널길이(L</t>
    </r>
    <r>
      <rPr>
        <vertAlign val="subscript"/>
        <sz val="10"/>
        <rFont val="굴림체"/>
        <family val="3"/>
        <charset val="129"/>
      </rPr>
      <t>r1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</si>
  <si>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1구간 터널길이(L</t>
    </r>
    <r>
      <rPr>
        <vertAlign val="subscript"/>
        <sz val="10"/>
        <rFont val="굴림체"/>
        <family val="3"/>
        <charset val="129"/>
      </rPr>
      <t>r1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</si>
  <si>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2구간 터널길이(L</t>
    </r>
    <r>
      <rPr>
        <vertAlign val="subscript"/>
        <sz val="10"/>
        <rFont val="굴림체"/>
        <family val="3"/>
        <charset val="129"/>
      </rPr>
      <t>r2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</si>
  <si>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2구간 터널길이(L</t>
    </r>
    <r>
      <rPr>
        <vertAlign val="subscript"/>
        <sz val="10"/>
        <rFont val="굴림체"/>
        <family val="3"/>
        <charset val="129"/>
      </rPr>
      <t>r2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</si>
  <si>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3구간 터널길이(L</t>
    </r>
    <r>
      <rPr>
        <vertAlign val="subscript"/>
        <sz val="10"/>
        <rFont val="굴림체"/>
        <family val="3"/>
        <charset val="129"/>
      </rPr>
      <t>r3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</si>
  <si>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3구간 터널길이(L</t>
    </r>
    <r>
      <rPr>
        <vertAlign val="subscript"/>
        <sz val="10"/>
        <rFont val="굴림체"/>
        <family val="3"/>
        <charset val="129"/>
      </rPr>
      <t>r3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</si>
  <si>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4구간 터널길이(L</t>
    </r>
    <r>
      <rPr>
        <vertAlign val="subscript"/>
        <sz val="10"/>
        <rFont val="굴림체"/>
        <family val="3"/>
        <charset val="129"/>
      </rPr>
      <t>r4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</si>
  <si>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4구간 터널길이(L</t>
    </r>
    <r>
      <rPr>
        <vertAlign val="subscript"/>
        <sz val="10"/>
        <rFont val="굴림체"/>
        <family val="3"/>
        <charset val="129"/>
      </rPr>
      <t>r4</t>
    </r>
    <r>
      <rPr>
        <sz val="10"/>
        <rFont val="굴림체"/>
        <family val="3"/>
        <charset val="129"/>
      </rPr>
      <t>)</t>
    </r>
    <phoneticPr fontId="4" type="noConversion"/>
  </si>
  <si>
    <t>터널내 총 자동차수(n)</t>
    <phoneticPr fontId="4" type="noConversion"/>
  </si>
  <si>
    <t>터널내 총 자동차수(n)</t>
    <phoneticPr fontId="4" type="noConversion"/>
  </si>
  <si>
    <r>
      <t xml:space="preserve">  1구간 터널내 자동차수(n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</si>
  <si>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2구간 터널내 자동차수(n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</si>
  <si>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3구간 터널내 자동차수(n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</si>
  <si>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4구간 터널내 자동차수(n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>)</t>
    </r>
    <phoneticPr fontId="4" type="noConversion"/>
  </si>
  <si>
    <t>계수 치환</t>
    <phoneticPr fontId="4" type="noConversion"/>
  </si>
  <si>
    <t>a = (1+ξ+λ*Lr/Dr)*ρ/2</t>
    <phoneticPr fontId="4" type="noConversion"/>
  </si>
  <si>
    <r>
      <t xml:space="preserve">  a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(ξ+λ*L</t>
    </r>
    <r>
      <rPr>
        <vertAlign val="subscript"/>
        <sz val="10"/>
        <rFont val="굴림체"/>
        <family val="3"/>
        <charset val="129"/>
      </rPr>
      <t>r1</t>
    </r>
    <r>
      <rPr>
        <sz val="10"/>
        <rFont val="굴림체"/>
        <family val="3"/>
        <charset val="129"/>
      </rPr>
      <t>/Dr)*ρ/2 -입구</t>
    </r>
    <phoneticPr fontId="4" type="noConversion"/>
  </si>
  <si>
    <r>
      <t xml:space="preserve">  a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(λ*L</t>
    </r>
    <r>
      <rPr>
        <vertAlign val="subscript"/>
        <sz val="10"/>
        <rFont val="굴림체"/>
        <family val="3"/>
        <charset val="129"/>
      </rPr>
      <t>r2</t>
    </r>
    <r>
      <rPr>
        <sz val="10"/>
        <rFont val="굴림체"/>
        <family val="3"/>
        <charset val="129"/>
      </rPr>
      <t>/Dr)*ρ/2 - 중간</t>
    </r>
    <phoneticPr fontId="4" type="noConversion"/>
  </si>
  <si>
    <r>
      <t xml:space="preserve">  a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(1+λ*L</t>
    </r>
    <r>
      <rPr>
        <vertAlign val="subscript"/>
        <sz val="10"/>
        <rFont val="굴림체"/>
        <family val="3"/>
        <charset val="129"/>
      </rPr>
      <t>r3</t>
    </r>
    <r>
      <rPr>
        <sz val="10"/>
        <rFont val="굴림체"/>
        <family val="3"/>
        <charset val="129"/>
      </rPr>
      <t>/Dr)*ρ/2 - 출구</t>
    </r>
    <phoneticPr fontId="4" type="noConversion"/>
  </si>
  <si>
    <r>
      <t xml:space="preserve">  a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= (1+ξ+λ*L</t>
    </r>
    <r>
      <rPr>
        <vertAlign val="subscript"/>
        <sz val="10"/>
        <rFont val="굴림체"/>
        <family val="3"/>
        <charset val="129"/>
      </rPr>
      <t>r4</t>
    </r>
    <r>
      <rPr>
        <sz val="10"/>
        <rFont val="굴림체"/>
        <family val="3"/>
        <charset val="129"/>
      </rPr>
      <t>/Dr)*ρ/2</t>
    </r>
    <phoneticPr fontId="4" type="noConversion"/>
  </si>
  <si>
    <r>
      <t xml:space="preserve">  a</t>
    </r>
    <r>
      <rPr>
        <vertAlign val="subscript"/>
        <sz val="10"/>
        <rFont val="굴림체"/>
        <family val="3"/>
        <charset val="129"/>
      </rPr>
      <t>T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 xml:space="preserve">1 </t>
    </r>
    <r>
      <rPr>
        <sz val="10"/>
        <rFont val="굴림체"/>
        <family val="3"/>
        <charset val="129"/>
      </rPr>
      <t>+ a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+ a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+ a</t>
    </r>
    <r>
      <rPr>
        <vertAlign val="subscript"/>
        <sz val="10"/>
        <rFont val="굴림체"/>
        <family val="3"/>
        <charset val="129"/>
      </rPr>
      <t>4</t>
    </r>
    <phoneticPr fontId="4" type="noConversion"/>
  </si>
  <si>
    <t>b = ρ/2 * Ae/Ar*n (Vt &lt; Vr이면"-")</t>
    <phoneticPr fontId="4" type="noConversion"/>
  </si>
  <si>
    <r>
      <t xml:space="preserve">  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ρ/2 * Ae/Ar * n</t>
    </r>
    <r>
      <rPr>
        <vertAlign val="subscript"/>
        <sz val="10"/>
        <rFont val="굴림체"/>
        <family val="3"/>
        <charset val="129"/>
      </rPr>
      <t>1</t>
    </r>
    <phoneticPr fontId="4" type="noConversion"/>
  </si>
  <si>
    <r>
      <t xml:space="preserve">  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ρ/2 * Ae/Ar * n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</t>
    </r>
    <phoneticPr fontId="4" type="noConversion"/>
  </si>
  <si>
    <r>
      <t xml:space="preserve">  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ρ/2 * Ae/Ar * n</t>
    </r>
    <r>
      <rPr>
        <vertAlign val="subscript"/>
        <sz val="10"/>
        <rFont val="굴림체"/>
        <family val="3"/>
        <charset val="129"/>
      </rPr>
      <t>3</t>
    </r>
    <phoneticPr fontId="4" type="noConversion"/>
  </si>
  <si>
    <r>
      <t xml:space="preserve">  b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= ρ/2 * Ae/Ar * n</t>
    </r>
    <r>
      <rPr>
        <vertAlign val="subscript"/>
        <sz val="10"/>
        <rFont val="굴림체"/>
        <family val="3"/>
        <charset val="129"/>
      </rPr>
      <t>4</t>
    </r>
    <phoneticPr fontId="4" type="noConversion"/>
  </si>
  <si>
    <r>
      <t xml:space="preserve">  b</t>
    </r>
    <r>
      <rPr>
        <vertAlign val="subscript"/>
        <sz val="10"/>
        <rFont val="굴림체"/>
        <family val="3"/>
        <charset val="129"/>
      </rPr>
      <t>T</t>
    </r>
    <r>
      <rPr>
        <sz val="10"/>
        <rFont val="굴림체"/>
        <family val="3"/>
        <charset val="129"/>
      </rPr>
      <t xml:space="preserve"> = b</t>
    </r>
    <r>
      <rPr>
        <vertAlign val="subscript"/>
        <sz val="10"/>
        <rFont val="굴림체"/>
        <family val="3"/>
        <charset val="129"/>
      </rPr>
      <t xml:space="preserve">1 </t>
    </r>
    <r>
      <rPr>
        <sz val="10"/>
        <rFont val="굴림체"/>
        <family val="3"/>
        <charset val="129"/>
      </rPr>
      <t>+ 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+ 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+ b</t>
    </r>
    <r>
      <rPr>
        <vertAlign val="subscript"/>
        <sz val="10"/>
        <rFont val="굴림체"/>
        <family val="3"/>
        <charset val="129"/>
      </rPr>
      <t>4</t>
    </r>
    <phoneticPr fontId="4" type="noConversion"/>
  </si>
  <si>
    <r>
      <t>c = -2* Q</t>
    </r>
    <r>
      <rPr>
        <b/>
        <vertAlign val="subscript"/>
        <sz val="10"/>
        <rFont val="굴림체"/>
        <family val="3"/>
        <charset val="129"/>
      </rPr>
      <t>c1</t>
    </r>
    <r>
      <rPr>
        <b/>
        <sz val="10"/>
        <rFont val="굴림체"/>
        <family val="3"/>
        <charset val="129"/>
      </rPr>
      <t>/Ar *ρ</t>
    </r>
    <phoneticPr fontId="4" type="noConversion"/>
  </si>
  <si>
    <r>
      <t>c = -2* Q</t>
    </r>
    <r>
      <rPr>
        <b/>
        <vertAlign val="subscript"/>
        <sz val="10"/>
        <rFont val="굴림체"/>
        <family val="3"/>
        <charset val="129"/>
      </rPr>
      <t>c1</t>
    </r>
    <r>
      <rPr>
        <b/>
        <sz val="10"/>
        <rFont val="굴림체"/>
        <family val="3"/>
        <charset val="129"/>
      </rPr>
      <t>/Ar *ρ</t>
    </r>
    <phoneticPr fontId="4" type="noConversion"/>
  </si>
  <si>
    <r>
      <t xml:space="preserve">  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-2* Q</t>
    </r>
    <r>
      <rPr>
        <vertAlign val="subscript"/>
        <sz val="10"/>
        <rFont val="굴림체"/>
        <family val="3"/>
        <charset val="129"/>
      </rPr>
      <t>c1</t>
    </r>
    <r>
      <rPr>
        <sz val="10"/>
        <rFont val="굴림체"/>
        <family val="3"/>
        <charset val="129"/>
      </rPr>
      <t>/Ar *ρ</t>
    </r>
    <phoneticPr fontId="4" type="noConversion"/>
  </si>
  <si>
    <r>
      <t xml:space="preserve">  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-2* Q</t>
    </r>
    <r>
      <rPr>
        <vertAlign val="subscript"/>
        <sz val="10"/>
        <rFont val="굴림체"/>
        <family val="3"/>
        <charset val="129"/>
      </rPr>
      <t>c2</t>
    </r>
    <r>
      <rPr>
        <sz val="10"/>
        <rFont val="굴림체"/>
        <family val="3"/>
        <charset val="129"/>
      </rPr>
      <t>/Ar *ρ</t>
    </r>
    <phoneticPr fontId="4" type="noConversion"/>
  </si>
  <si>
    <r>
      <t xml:space="preserve">  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-2* Q</t>
    </r>
    <r>
      <rPr>
        <vertAlign val="subscript"/>
        <sz val="10"/>
        <rFont val="굴림체"/>
        <family val="3"/>
        <charset val="129"/>
      </rPr>
      <t>c3</t>
    </r>
    <r>
      <rPr>
        <sz val="10"/>
        <rFont val="굴림체"/>
        <family val="3"/>
        <charset val="129"/>
      </rPr>
      <t>/Ar *ρ</t>
    </r>
    <phoneticPr fontId="4" type="noConversion"/>
  </si>
  <si>
    <r>
      <t xml:space="preserve">  c</t>
    </r>
    <r>
      <rPr>
        <vertAlign val="subscript"/>
        <sz val="10"/>
        <rFont val="굴림체"/>
        <family val="3"/>
        <charset val="129"/>
      </rPr>
      <t>T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+c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+c</t>
    </r>
    <r>
      <rPr>
        <vertAlign val="subscript"/>
        <sz val="10"/>
        <rFont val="굴림체"/>
        <family val="3"/>
        <charset val="129"/>
      </rPr>
      <t>3</t>
    </r>
    <phoneticPr fontId="11" type="noConversion"/>
  </si>
  <si>
    <r>
      <t>d = ρ*Q</t>
    </r>
    <r>
      <rPr>
        <b/>
        <vertAlign val="subscript"/>
        <sz val="10"/>
        <rFont val="굴림체"/>
        <family val="3"/>
        <charset val="129"/>
      </rPr>
      <t>c</t>
    </r>
    <r>
      <rPr>
        <b/>
        <sz val="10"/>
        <rFont val="굴림체"/>
        <family val="3"/>
        <charset val="129"/>
      </rPr>
      <t>/Ar *(V</t>
    </r>
    <r>
      <rPr>
        <b/>
        <vertAlign val="subscript"/>
        <sz val="10"/>
        <rFont val="굴림체"/>
        <family val="3"/>
        <charset val="129"/>
      </rPr>
      <t>c</t>
    </r>
    <r>
      <rPr>
        <b/>
        <sz val="10"/>
        <rFont val="굴림체"/>
        <family val="3"/>
        <charset val="129"/>
      </rPr>
      <t>*cosβ+Q</t>
    </r>
    <r>
      <rPr>
        <b/>
        <vertAlign val="subscript"/>
        <sz val="10"/>
        <rFont val="굴림체"/>
        <family val="3"/>
        <charset val="129"/>
      </rPr>
      <t>c</t>
    </r>
    <r>
      <rPr>
        <b/>
        <sz val="10"/>
        <rFont val="굴림체"/>
        <family val="3"/>
        <charset val="129"/>
      </rPr>
      <t>/Ar)</t>
    </r>
    <phoneticPr fontId="11" type="noConversion"/>
  </si>
  <si>
    <r>
      <t xml:space="preserve">  d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ρ*Q</t>
    </r>
    <r>
      <rPr>
        <vertAlign val="subscript"/>
        <sz val="10"/>
        <rFont val="굴림체"/>
        <family val="3"/>
        <charset val="129"/>
      </rPr>
      <t>c1</t>
    </r>
    <r>
      <rPr>
        <sz val="10"/>
        <rFont val="굴림체"/>
        <family val="3"/>
        <charset val="129"/>
      </rPr>
      <t>/Ar *(V</t>
    </r>
    <r>
      <rPr>
        <vertAlign val="subscript"/>
        <sz val="10"/>
        <rFont val="굴림체"/>
        <family val="3"/>
        <charset val="129"/>
      </rPr>
      <t>c1</t>
    </r>
    <r>
      <rPr>
        <sz val="10"/>
        <rFont val="굴림체"/>
        <family val="3"/>
        <charset val="129"/>
      </rPr>
      <t>*cosβ+Q</t>
    </r>
    <r>
      <rPr>
        <vertAlign val="subscript"/>
        <sz val="10"/>
        <rFont val="굴림체"/>
        <family val="3"/>
        <charset val="129"/>
      </rPr>
      <t>c1</t>
    </r>
    <r>
      <rPr>
        <sz val="10"/>
        <rFont val="굴림체"/>
        <family val="3"/>
        <charset val="129"/>
      </rPr>
      <t>/Ar)</t>
    </r>
    <phoneticPr fontId="11" type="noConversion"/>
  </si>
  <si>
    <r>
      <t xml:space="preserve">  d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ρ*Q</t>
    </r>
    <r>
      <rPr>
        <vertAlign val="subscript"/>
        <sz val="10"/>
        <rFont val="굴림체"/>
        <family val="3"/>
        <charset val="129"/>
      </rPr>
      <t>c2</t>
    </r>
    <r>
      <rPr>
        <sz val="10"/>
        <rFont val="굴림체"/>
        <family val="3"/>
        <charset val="129"/>
      </rPr>
      <t>/Ar *(V</t>
    </r>
    <r>
      <rPr>
        <vertAlign val="subscript"/>
        <sz val="10"/>
        <rFont val="굴림체"/>
        <family val="3"/>
        <charset val="129"/>
      </rPr>
      <t>c2</t>
    </r>
    <r>
      <rPr>
        <sz val="10"/>
        <rFont val="굴림체"/>
        <family val="3"/>
        <charset val="129"/>
      </rPr>
      <t>*cosβ+Q</t>
    </r>
    <r>
      <rPr>
        <vertAlign val="subscript"/>
        <sz val="10"/>
        <rFont val="굴림체"/>
        <family val="3"/>
        <charset val="129"/>
      </rPr>
      <t>c2</t>
    </r>
    <r>
      <rPr>
        <sz val="10"/>
        <rFont val="굴림체"/>
        <family val="3"/>
        <charset val="129"/>
      </rPr>
      <t>/Ar)</t>
    </r>
    <phoneticPr fontId="11" type="noConversion"/>
  </si>
  <si>
    <r>
      <t xml:space="preserve">  d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ρ*Q</t>
    </r>
    <r>
      <rPr>
        <vertAlign val="subscript"/>
        <sz val="10"/>
        <rFont val="굴림체"/>
        <family val="3"/>
        <charset val="129"/>
      </rPr>
      <t>c3</t>
    </r>
    <r>
      <rPr>
        <sz val="10"/>
        <rFont val="굴림체"/>
        <family val="3"/>
        <charset val="129"/>
      </rPr>
      <t>/Ar *(V</t>
    </r>
    <r>
      <rPr>
        <vertAlign val="subscript"/>
        <sz val="10"/>
        <rFont val="굴림체"/>
        <family val="3"/>
        <charset val="129"/>
      </rPr>
      <t>c3</t>
    </r>
    <r>
      <rPr>
        <sz val="10"/>
        <rFont val="굴림체"/>
        <family val="3"/>
        <charset val="129"/>
      </rPr>
      <t>*cosβ+Q</t>
    </r>
    <r>
      <rPr>
        <vertAlign val="subscript"/>
        <sz val="10"/>
        <rFont val="굴림체"/>
        <family val="3"/>
        <charset val="129"/>
      </rPr>
      <t>c3</t>
    </r>
    <r>
      <rPr>
        <sz val="10"/>
        <rFont val="굴림체"/>
        <family val="3"/>
        <charset val="129"/>
      </rPr>
      <t>/Ar)</t>
    </r>
    <phoneticPr fontId="11" type="noConversion"/>
  </si>
  <si>
    <r>
      <t xml:space="preserve">  d</t>
    </r>
    <r>
      <rPr>
        <vertAlign val="subscript"/>
        <sz val="10"/>
        <rFont val="굴림체"/>
        <family val="3"/>
        <charset val="129"/>
      </rPr>
      <t>T</t>
    </r>
    <r>
      <rPr>
        <sz val="10"/>
        <rFont val="굴림체"/>
        <family val="3"/>
        <charset val="129"/>
      </rPr>
      <t xml:space="preserve"> = d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+d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+d</t>
    </r>
    <r>
      <rPr>
        <vertAlign val="subscript"/>
        <sz val="10"/>
        <rFont val="굴림체"/>
        <family val="3"/>
        <charset val="129"/>
      </rPr>
      <t>3</t>
    </r>
    <phoneticPr fontId="11" type="noConversion"/>
  </si>
  <si>
    <t>e = ρ/2 * Vj * 2 * Aj/Ar</t>
    <phoneticPr fontId="11" type="noConversion"/>
  </si>
  <si>
    <r>
      <t>f</t>
    </r>
    <r>
      <rPr>
        <b/>
        <vertAlign val="subscript"/>
        <sz val="10"/>
        <rFont val="굴림체"/>
        <family val="3"/>
        <charset val="129"/>
      </rPr>
      <t>b</t>
    </r>
    <r>
      <rPr>
        <b/>
        <sz val="10"/>
        <rFont val="굴림체"/>
        <family val="3"/>
        <charset val="129"/>
      </rPr>
      <t xml:space="preserve"> = -2* Q</t>
    </r>
    <r>
      <rPr>
        <b/>
        <vertAlign val="subscript"/>
        <sz val="10"/>
        <rFont val="굴림체"/>
        <family val="3"/>
        <charset val="129"/>
      </rPr>
      <t>b</t>
    </r>
    <r>
      <rPr>
        <b/>
        <sz val="10"/>
        <rFont val="굴림체"/>
        <family val="3"/>
        <charset val="129"/>
      </rPr>
      <t>/Ar *ρ(수직갱 급기)</t>
    </r>
    <phoneticPr fontId="11" type="noConversion"/>
  </si>
  <si>
    <r>
      <t xml:space="preserve">  f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 xml:space="preserve"> = -2* Q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>/Ar *ρ</t>
    </r>
    <phoneticPr fontId="11" type="noConversion"/>
  </si>
  <si>
    <r>
      <t xml:space="preserve">  f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 xml:space="preserve"> = -2* Q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/Ar *ρ</t>
    </r>
    <phoneticPr fontId="11" type="noConversion"/>
  </si>
  <si>
    <r>
      <t xml:space="preserve">  f</t>
    </r>
    <r>
      <rPr>
        <vertAlign val="subscript"/>
        <sz val="10"/>
        <rFont val="굴림체"/>
        <family val="3"/>
        <charset val="129"/>
      </rPr>
      <t>b3</t>
    </r>
    <r>
      <rPr>
        <sz val="10"/>
        <rFont val="굴림체"/>
        <family val="3"/>
        <charset val="129"/>
      </rPr>
      <t xml:space="preserve"> = -2* Q</t>
    </r>
    <r>
      <rPr>
        <vertAlign val="subscript"/>
        <sz val="10"/>
        <rFont val="굴림체"/>
        <family val="3"/>
        <charset val="129"/>
      </rPr>
      <t>b3</t>
    </r>
    <r>
      <rPr>
        <sz val="10"/>
        <rFont val="굴림체"/>
        <family val="3"/>
        <charset val="129"/>
      </rPr>
      <t>/Ar *ρ</t>
    </r>
    <phoneticPr fontId="11" type="noConversion"/>
  </si>
  <si>
    <r>
      <t xml:space="preserve">  f</t>
    </r>
    <r>
      <rPr>
        <vertAlign val="subscript"/>
        <sz val="10"/>
        <rFont val="굴림체"/>
        <family val="3"/>
        <charset val="129"/>
      </rPr>
      <t>bT</t>
    </r>
    <r>
      <rPr>
        <sz val="10"/>
        <rFont val="굴림체"/>
        <family val="3"/>
        <charset val="129"/>
      </rPr>
      <t xml:space="preserve"> = f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>+f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+f</t>
    </r>
    <r>
      <rPr>
        <vertAlign val="subscript"/>
        <sz val="10"/>
        <rFont val="굴림체"/>
        <family val="3"/>
        <charset val="129"/>
      </rPr>
      <t>b3</t>
    </r>
    <phoneticPr fontId="11" type="noConversion"/>
  </si>
  <si>
    <r>
      <t>g</t>
    </r>
    <r>
      <rPr>
        <b/>
        <vertAlign val="subscript"/>
        <sz val="10"/>
        <rFont val="굴림체"/>
        <family val="3"/>
        <charset val="129"/>
      </rPr>
      <t>b</t>
    </r>
    <r>
      <rPr>
        <b/>
        <sz val="10"/>
        <rFont val="굴림체"/>
        <family val="3"/>
        <charset val="129"/>
      </rPr>
      <t xml:space="preserve"> = ρ*Q</t>
    </r>
    <r>
      <rPr>
        <b/>
        <vertAlign val="subscript"/>
        <sz val="10"/>
        <rFont val="굴림체"/>
        <family val="3"/>
        <charset val="129"/>
      </rPr>
      <t>b</t>
    </r>
    <r>
      <rPr>
        <b/>
        <sz val="10"/>
        <rFont val="굴림체"/>
        <family val="3"/>
        <charset val="129"/>
      </rPr>
      <t>/Ar*(Kb*V</t>
    </r>
    <r>
      <rPr>
        <b/>
        <vertAlign val="subscript"/>
        <sz val="10"/>
        <rFont val="굴림체"/>
        <family val="3"/>
        <charset val="129"/>
      </rPr>
      <t>b</t>
    </r>
    <r>
      <rPr>
        <b/>
        <sz val="10"/>
        <rFont val="굴림체"/>
        <family val="3"/>
        <charset val="129"/>
      </rPr>
      <t>*cosβ+Q</t>
    </r>
    <r>
      <rPr>
        <b/>
        <vertAlign val="subscript"/>
        <sz val="10"/>
        <rFont val="굴림체"/>
        <family val="3"/>
        <charset val="129"/>
      </rPr>
      <t>b</t>
    </r>
    <r>
      <rPr>
        <b/>
        <sz val="10"/>
        <rFont val="굴림체"/>
        <family val="3"/>
        <charset val="129"/>
      </rPr>
      <t>/Ar)</t>
    </r>
    <phoneticPr fontId="11" type="noConversion"/>
  </si>
  <si>
    <r>
      <t xml:space="preserve">  g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 xml:space="preserve"> = ρ*Q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>/Ar*(Kb*V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>*cosβ+Q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>/Ar)</t>
    </r>
    <phoneticPr fontId="11" type="noConversion"/>
  </si>
  <si>
    <r>
      <t xml:space="preserve">  g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 xml:space="preserve"> = ρ*Q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/Ar*(Kb*V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*cosβ+Q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/Ar)</t>
    </r>
    <phoneticPr fontId="11" type="noConversion"/>
  </si>
  <si>
    <r>
      <t xml:space="preserve">  g</t>
    </r>
    <r>
      <rPr>
        <vertAlign val="subscript"/>
        <sz val="10"/>
        <rFont val="굴림체"/>
        <family val="3"/>
        <charset val="129"/>
      </rPr>
      <t>b3</t>
    </r>
    <r>
      <rPr>
        <sz val="10"/>
        <rFont val="굴림체"/>
        <family val="3"/>
        <charset val="129"/>
      </rPr>
      <t xml:space="preserve"> = ρ*Q</t>
    </r>
    <r>
      <rPr>
        <vertAlign val="subscript"/>
        <sz val="10"/>
        <rFont val="굴림체"/>
        <family val="3"/>
        <charset val="129"/>
      </rPr>
      <t>b3</t>
    </r>
    <r>
      <rPr>
        <sz val="10"/>
        <rFont val="굴림체"/>
        <family val="3"/>
        <charset val="129"/>
      </rPr>
      <t>/Ar*(Kb*V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*cosβ+Q</t>
    </r>
    <r>
      <rPr>
        <vertAlign val="subscript"/>
        <sz val="10"/>
        <rFont val="굴림체"/>
        <family val="3"/>
        <charset val="129"/>
      </rPr>
      <t>b3</t>
    </r>
    <r>
      <rPr>
        <sz val="10"/>
        <rFont val="굴림체"/>
        <family val="3"/>
        <charset val="129"/>
      </rPr>
      <t>/Ar)</t>
    </r>
    <phoneticPr fontId="11" type="noConversion"/>
  </si>
  <si>
    <r>
      <t xml:space="preserve">  g</t>
    </r>
    <r>
      <rPr>
        <vertAlign val="subscript"/>
        <sz val="10"/>
        <rFont val="굴림체"/>
        <family val="3"/>
        <charset val="129"/>
      </rPr>
      <t>bT</t>
    </r>
    <r>
      <rPr>
        <sz val="10"/>
        <rFont val="굴림체"/>
        <family val="3"/>
        <charset val="129"/>
      </rPr>
      <t xml:space="preserve"> = g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>+g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+g</t>
    </r>
    <r>
      <rPr>
        <vertAlign val="subscript"/>
        <sz val="10"/>
        <rFont val="굴림체"/>
        <family val="3"/>
        <charset val="129"/>
      </rPr>
      <t>b3</t>
    </r>
    <phoneticPr fontId="11" type="noConversion"/>
  </si>
  <si>
    <t>수직갱 풍속</t>
    <phoneticPr fontId="4" type="noConversion"/>
  </si>
  <si>
    <r>
      <t xml:space="preserve">  수직갱#1 (Vb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)- 급기</t>
    </r>
    <phoneticPr fontId="11" type="noConversion"/>
  </si>
  <si>
    <r>
      <t xml:space="preserve">  수직갱#2 (Vb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)- 급기</t>
    </r>
    <phoneticPr fontId="11" type="noConversion"/>
  </si>
  <si>
    <r>
      <t xml:space="preserve">  수직갱#3 (Vb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)- 급기</t>
    </r>
    <phoneticPr fontId="11" type="noConversion"/>
  </si>
  <si>
    <r>
      <t xml:space="preserve">  수직갱#1 (Ve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)- 배기</t>
    </r>
    <phoneticPr fontId="11" type="noConversion"/>
  </si>
  <si>
    <r>
      <t xml:space="preserve">  수직갱#2 (Ve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)- 배기</t>
    </r>
    <phoneticPr fontId="11" type="noConversion"/>
  </si>
  <si>
    <r>
      <t xml:space="preserve">  수직갱#3 (Ve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)- 배기</t>
    </r>
    <phoneticPr fontId="11" type="noConversion"/>
  </si>
  <si>
    <t>집진기&amp;수직갱터널내부토출각도(β)</t>
    <phoneticPr fontId="11" type="noConversion"/>
  </si>
  <si>
    <t>집진기&amp;수직갱터널내부토출각도(β)</t>
    <phoneticPr fontId="11" type="noConversion"/>
  </si>
  <si>
    <t>집진기풍속(Vc)</t>
    <phoneticPr fontId="11" type="noConversion"/>
  </si>
  <si>
    <t>집진기 토출덕트 면적</t>
    <phoneticPr fontId="4" type="noConversion"/>
  </si>
  <si>
    <r>
      <t xml:space="preserve"> 집진기#1 (Ac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</si>
  <si>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집진기#2 (Ac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</si>
  <si>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집진기#3 (Ac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</t>
    </r>
    <phoneticPr fontId="4" type="noConversion"/>
  </si>
  <si>
    <t>수직갱 급,배기덕트 면적</t>
    <phoneticPr fontId="4" type="noConversion"/>
  </si>
  <si>
    <r>
      <t xml:space="preserve"> 수직갱#1 (Ab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 - 급기</t>
    </r>
    <phoneticPr fontId="4" type="noConversion"/>
  </si>
  <si>
    <r>
      <t xml:space="preserve"> 수직갱#2 (Ab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 - 급기</t>
    </r>
    <phoneticPr fontId="4" type="noConversion"/>
  </si>
  <si>
    <r>
      <t xml:space="preserve"> 수직갱#3 (Ab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 - 급기</t>
    </r>
    <phoneticPr fontId="4" type="noConversion"/>
  </si>
  <si>
    <r>
      <t xml:space="preserve"> 수직갱#1 (Ae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 - 배기</t>
    </r>
    <phoneticPr fontId="4" type="noConversion"/>
  </si>
  <si>
    <r>
      <t xml:space="preserve"> 수직갱#2 (Ae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 - 배기</t>
    </r>
    <phoneticPr fontId="4" type="noConversion"/>
  </si>
  <si>
    <r>
      <t xml:space="preserve"> 수직갱#3 (Ae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 - 배기</t>
    </r>
    <phoneticPr fontId="4" type="noConversion"/>
  </si>
  <si>
    <t>승압력 산정</t>
    <phoneticPr fontId="4" type="noConversion"/>
  </si>
  <si>
    <t>통기저항 (ΔPr)</t>
    <phoneticPr fontId="11" type="noConversion"/>
  </si>
  <si>
    <r>
      <t xml:space="preserve">  1구간 ΔPr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* Vr</t>
    </r>
    <r>
      <rPr>
        <vertAlign val="subscript"/>
        <sz val="10"/>
        <rFont val="굴림체"/>
        <family val="3"/>
        <charset val="129"/>
      </rPr>
      <t>1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</si>
  <si>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r>
      <t xml:space="preserve">  2구간 ΔPr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* Vr</t>
    </r>
    <r>
      <rPr>
        <vertAlign val="subscript"/>
        <sz val="10"/>
        <rFont val="굴림체"/>
        <family val="3"/>
        <charset val="129"/>
      </rPr>
      <t>2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</si>
  <si>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r>
      <t xml:space="preserve">  3구간 ΔPr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* Vr</t>
    </r>
    <r>
      <rPr>
        <vertAlign val="subscript"/>
        <sz val="10"/>
        <rFont val="굴림체"/>
        <family val="3"/>
        <charset val="129"/>
      </rPr>
      <t>3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</si>
  <si>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r>
      <t xml:space="preserve">  4구간 ΔPr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* Vr</t>
    </r>
    <r>
      <rPr>
        <vertAlign val="subscript"/>
        <sz val="10"/>
        <rFont val="굴림체"/>
        <family val="3"/>
        <charset val="129"/>
      </rPr>
      <t>4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</si>
  <si>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r>
      <t xml:space="preserve">  전구간 합계</t>
    </r>
    <r>
      <rPr>
        <vertAlign val="superscript"/>
        <sz val="10"/>
        <rFont val="굴림체"/>
        <family val="3"/>
        <charset val="129"/>
      </rPr>
      <t xml:space="preserve"> </t>
    </r>
    <phoneticPr fontId="11" type="noConversion"/>
  </si>
  <si>
    <t>저항자연풍 (ΔPm)</t>
    <phoneticPr fontId="11" type="noConversion"/>
  </si>
  <si>
    <r>
      <t xml:space="preserve">  1구간 ΔPm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* Vn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</si>
  <si>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r>
      <t xml:space="preserve">  2구간 ΔPm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* Vn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</si>
  <si>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r>
      <t xml:space="preserve">  3구간 ΔPm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* Vn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</si>
  <si>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r>
      <t xml:space="preserve">  4구간 ΔPm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= a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* Vn</t>
    </r>
    <r>
      <rPr>
        <vertAlign val="superscript"/>
        <sz val="10"/>
        <rFont val="굴림체"/>
        <family val="3"/>
        <charset val="129"/>
      </rPr>
      <t xml:space="preserve">2 </t>
    </r>
    <phoneticPr fontId="11" type="noConversion"/>
  </si>
  <si>
    <t>교통환기력 (ΔPt)</t>
    <phoneticPr fontId="11" type="noConversion"/>
  </si>
  <si>
    <r>
      <t xml:space="preserve">  1구간 ΔPt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* ( Vt -Vr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)</t>
    </r>
    <r>
      <rPr>
        <vertAlign val="superscript"/>
        <sz val="10"/>
        <rFont val="굴림체"/>
        <family val="3"/>
        <charset val="129"/>
      </rPr>
      <t xml:space="preserve">2 </t>
    </r>
    <r>
      <rPr>
        <sz val="10"/>
        <rFont val="굴림체"/>
        <family val="3"/>
        <charset val="129"/>
      </rPr>
      <t xml:space="preserve"> </t>
    </r>
    <phoneticPr fontId="11" type="noConversion"/>
  </si>
  <si>
    <r>
      <t xml:space="preserve">  2구간 ΔPt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* ( Vt -Vr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)</t>
    </r>
    <r>
      <rPr>
        <vertAlign val="superscript"/>
        <sz val="10"/>
        <rFont val="굴림체"/>
        <family val="3"/>
        <charset val="129"/>
      </rPr>
      <t xml:space="preserve">2 </t>
    </r>
    <r>
      <rPr>
        <sz val="10"/>
        <rFont val="굴림체"/>
        <family val="3"/>
        <charset val="129"/>
      </rPr>
      <t xml:space="preserve"> </t>
    </r>
    <phoneticPr fontId="11" type="noConversion"/>
  </si>
  <si>
    <r>
      <t xml:space="preserve">  3구간 ΔPt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* ( Vt -Vr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)</t>
    </r>
    <r>
      <rPr>
        <vertAlign val="superscript"/>
        <sz val="10"/>
        <rFont val="굴림체"/>
        <family val="3"/>
        <charset val="129"/>
      </rPr>
      <t xml:space="preserve">2 </t>
    </r>
    <r>
      <rPr>
        <sz val="10"/>
        <rFont val="굴림체"/>
        <family val="3"/>
        <charset val="129"/>
      </rPr>
      <t xml:space="preserve"> </t>
    </r>
    <phoneticPr fontId="11" type="noConversion"/>
  </si>
  <si>
    <r>
      <t xml:space="preserve">  4구간 ΔPt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= b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>* ( Vt -Vr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)</t>
    </r>
    <r>
      <rPr>
        <vertAlign val="superscript"/>
        <sz val="10"/>
        <rFont val="굴림체"/>
        <family val="3"/>
        <charset val="129"/>
      </rPr>
      <t xml:space="preserve">2 </t>
    </r>
    <r>
      <rPr>
        <sz val="10"/>
        <rFont val="굴림체"/>
        <family val="3"/>
        <charset val="129"/>
      </rPr>
      <t xml:space="preserve"> </t>
    </r>
    <phoneticPr fontId="11" type="noConversion"/>
  </si>
  <si>
    <t>집진기승압력 (ΔPc)</t>
    <phoneticPr fontId="11" type="noConversion"/>
  </si>
  <si>
    <r>
      <t xml:space="preserve">  집진기 #1 ΔPc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*Vr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+ d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</t>
    </r>
    <phoneticPr fontId="11" type="noConversion"/>
  </si>
  <si>
    <r>
      <t xml:space="preserve">  집진기 #2 ΔPc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*Vr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+ d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</t>
    </r>
    <phoneticPr fontId="11" type="noConversion"/>
  </si>
  <si>
    <r>
      <t xml:space="preserve">  집진기 #3 ΔPc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*Vr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+ d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</t>
    </r>
    <phoneticPr fontId="11" type="noConversion"/>
  </si>
  <si>
    <t>수직갱승압력 (ΔPb) - 급기</t>
    <phoneticPr fontId="11" type="noConversion"/>
  </si>
  <si>
    <r>
      <t xml:space="preserve">  수직갱#1 ΔPb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= f</t>
    </r>
    <r>
      <rPr>
        <vertAlign val="subscript"/>
        <sz val="10"/>
        <rFont val="굴림체"/>
        <family val="3"/>
        <charset val="129"/>
      </rPr>
      <t>b1</t>
    </r>
    <r>
      <rPr>
        <sz val="10"/>
        <rFont val="굴림체"/>
        <family val="3"/>
        <charset val="129"/>
      </rPr>
      <t>*Vr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+ g</t>
    </r>
    <r>
      <rPr>
        <vertAlign val="subscript"/>
        <sz val="10"/>
        <rFont val="굴림체"/>
        <family val="3"/>
        <charset val="129"/>
      </rPr>
      <t>b1</t>
    </r>
    <phoneticPr fontId="11" type="noConversion"/>
  </si>
  <si>
    <r>
      <t xml:space="preserve">  수직갱#2 ΔPb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f</t>
    </r>
    <r>
      <rPr>
        <vertAlign val="subscript"/>
        <sz val="10"/>
        <rFont val="굴림체"/>
        <family val="3"/>
        <charset val="129"/>
      </rPr>
      <t>b2</t>
    </r>
    <r>
      <rPr>
        <sz val="10"/>
        <rFont val="굴림체"/>
        <family val="3"/>
        <charset val="129"/>
      </rPr>
      <t>*Vr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+ g</t>
    </r>
    <r>
      <rPr>
        <vertAlign val="subscript"/>
        <sz val="10"/>
        <rFont val="굴림체"/>
        <family val="3"/>
        <charset val="129"/>
      </rPr>
      <t>b2</t>
    </r>
    <phoneticPr fontId="11" type="noConversion"/>
  </si>
  <si>
    <r>
      <t xml:space="preserve">  수직갱#3 ΔPb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f</t>
    </r>
    <r>
      <rPr>
        <vertAlign val="subscript"/>
        <sz val="10"/>
        <rFont val="굴림체"/>
        <family val="3"/>
        <charset val="129"/>
      </rPr>
      <t>b3</t>
    </r>
    <r>
      <rPr>
        <sz val="10"/>
        <rFont val="굴림체"/>
        <family val="3"/>
        <charset val="129"/>
      </rPr>
      <t>*Vr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+ g</t>
    </r>
    <r>
      <rPr>
        <vertAlign val="subscript"/>
        <sz val="10"/>
        <rFont val="굴림체"/>
        <family val="3"/>
        <charset val="129"/>
      </rPr>
      <t>b3</t>
    </r>
    <phoneticPr fontId="11" type="noConversion"/>
  </si>
  <si>
    <t>VMS 설치 개소</t>
    <phoneticPr fontId="11" type="noConversion"/>
  </si>
  <si>
    <t>1구간</t>
    <phoneticPr fontId="4" type="noConversion"/>
  </si>
  <si>
    <t>2구간</t>
    <phoneticPr fontId="4" type="noConversion"/>
  </si>
  <si>
    <t>3구간</t>
    <phoneticPr fontId="4" type="noConversion"/>
  </si>
  <si>
    <t>VMS 저항손실 (ΔPvms)</t>
    <phoneticPr fontId="11" type="noConversion"/>
  </si>
  <si>
    <r>
      <t xml:space="preserve">  1구간 ΔP</t>
    </r>
    <r>
      <rPr>
        <vertAlign val="subscript"/>
        <sz val="10"/>
        <rFont val="굴림체"/>
        <family val="3"/>
        <charset val="129"/>
      </rPr>
      <t>vms1</t>
    </r>
    <r>
      <rPr>
        <sz val="10"/>
        <rFont val="굴림체"/>
        <family val="3"/>
        <charset val="129"/>
      </rPr>
      <t xml:space="preserve"> = ξ x ρ/2 x V</t>
    </r>
    <r>
      <rPr>
        <vertAlign val="subscript"/>
        <sz val="10"/>
        <rFont val="굴림체"/>
        <family val="3"/>
        <charset val="129"/>
      </rPr>
      <t>r1</t>
    </r>
    <r>
      <rPr>
        <vertAlign val="super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x n</t>
    </r>
    <r>
      <rPr>
        <vertAlign val="subscript"/>
        <sz val="10"/>
        <rFont val="굴림체"/>
        <family val="3"/>
        <charset val="129"/>
      </rPr>
      <t>1</t>
    </r>
    <r>
      <rPr>
        <vertAlign val="superscript"/>
        <sz val="10"/>
        <rFont val="굴림체"/>
        <family val="3"/>
        <charset val="129"/>
      </rPr>
      <t xml:space="preserve"> </t>
    </r>
    <r>
      <rPr>
        <sz val="10"/>
        <rFont val="굴림체"/>
        <family val="3"/>
        <charset val="129"/>
      </rPr>
      <t xml:space="preserve"> </t>
    </r>
    <phoneticPr fontId="11" type="noConversion"/>
  </si>
  <si>
    <r>
      <t xml:space="preserve">  2구간 ΔP</t>
    </r>
    <r>
      <rPr>
        <vertAlign val="subscript"/>
        <sz val="10"/>
        <rFont val="굴림체"/>
        <family val="3"/>
        <charset val="129"/>
      </rPr>
      <t>vms2</t>
    </r>
    <r>
      <rPr>
        <sz val="10"/>
        <rFont val="굴림체"/>
        <family val="3"/>
        <charset val="129"/>
      </rPr>
      <t xml:space="preserve"> = ξ x ρ/2 x V</t>
    </r>
    <r>
      <rPr>
        <vertAlign val="subscript"/>
        <sz val="10"/>
        <rFont val="굴림체"/>
        <family val="3"/>
        <charset val="129"/>
      </rPr>
      <t>r2</t>
    </r>
    <r>
      <rPr>
        <vertAlign val="super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x n</t>
    </r>
    <r>
      <rPr>
        <vertAlign val="subscript"/>
        <sz val="10"/>
        <rFont val="굴림체"/>
        <family val="3"/>
        <charset val="129"/>
      </rPr>
      <t>2</t>
    </r>
    <r>
      <rPr>
        <vertAlign val="superscript"/>
        <sz val="10"/>
        <rFont val="굴림체"/>
        <family val="3"/>
        <charset val="129"/>
      </rPr>
      <t xml:space="preserve"> </t>
    </r>
    <r>
      <rPr>
        <sz val="10"/>
        <rFont val="굴림체"/>
        <family val="3"/>
        <charset val="129"/>
      </rPr>
      <t xml:space="preserve"> </t>
    </r>
    <phoneticPr fontId="11" type="noConversion"/>
  </si>
  <si>
    <r>
      <t xml:space="preserve">  3구간 ΔP</t>
    </r>
    <r>
      <rPr>
        <vertAlign val="subscript"/>
        <sz val="10"/>
        <rFont val="굴림체"/>
        <family val="3"/>
        <charset val="129"/>
      </rPr>
      <t>vms3</t>
    </r>
    <r>
      <rPr>
        <sz val="10"/>
        <rFont val="굴림체"/>
        <family val="3"/>
        <charset val="129"/>
      </rPr>
      <t xml:space="preserve"> = ξ x ρ/2 x V</t>
    </r>
    <r>
      <rPr>
        <vertAlign val="subscript"/>
        <sz val="10"/>
        <rFont val="굴림체"/>
        <family val="3"/>
        <charset val="129"/>
      </rPr>
      <t>r3</t>
    </r>
    <r>
      <rPr>
        <vertAlign val="super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x n</t>
    </r>
    <r>
      <rPr>
        <vertAlign val="subscript"/>
        <sz val="10"/>
        <rFont val="굴림체"/>
        <family val="3"/>
        <charset val="129"/>
      </rPr>
      <t>3</t>
    </r>
    <r>
      <rPr>
        <vertAlign val="superscript"/>
        <sz val="10"/>
        <rFont val="굴림체"/>
        <family val="3"/>
        <charset val="129"/>
      </rPr>
      <t xml:space="preserve"> </t>
    </r>
    <r>
      <rPr>
        <sz val="10"/>
        <rFont val="굴림체"/>
        <family val="3"/>
        <charset val="129"/>
      </rPr>
      <t xml:space="preserve"> </t>
    </r>
    <phoneticPr fontId="11" type="noConversion"/>
  </si>
  <si>
    <t>승압력 집계</t>
    <phoneticPr fontId="4" type="noConversion"/>
  </si>
  <si>
    <t xml:space="preserve">  통기저항 (ΔPr)</t>
    <phoneticPr fontId="11" type="noConversion"/>
  </si>
  <si>
    <t xml:space="preserve">  통기저항 (ΔPr)</t>
    <phoneticPr fontId="11" type="noConversion"/>
  </si>
  <si>
    <t xml:space="preserve">  저항자연풍 (ΔPm)</t>
    <phoneticPr fontId="11" type="noConversion"/>
  </si>
  <si>
    <t xml:space="preserve">  저항자연풍 (ΔPm)</t>
    <phoneticPr fontId="11" type="noConversion"/>
  </si>
  <si>
    <t xml:space="preserve">  교통환기력 (ΔPt)</t>
    <phoneticPr fontId="11" type="noConversion"/>
  </si>
  <si>
    <t xml:space="preserve">  집진기승압력 (ΔPc)</t>
    <phoneticPr fontId="11" type="noConversion"/>
  </si>
  <si>
    <t xml:space="preserve">  집진기승압력 (ΔPc)</t>
    <phoneticPr fontId="11" type="noConversion"/>
  </si>
  <si>
    <t xml:space="preserve">  수직갱승압력 (ΔPb)</t>
    <phoneticPr fontId="11" type="noConversion"/>
  </si>
  <si>
    <t xml:space="preserve">  수직갱승압력 (ΔPb)</t>
    <phoneticPr fontId="11" type="noConversion"/>
  </si>
  <si>
    <t xml:space="preserve">  VMS 저항손실 (ΔPvms)</t>
    <phoneticPr fontId="11" type="noConversion"/>
  </si>
  <si>
    <t>필요승압력 ΔPq</t>
    <phoneticPr fontId="11" type="noConversion"/>
  </si>
  <si>
    <t xml:space="preserve">  ΔPq = Pr+Pm-Pt-Pc-Pb</t>
    <phoneticPr fontId="11" type="noConversion"/>
  </si>
  <si>
    <t>집진기댓수 ( Nc )</t>
  </si>
  <si>
    <t>집진기효율 (ηc )</t>
  </si>
  <si>
    <t>집진기용량(Qc)</t>
    <phoneticPr fontId="4" type="noConversion"/>
  </si>
  <si>
    <r>
      <t xml:space="preserve">  집진기#1 (Qc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</si>
  <si>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집진기#2 (Qc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</si>
  <si>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집진기#3 (Qc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</t>
    </r>
    <phoneticPr fontId="4" type="noConversion"/>
  </si>
  <si>
    <t>수직갱댓수 ( Ns )</t>
    <phoneticPr fontId="11" type="noConversion"/>
  </si>
  <si>
    <t>송기계수 ( Kb )</t>
  </si>
  <si>
    <t>수직갱용량(Qb)</t>
    <phoneticPr fontId="4" type="noConversion"/>
  </si>
  <si>
    <r>
      <t xml:space="preserve">  수직갱#1 (Qb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 - 급기</t>
    </r>
    <phoneticPr fontId="4" type="noConversion"/>
  </si>
  <si>
    <r>
      <t xml:space="preserve">  수직갱#1 (Qe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) - 배기</t>
    </r>
    <phoneticPr fontId="4" type="noConversion"/>
  </si>
  <si>
    <r>
      <t xml:space="preserve">  수직갱#2 (Qb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 - 급기</t>
    </r>
    <phoneticPr fontId="4" type="noConversion"/>
  </si>
  <si>
    <r>
      <t xml:space="preserve">  수직갱#2 (Qe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 - 배기</t>
    </r>
    <phoneticPr fontId="4" type="noConversion"/>
  </si>
  <si>
    <r>
      <t xml:space="preserve">  수직갱#2 (Qe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) - 배기</t>
    </r>
    <phoneticPr fontId="4" type="noConversion"/>
  </si>
  <si>
    <r>
      <t xml:space="preserve">  수직갱#3 (Qb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 - 급기</t>
    </r>
    <phoneticPr fontId="4" type="noConversion"/>
  </si>
  <si>
    <r>
      <t xml:space="preserve">  수직갱#3 (Qe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) - 배기</t>
    </r>
    <phoneticPr fontId="4" type="noConversion"/>
  </si>
  <si>
    <t>제트팬 수량 결정</t>
    <phoneticPr fontId="4" type="noConversion"/>
  </si>
  <si>
    <t>적용Jet Fan 직경 (Φ)</t>
    <phoneticPr fontId="11" type="noConversion"/>
  </si>
  <si>
    <t>▶ 젯트팬 설치간격 ;</t>
    <phoneticPr fontId="4" type="noConversion"/>
  </si>
  <si>
    <t>m ◀</t>
    <phoneticPr fontId="4" type="noConversion"/>
  </si>
  <si>
    <t xml:space="preserve">젯트팬승압력 ΔPj = -e*Vr + e*Vj </t>
    <phoneticPr fontId="11" type="noConversion"/>
  </si>
  <si>
    <t>분류효율 (η1)</t>
    <phoneticPr fontId="4" type="noConversion"/>
  </si>
  <si>
    <t>분류효율 (η2)</t>
    <phoneticPr fontId="4" type="noConversion"/>
  </si>
  <si>
    <t>분류효율 (η2)</t>
    <phoneticPr fontId="4" type="noConversion"/>
  </si>
  <si>
    <t>소요젯트팬수 (Z)</t>
    <phoneticPr fontId="11" type="noConversion"/>
  </si>
  <si>
    <t>적용수량 Z(대) 임의대수</t>
    <phoneticPr fontId="11" type="noConversion"/>
  </si>
  <si>
    <t>적용수량 Z(대)</t>
    <phoneticPr fontId="11" type="noConversion"/>
  </si>
  <si>
    <t>수직갱용량  (임의 지정 : 급기) - 수직갱# 1</t>
    <phoneticPr fontId="4" type="noConversion"/>
  </si>
  <si>
    <t>CMS</t>
    <phoneticPr fontId="4" type="noConversion"/>
  </si>
  <si>
    <t>수직갱 #2</t>
    <phoneticPr fontId="4" type="noConversion"/>
  </si>
  <si>
    <t>수직갱 #3</t>
    <phoneticPr fontId="4" type="noConversion"/>
  </si>
  <si>
    <t>수직갱용량  (임의 지정 : 배기) - 수직갱# 1</t>
    <phoneticPr fontId="4" type="noConversion"/>
  </si>
  <si>
    <t>집진기용량  (임의 지정 용량) - 집진기# 1</t>
    <phoneticPr fontId="4" type="noConversion"/>
  </si>
  <si>
    <t>집진기 #2</t>
    <phoneticPr fontId="4" type="noConversion"/>
  </si>
  <si>
    <t>집진기 #3</t>
    <phoneticPr fontId="4" type="noConversion"/>
  </si>
  <si>
    <t>젯트팬대수 (임의대수입력시)</t>
    <phoneticPr fontId="4" type="noConversion"/>
  </si>
  <si>
    <t>대</t>
    <phoneticPr fontId="4" type="noConversion"/>
  </si>
  <si>
    <t>적용 대수</t>
    <phoneticPr fontId="4" type="noConversion"/>
  </si>
  <si>
    <t>적용대수</t>
    <phoneticPr fontId="4" type="noConversion"/>
  </si>
  <si>
    <t>제트팬 적용 수량(구간별)</t>
    <phoneticPr fontId="4" type="noConversion"/>
  </si>
  <si>
    <t>적용구간</t>
    <phoneticPr fontId="4" type="noConversion"/>
  </si>
  <si>
    <t>구간</t>
    <phoneticPr fontId="4" type="noConversion"/>
  </si>
  <si>
    <t xml:space="preserve">  1구간 (Z1)</t>
    <phoneticPr fontId="4" type="noConversion"/>
  </si>
  <si>
    <t xml:space="preserve">  1구간</t>
    <phoneticPr fontId="4" type="noConversion"/>
  </si>
  <si>
    <t xml:space="preserve">  2구간 (Z2)</t>
    <phoneticPr fontId="4" type="noConversion"/>
  </si>
  <si>
    <t xml:space="preserve">  2구간</t>
    <phoneticPr fontId="4" type="noConversion"/>
  </si>
  <si>
    <t xml:space="preserve">  3구간 (Z3)</t>
    <phoneticPr fontId="4" type="noConversion"/>
  </si>
  <si>
    <t xml:space="preserve">  3구간</t>
    <phoneticPr fontId="4" type="noConversion"/>
  </si>
  <si>
    <t xml:space="preserve">  4구간 (Z4)</t>
    <phoneticPr fontId="4" type="noConversion"/>
  </si>
  <si>
    <t xml:space="preserve">  4구간</t>
    <phoneticPr fontId="4" type="noConversion"/>
  </si>
  <si>
    <t>터널내 실제 풍량 계산</t>
    <phoneticPr fontId="4" type="noConversion"/>
  </si>
  <si>
    <t>전구간 평균</t>
    <phoneticPr fontId="4" type="noConversion"/>
  </si>
  <si>
    <r>
      <t xml:space="preserve">  Vr</t>
    </r>
    <r>
      <rPr>
        <sz val="10"/>
        <rFont val="굴림체"/>
        <family val="3"/>
        <charset val="129"/>
      </rPr>
      <t>*=-B</t>
    </r>
    <r>
      <rPr>
        <sz val="10"/>
        <rFont val="굴림체"/>
        <family val="3"/>
        <charset val="129"/>
      </rPr>
      <t>+√(B</t>
    </r>
    <r>
      <rPr>
        <vertAlign val="super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-4A</t>
    </r>
    <r>
      <rPr>
        <sz val="10"/>
        <rFont val="굴림체"/>
        <family val="3"/>
        <charset val="129"/>
      </rPr>
      <t>C</t>
    </r>
    <r>
      <rPr>
        <sz val="10"/>
        <rFont val="굴림체"/>
        <family val="3"/>
        <charset val="129"/>
      </rPr>
      <t>)/(2A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</si>
  <si>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√(B</t>
    </r>
    <r>
      <rPr>
        <vertAlign val="super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-4*A</t>
    </r>
    <r>
      <rPr>
        <sz val="10"/>
        <rFont val="굴림체"/>
        <family val="3"/>
        <charset val="129"/>
      </rPr>
      <t>*C</t>
    </r>
    <r>
      <rPr>
        <sz val="10"/>
        <rFont val="굴림체"/>
        <family val="3"/>
        <charset val="129"/>
      </rPr>
      <t>)</t>
    </r>
    <phoneticPr fontId="4" type="noConversion"/>
  </si>
  <si>
    <r>
      <t xml:space="preserve">  A</t>
    </r>
    <r>
      <rPr>
        <sz val="10"/>
        <rFont val="굴림체"/>
        <family val="3"/>
        <charset val="129"/>
      </rPr>
      <t xml:space="preserve"> = a</t>
    </r>
    <r>
      <rPr>
        <sz val="10"/>
        <rFont val="굴림체"/>
        <family val="3"/>
        <charset val="129"/>
      </rPr>
      <t xml:space="preserve"> - b</t>
    </r>
    <phoneticPr fontId="11" type="noConversion"/>
  </si>
  <si>
    <r>
      <t xml:space="preserve">  B</t>
    </r>
    <r>
      <rPr>
        <sz val="10"/>
        <rFont val="굴림체"/>
        <family val="3"/>
        <charset val="129"/>
      </rPr>
      <t xml:space="preserve"> = 2*b</t>
    </r>
    <r>
      <rPr>
        <sz val="10"/>
        <rFont val="굴림체"/>
        <family val="3"/>
        <charset val="129"/>
      </rPr>
      <t>*Vt - c</t>
    </r>
    <r>
      <rPr>
        <sz val="10"/>
        <rFont val="굴림체"/>
        <family val="3"/>
        <charset val="129"/>
      </rPr>
      <t xml:space="preserve"> - f</t>
    </r>
    <r>
      <rPr>
        <vertAlign val="subscript"/>
        <sz val="10"/>
        <rFont val="굴림체"/>
        <family val="3"/>
        <charset val="129"/>
      </rPr>
      <t>b</t>
    </r>
    <r>
      <rPr>
        <sz val="10"/>
        <rFont val="굴림체"/>
        <family val="3"/>
        <charset val="129"/>
      </rPr>
      <t xml:space="preserve"> + e *Z</t>
    </r>
    <phoneticPr fontId="11" type="noConversion"/>
  </si>
  <si>
    <r>
      <t xml:space="preserve">  C = -b*Vt</t>
    </r>
    <r>
      <rPr>
        <vertAlign val="super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-e*Z*Vj+a*Vn</t>
    </r>
    <r>
      <rPr>
        <vertAlign val="super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-d-g</t>
    </r>
    <r>
      <rPr>
        <vertAlign val="subscript"/>
        <sz val="10"/>
        <rFont val="굴림체"/>
        <family val="3"/>
        <charset val="129"/>
      </rPr>
      <t xml:space="preserve">b </t>
    </r>
    <phoneticPr fontId="11" type="noConversion"/>
  </si>
  <si>
    <r>
      <t xml:space="preserve">  Qr</t>
    </r>
    <r>
      <rPr>
        <sz val="10"/>
        <rFont val="굴림체"/>
        <family val="3"/>
        <charset val="129"/>
      </rPr>
      <t>*</t>
    </r>
    <phoneticPr fontId="4" type="noConversion"/>
  </si>
  <si>
    <r>
      <t>1구간 풍량  Qr</t>
    </r>
    <r>
      <rPr>
        <b/>
        <vertAlign val="subscript"/>
        <sz val="10"/>
        <rFont val="굴림체"/>
        <family val="3"/>
        <charset val="129"/>
      </rPr>
      <t>1</t>
    </r>
    <r>
      <rPr>
        <b/>
        <sz val="10"/>
        <rFont val="굴림체"/>
        <family val="3"/>
        <charset val="129"/>
      </rPr>
      <t>*</t>
    </r>
    <phoneticPr fontId="4" type="noConversion"/>
  </si>
  <si>
    <r>
      <t>1구간 풍량  Qr</t>
    </r>
    <r>
      <rPr>
        <b/>
        <vertAlign val="subscript"/>
        <sz val="10"/>
        <rFont val="굴림체"/>
        <family val="3"/>
        <charset val="129"/>
      </rPr>
      <t>1</t>
    </r>
    <r>
      <rPr>
        <b/>
        <sz val="10"/>
        <rFont val="굴림체"/>
        <family val="3"/>
        <charset val="129"/>
      </rPr>
      <t>*</t>
    </r>
    <phoneticPr fontId="4" type="noConversion"/>
  </si>
  <si>
    <r>
      <t>2구간 풍량  Qr</t>
    </r>
    <r>
      <rPr>
        <b/>
        <vertAlign val="subscript"/>
        <sz val="10"/>
        <rFont val="굴림체"/>
        <family val="3"/>
        <charset val="129"/>
      </rPr>
      <t>2</t>
    </r>
    <r>
      <rPr>
        <b/>
        <sz val="10"/>
        <rFont val="굴림체"/>
        <family val="3"/>
        <charset val="129"/>
      </rPr>
      <t>*</t>
    </r>
    <phoneticPr fontId="4" type="noConversion"/>
  </si>
  <si>
    <r>
      <t>3구간 풍량  Qr</t>
    </r>
    <r>
      <rPr>
        <b/>
        <vertAlign val="subscript"/>
        <sz val="10"/>
        <rFont val="굴림체"/>
        <family val="3"/>
        <charset val="129"/>
      </rPr>
      <t>3</t>
    </r>
    <r>
      <rPr>
        <b/>
        <sz val="10"/>
        <rFont val="굴림체"/>
        <family val="3"/>
        <charset val="129"/>
      </rPr>
      <t>*</t>
    </r>
    <phoneticPr fontId="4" type="noConversion"/>
  </si>
  <si>
    <r>
      <t>4구간 풍량  Qr</t>
    </r>
    <r>
      <rPr>
        <b/>
        <vertAlign val="subscript"/>
        <sz val="10"/>
        <rFont val="굴림체"/>
        <family val="3"/>
        <charset val="129"/>
      </rPr>
      <t>4</t>
    </r>
    <r>
      <rPr>
        <b/>
        <sz val="10"/>
        <rFont val="굴림체"/>
        <family val="3"/>
        <charset val="129"/>
      </rPr>
      <t>*</t>
    </r>
    <phoneticPr fontId="4" type="noConversion"/>
  </si>
  <si>
    <r>
      <t>Qtreq = Qreq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+Qreq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+ Qreq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+∼Qreq</t>
    </r>
    <r>
      <rPr>
        <vertAlign val="subscript"/>
        <sz val="10"/>
        <rFont val="굴림체"/>
        <family val="3"/>
        <charset val="129"/>
      </rPr>
      <t>7</t>
    </r>
    <phoneticPr fontId="11" type="noConversion"/>
  </si>
  <si>
    <r>
      <t>Qreq</t>
    </r>
    <r>
      <rPr>
        <vertAlign val="subscript"/>
        <sz val="10"/>
        <rFont val="굴림체"/>
        <family val="3"/>
        <charset val="129"/>
      </rPr>
      <t xml:space="preserve">1 </t>
    </r>
    <r>
      <rPr>
        <sz val="10"/>
        <rFont val="굴림체"/>
        <family val="3"/>
        <charset val="129"/>
      </rPr>
      <t>= Qtreq-Qreq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- Qreq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-∼Qreq</t>
    </r>
    <r>
      <rPr>
        <vertAlign val="subscript"/>
        <sz val="10"/>
        <rFont val="굴림체"/>
        <family val="3"/>
        <charset val="129"/>
      </rPr>
      <t>7</t>
    </r>
    <phoneticPr fontId="11" type="noConversion"/>
  </si>
  <si>
    <r>
      <t>Qreq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= Qtreq * L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 / Lr</t>
    </r>
    <phoneticPr fontId="11" type="noConversion"/>
  </si>
  <si>
    <r>
      <t>Qreq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= Qtreq * L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 / Lr</t>
    </r>
    <phoneticPr fontId="11" type="noConversion"/>
  </si>
  <si>
    <r>
      <t>Qreq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= Qtreq * L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 / Lr</t>
    </r>
    <phoneticPr fontId="11" type="noConversion"/>
  </si>
  <si>
    <r>
      <t>Qreq</t>
    </r>
    <r>
      <rPr>
        <vertAlign val="subscript"/>
        <sz val="10"/>
        <rFont val="굴림체"/>
        <family val="3"/>
        <charset val="129"/>
      </rPr>
      <t>5</t>
    </r>
    <r>
      <rPr>
        <sz val="10"/>
        <rFont val="굴림체"/>
        <family val="3"/>
        <charset val="129"/>
      </rPr>
      <t xml:space="preserve"> = Qtreq * L</t>
    </r>
    <r>
      <rPr>
        <vertAlign val="subscript"/>
        <sz val="10"/>
        <rFont val="굴림체"/>
        <family val="3"/>
        <charset val="129"/>
      </rPr>
      <t>5</t>
    </r>
    <r>
      <rPr>
        <sz val="10"/>
        <rFont val="굴림체"/>
        <family val="3"/>
        <charset val="129"/>
      </rPr>
      <t xml:space="preserve">  / Lr</t>
    </r>
    <phoneticPr fontId="11" type="noConversion"/>
  </si>
  <si>
    <r>
      <t>Qreq</t>
    </r>
    <r>
      <rPr>
        <vertAlign val="subscript"/>
        <sz val="10"/>
        <rFont val="굴림체"/>
        <family val="3"/>
        <charset val="129"/>
      </rPr>
      <t>6</t>
    </r>
    <r>
      <rPr>
        <sz val="10"/>
        <rFont val="굴림체"/>
        <family val="3"/>
        <charset val="129"/>
      </rPr>
      <t xml:space="preserve"> = Qtreq * L</t>
    </r>
    <r>
      <rPr>
        <vertAlign val="subscript"/>
        <sz val="10"/>
        <rFont val="굴림체"/>
        <family val="3"/>
        <charset val="129"/>
      </rPr>
      <t>6</t>
    </r>
    <r>
      <rPr>
        <sz val="10"/>
        <rFont val="굴림체"/>
        <family val="3"/>
        <charset val="129"/>
      </rPr>
      <t xml:space="preserve">  / Lr</t>
    </r>
    <phoneticPr fontId="11" type="noConversion"/>
  </si>
  <si>
    <r>
      <t>Qreq</t>
    </r>
    <r>
      <rPr>
        <vertAlign val="subscript"/>
        <sz val="10"/>
        <rFont val="굴림체"/>
        <family val="3"/>
        <charset val="129"/>
      </rPr>
      <t xml:space="preserve">7 </t>
    </r>
    <r>
      <rPr>
        <sz val="10"/>
        <rFont val="굴림체"/>
        <family val="3"/>
        <charset val="129"/>
      </rPr>
      <t>= Qtreq * L</t>
    </r>
    <r>
      <rPr>
        <vertAlign val="subscript"/>
        <sz val="10"/>
        <rFont val="굴림체"/>
        <family val="3"/>
        <charset val="129"/>
      </rPr>
      <t>7</t>
    </r>
    <r>
      <rPr>
        <sz val="10"/>
        <rFont val="굴림체"/>
        <family val="3"/>
        <charset val="129"/>
      </rPr>
      <t xml:space="preserve">  / Lr</t>
    </r>
    <phoneticPr fontId="11" type="noConversion"/>
  </si>
  <si>
    <t>2. 농도 해석</t>
    <phoneticPr fontId="11" type="noConversion"/>
  </si>
  <si>
    <t>년</t>
    <phoneticPr fontId="11" type="noConversion"/>
  </si>
  <si>
    <t>년</t>
    <phoneticPr fontId="11" type="noConversion"/>
  </si>
  <si>
    <t>구              분</t>
    <phoneticPr fontId="11" type="noConversion"/>
  </si>
  <si>
    <t>구              분</t>
    <phoneticPr fontId="11" type="noConversion"/>
  </si>
  <si>
    <t xml:space="preserve"> </t>
    <phoneticPr fontId="11" type="noConversion"/>
  </si>
  <si>
    <t>농도비 C₁</t>
  </si>
  <si>
    <r>
      <t>농도비 C₂= 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/ Qr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*</t>
    </r>
    <phoneticPr fontId="11" type="noConversion"/>
  </si>
  <si>
    <r>
      <t>농도비 C₂= 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/ Qr*</t>
    </r>
    <phoneticPr fontId="11" type="noConversion"/>
  </si>
  <si>
    <r>
      <t>농도비 C₃= 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*(1- Qb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*Kb / Qr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*)</t>
    </r>
    <phoneticPr fontId="4" type="noConversion"/>
  </si>
  <si>
    <r>
      <t>농도비 C₃= 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*(1- Qb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>*Kb / Qr*)</t>
    </r>
    <phoneticPr fontId="4" type="noConversion"/>
  </si>
  <si>
    <r>
      <t>농도비 C₄= 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/Qr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*</t>
    </r>
    <phoneticPr fontId="4" type="noConversion"/>
  </si>
  <si>
    <r>
      <t>농도비 C₄= 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>/Qr*</t>
    </r>
  </si>
  <si>
    <r>
      <t>농도비 C</t>
    </r>
    <r>
      <rPr>
        <vertAlign val="subscript"/>
        <sz val="10"/>
        <rFont val="굴림체"/>
        <family val="3"/>
        <charset val="129"/>
      </rPr>
      <t>5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 xml:space="preserve">4 </t>
    </r>
    <r>
      <rPr>
        <sz val="10"/>
        <rFont val="굴림체"/>
        <family val="3"/>
        <charset val="129"/>
      </rPr>
      <t>* (1- Qb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*Kb / Qr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*)</t>
    </r>
    <phoneticPr fontId="11" type="noConversion"/>
  </si>
  <si>
    <r>
      <t>농도비 C</t>
    </r>
    <r>
      <rPr>
        <vertAlign val="subscript"/>
        <sz val="10"/>
        <rFont val="굴림체"/>
        <family val="3"/>
        <charset val="129"/>
      </rPr>
      <t>5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 xml:space="preserve">4 </t>
    </r>
    <r>
      <rPr>
        <sz val="10"/>
        <rFont val="굴림체"/>
        <family val="3"/>
        <charset val="129"/>
      </rPr>
      <t>* (1- Qb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*Kb / Qr*)</t>
    </r>
    <phoneticPr fontId="11" type="noConversion"/>
  </si>
  <si>
    <r>
      <t>농도비 C</t>
    </r>
    <r>
      <rPr>
        <vertAlign val="subscript"/>
        <sz val="10"/>
        <rFont val="굴림체"/>
        <family val="3"/>
        <charset val="129"/>
      </rPr>
      <t>6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5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/ Qr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>*</t>
    </r>
    <phoneticPr fontId="4" type="noConversion"/>
  </si>
  <si>
    <r>
      <t>농도비 C</t>
    </r>
    <r>
      <rPr>
        <vertAlign val="subscript"/>
        <sz val="10"/>
        <rFont val="굴림체"/>
        <family val="3"/>
        <charset val="129"/>
      </rPr>
      <t>6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5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/ Qr*</t>
    </r>
  </si>
  <si>
    <r>
      <t>농도비 C</t>
    </r>
    <r>
      <rPr>
        <vertAlign val="subscript"/>
        <sz val="10"/>
        <rFont val="굴림체"/>
        <family val="3"/>
        <charset val="129"/>
      </rPr>
      <t>7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 xml:space="preserve">6 </t>
    </r>
    <r>
      <rPr>
        <sz val="10"/>
        <rFont val="굴림체"/>
        <family val="3"/>
        <charset val="129"/>
      </rPr>
      <t>* (1- Qb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*Kb / Qr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>*)</t>
    </r>
    <phoneticPr fontId="11" type="noConversion"/>
  </si>
  <si>
    <r>
      <t>농도비 C</t>
    </r>
    <r>
      <rPr>
        <vertAlign val="subscript"/>
        <sz val="10"/>
        <rFont val="굴림체"/>
        <family val="3"/>
        <charset val="129"/>
      </rPr>
      <t>7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 xml:space="preserve">6 </t>
    </r>
    <r>
      <rPr>
        <sz val="10"/>
        <rFont val="굴림체"/>
        <family val="3"/>
        <charset val="129"/>
      </rPr>
      <t>* (1- Qb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*Kb / Qr*)</t>
    </r>
    <phoneticPr fontId="11" type="noConversion"/>
  </si>
  <si>
    <r>
      <t>농도비 C</t>
    </r>
    <r>
      <rPr>
        <vertAlign val="subscript"/>
        <sz val="10"/>
        <rFont val="굴림체"/>
        <family val="3"/>
        <charset val="129"/>
      </rPr>
      <t>8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7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/ Qr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>*</t>
    </r>
    <phoneticPr fontId="4" type="noConversion"/>
  </si>
  <si>
    <r>
      <t>농도비 C</t>
    </r>
    <r>
      <rPr>
        <vertAlign val="subscript"/>
        <sz val="10"/>
        <rFont val="굴림체"/>
        <family val="3"/>
        <charset val="129"/>
      </rPr>
      <t>8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7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4</t>
    </r>
    <r>
      <rPr>
        <sz val="10"/>
        <rFont val="굴림체"/>
        <family val="3"/>
        <charset val="129"/>
      </rPr>
      <t xml:space="preserve"> / Qr*</t>
    </r>
    <phoneticPr fontId="4" type="noConversion"/>
  </si>
  <si>
    <r>
      <t>농도비 C</t>
    </r>
    <r>
      <rPr>
        <vertAlign val="subscript"/>
        <sz val="10"/>
        <rFont val="굴림체"/>
        <family val="3"/>
        <charset val="129"/>
      </rPr>
      <t>9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 xml:space="preserve">8 </t>
    </r>
    <r>
      <rPr>
        <sz val="10"/>
        <rFont val="굴림체"/>
        <family val="3"/>
        <charset val="129"/>
      </rPr>
      <t>* (1- Qc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*ηc / Qr*)</t>
    </r>
    <phoneticPr fontId="11" type="noConversion"/>
  </si>
  <si>
    <r>
      <t>농도비 C</t>
    </r>
    <r>
      <rPr>
        <vertAlign val="subscript"/>
        <sz val="10"/>
        <rFont val="굴림체"/>
        <family val="3"/>
        <charset val="129"/>
      </rPr>
      <t>10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9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5</t>
    </r>
    <r>
      <rPr>
        <sz val="10"/>
        <rFont val="굴림체"/>
        <family val="3"/>
        <charset val="129"/>
      </rPr>
      <t xml:space="preserve"> / Qr*</t>
    </r>
    <phoneticPr fontId="4" type="noConversion"/>
  </si>
  <si>
    <r>
      <t>농도비 C</t>
    </r>
    <r>
      <rPr>
        <vertAlign val="subscript"/>
        <sz val="10"/>
        <rFont val="굴림체"/>
        <family val="3"/>
        <charset val="129"/>
      </rPr>
      <t>11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 xml:space="preserve">10 </t>
    </r>
    <r>
      <rPr>
        <sz val="10"/>
        <rFont val="굴림체"/>
        <family val="3"/>
        <charset val="129"/>
      </rPr>
      <t>* (1- Qc</t>
    </r>
    <r>
      <rPr>
        <vertAlign val="subscript"/>
        <sz val="10"/>
        <rFont val="굴림체"/>
        <family val="3"/>
        <charset val="129"/>
      </rPr>
      <t>2</t>
    </r>
    <r>
      <rPr>
        <sz val="10"/>
        <rFont val="굴림체"/>
        <family val="3"/>
        <charset val="129"/>
      </rPr>
      <t xml:space="preserve"> *ηc / Qr*)</t>
    </r>
    <phoneticPr fontId="11" type="noConversion"/>
  </si>
  <si>
    <r>
      <t>농도비 C</t>
    </r>
    <r>
      <rPr>
        <vertAlign val="subscript"/>
        <sz val="10"/>
        <rFont val="굴림체"/>
        <family val="3"/>
        <charset val="129"/>
      </rPr>
      <t>12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11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6</t>
    </r>
    <r>
      <rPr>
        <sz val="10"/>
        <rFont val="굴림체"/>
        <family val="3"/>
        <charset val="129"/>
      </rPr>
      <t xml:space="preserve"> / Qr*</t>
    </r>
    <phoneticPr fontId="4" type="noConversion"/>
  </si>
  <si>
    <r>
      <t>농도비 C</t>
    </r>
    <r>
      <rPr>
        <vertAlign val="subscript"/>
        <sz val="10"/>
        <rFont val="굴림체"/>
        <family val="3"/>
        <charset val="129"/>
      </rPr>
      <t>13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 xml:space="preserve">12 </t>
    </r>
    <r>
      <rPr>
        <sz val="10"/>
        <rFont val="굴림체"/>
        <family val="3"/>
        <charset val="129"/>
      </rPr>
      <t>* (1- Qc</t>
    </r>
    <r>
      <rPr>
        <vertAlign val="subscript"/>
        <sz val="10"/>
        <rFont val="굴림체"/>
        <family val="3"/>
        <charset val="129"/>
      </rPr>
      <t>3</t>
    </r>
    <r>
      <rPr>
        <sz val="10"/>
        <rFont val="굴림체"/>
        <family val="3"/>
        <charset val="129"/>
      </rPr>
      <t xml:space="preserve"> *ηc / Qr*)</t>
    </r>
    <phoneticPr fontId="11" type="noConversion"/>
  </si>
  <si>
    <r>
      <t>농도비 C</t>
    </r>
    <r>
      <rPr>
        <vertAlign val="subscript"/>
        <sz val="10"/>
        <rFont val="굴림체"/>
        <family val="3"/>
        <charset val="129"/>
      </rPr>
      <t>14</t>
    </r>
    <r>
      <rPr>
        <sz val="10"/>
        <rFont val="굴림체"/>
        <family val="3"/>
        <charset val="129"/>
      </rPr>
      <t xml:space="preserve"> = C</t>
    </r>
    <r>
      <rPr>
        <vertAlign val="subscript"/>
        <sz val="10"/>
        <rFont val="굴림체"/>
        <family val="3"/>
        <charset val="129"/>
      </rPr>
      <t>13</t>
    </r>
    <r>
      <rPr>
        <sz val="10"/>
        <rFont val="굴림체"/>
        <family val="3"/>
        <charset val="129"/>
      </rPr>
      <t xml:space="preserve"> + Qreq</t>
    </r>
    <r>
      <rPr>
        <vertAlign val="subscript"/>
        <sz val="10"/>
        <rFont val="굴림체"/>
        <family val="3"/>
        <charset val="129"/>
      </rPr>
      <t>7</t>
    </r>
    <r>
      <rPr>
        <sz val="10"/>
        <rFont val="굴림체"/>
        <family val="3"/>
        <charset val="129"/>
      </rPr>
      <t xml:space="preserve"> / Qr*</t>
    </r>
    <phoneticPr fontId="4" type="noConversion"/>
  </si>
  <si>
    <t>1구간소요환기량</t>
  </si>
  <si>
    <t>1구간거리(m)</t>
  </si>
  <si>
    <r>
      <t>설치위치 L</t>
    </r>
    <r>
      <rPr>
        <vertAlign val="subscript"/>
        <sz val="10"/>
        <rFont val="굴림체"/>
        <family val="3"/>
        <charset val="129"/>
      </rPr>
      <t>1</t>
    </r>
    <r>
      <rPr>
        <sz val="10"/>
        <rFont val="굴림체"/>
        <family val="3"/>
        <charset val="129"/>
      </rPr>
      <t xml:space="preserve"> </t>
    </r>
    <phoneticPr fontId="4" type="noConversion"/>
  </si>
  <si>
    <r>
      <t>설치위치 L</t>
    </r>
    <r>
      <rPr>
        <vertAlign val="subscript"/>
        <sz val="10"/>
        <rFont val="굴림체"/>
        <family val="3"/>
        <charset val="129"/>
      </rPr>
      <t xml:space="preserve">2 </t>
    </r>
    <phoneticPr fontId="11" type="noConversion"/>
  </si>
  <si>
    <r>
      <t>설치위치 L</t>
    </r>
    <r>
      <rPr>
        <vertAlign val="subscript"/>
        <sz val="10"/>
        <rFont val="굴림체"/>
        <family val="3"/>
        <charset val="129"/>
      </rPr>
      <t xml:space="preserve">2 </t>
    </r>
    <phoneticPr fontId="11" type="noConversion"/>
  </si>
  <si>
    <r>
      <t>설치위치 L</t>
    </r>
    <r>
      <rPr>
        <vertAlign val="subscript"/>
        <sz val="10"/>
        <rFont val="굴림체"/>
        <family val="3"/>
        <charset val="129"/>
      </rPr>
      <t xml:space="preserve">3 </t>
    </r>
    <phoneticPr fontId="11" type="noConversion"/>
  </si>
  <si>
    <r>
      <t>설치위치 L</t>
    </r>
    <r>
      <rPr>
        <vertAlign val="subscript"/>
        <sz val="10"/>
        <rFont val="굴림체"/>
        <family val="3"/>
        <charset val="129"/>
      </rPr>
      <t xml:space="preserve">4 </t>
    </r>
    <phoneticPr fontId="11" type="noConversion"/>
  </si>
  <si>
    <r>
      <t>설치위치 L</t>
    </r>
    <r>
      <rPr>
        <vertAlign val="subscript"/>
        <sz val="10"/>
        <rFont val="굴림체"/>
        <family val="3"/>
        <charset val="129"/>
      </rPr>
      <t xml:space="preserve">5 </t>
    </r>
    <phoneticPr fontId="11" type="noConversion"/>
  </si>
  <si>
    <r>
      <t>설치위치 L</t>
    </r>
    <r>
      <rPr>
        <vertAlign val="subscript"/>
        <sz val="10"/>
        <rFont val="굴림체"/>
        <family val="3"/>
        <charset val="129"/>
      </rPr>
      <t xml:space="preserve">6 </t>
    </r>
    <phoneticPr fontId="11" type="noConversion"/>
  </si>
  <si>
    <r>
      <t>설치위치 L</t>
    </r>
    <r>
      <rPr>
        <vertAlign val="subscript"/>
        <sz val="10"/>
        <rFont val="굴림체"/>
        <family val="3"/>
        <charset val="129"/>
      </rPr>
      <t>7</t>
    </r>
    <phoneticPr fontId="11" type="noConversion"/>
  </si>
  <si>
    <t>농도 환산</t>
    <phoneticPr fontId="4" type="noConversion"/>
  </si>
  <si>
    <t>10km/h</t>
    <phoneticPr fontId="11" type="noConversion"/>
  </si>
  <si>
    <t>구분</t>
    <phoneticPr fontId="11" type="noConversion"/>
  </si>
  <si>
    <t>허용농도</t>
    <phoneticPr fontId="11" type="noConversion"/>
  </si>
  <si>
    <t>농도비</t>
    <phoneticPr fontId="11" type="noConversion"/>
  </si>
  <si>
    <t>매연</t>
    <phoneticPr fontId="11" type="noConversion"/>
  </si>
  <si>
    <t>CO</t>
    <phoneticPr fontId="11" type="noConversion"/>
  </si>
  <si>
    <t>Nox</t>
    <phoneticPr fontId="11" type="noConversion"/>
  </si>
  <si>
    <t>입구</t>
    <phoneticPr fontId="11" type="noConversion"/>
  </si>
  <si>
    <t>배기측</t>
    <phoneticPr fontId="11" type="noConversion"/>
  </si>
  <si>
    <t>급기측</t>
    <phoneticPr fontId="11" type="noConversion"/>
  </si>
  <si>
    <t>출구</t>
    <phoneticPr fontId="11" type="noConversion"/>
  </si>
  <si>
    <t>20km/h</t>
    <phoneticPr fontId="11" type="noConversion"/>
  </si>
  <si>
    <t>30km/h</t>
    <phoneticPr fontId="11" type="noConversion"/>
  </si>
  <si>
    <t>40km/h</t>
    <phoneticPr fontId="11" type="noConversion"/>
  </si>
  <si>
    <t>50km/h</t>
    <phoneticPr fontId="11" type="noConversion"/>
  </si>
  <si>
    <t>제트팬 23대가동</t>
    <phoneticPr fontId="11" type="noConversion"/>
  </si>
  <si>
    <t>사갱만 가동</t>
    <phoneticPr fontId="11" type="noConversion"/>
  </si>
  <si>
    <t>60km/h</t>
    <phoneticPr fontId="11" type="noConversion"/>
  </si>
  <si>
    <t>자연환기</t>
    <phoneticPr fontId="11" type="noConversion"/>
  </si>
  <si>
    <t>70km/h</t>
    <phoneticPr fontId="11" type="noConversion"/>
  </si>
  <si>
    <t>80km/h</t>
    <phoneticPr fontId="11" type="noConversion"/>
  </si>
  <si>
    <t>제트팬 7대 가동</t>
    <phoneticPr fontId="11" type="noConversion"/>
  </si>
  <si>
    <t>*경유승용차의 교통량은 승용차전체 교통량의 40%적용</t>
    <phoneticPr fontId="11" type="noConversion"/>
  </si>
  <si>
    <t>1. 열부력 미고려</t>
    <phoneticPr fontId="11" type="noConversion"/>
  </si>
  <si>
    <t>열부력</t>
    <phoneticPr fontId="11" type="noConversion"/>
  </si>
  <si>
    <t>화재지점</t>
    <phoneticPr fontId="11" type="noConversion"/>
  </si>
  <si>
    <t>m</t>
    <phoneticPr fontId="11" type="noConversion"/>
  </si>
  <si>
    <t>거리비</t>
    <phoneticPr fontId="11" type="noConversion"/>
  </si>
  <si>
    <t>2. 입구부 화재(내리막구배만 적용)</t>
    <phoneticPr fontId="11" type="noConversion"/>
  </si>
  <si>
    <t>3. 중앙부 화재(내리막구배만 적용)</t>
    <phoneticPr fontId="11" type="noConversion"/>
  </si>
  <si>
    <t>년</t>
    <phoneticPr fontId="11" type="noConversion"/>
  </si>
  <si>
    <t>내림차순(년도)으로 입력</t>
    <phoneticPr fontId="11" type="noConversion"/>
  </si>
  <si>
    <t>대형차</t>
    <phoneticPr fontId="11" type="noConversion"/>
  </si>
  <si>
    <t>혼입율</t>
    <phoneticPr fontId="11" type="noConversion"/>
  </si>
  <si>
    <t>휘발유</t>
    <phoneticPr fontId="11" type="noConversion"/>
  </si>
  <si>
    <t>경유</t>
    <phoneticPr fontId="11" type="noConversion"/>
  </si>
  <si>
    <t>(Pt)</t>
    <phoneticPr fontId="11" type="noConversion"/>
  </si>
  <si>
    <t>차량별혼입율</t>
    <phoneticPr fontId="11" type="noConversion"/>
  </si>
  <si>
    <t>년</t>
    <phoneticPr fontId="11" type="noConversion"/>
  </si>
  <si>
    <t>내림차순(년도)으로 입력</t>
    <phoneticPr fontId="11" type="noConversion"/>
  </si>
  <si>
    <t>대형차</t>
    <phoneticPr fontId="11" type="noConversion"/>
  </si>
  <si>
    <t>혼입율</t>
    <phoneticPr fontId="11" type="noConversion"/>
  </si>
  <si>
    <t>휘발유</t>
    <phoneticPr fontId="11" type="noConversion"/>
  </si>
  <si>
    <t>경유</t>
    <phoneticPr fontId="11" type="noConversion"/>
  </si>
  <si>
    <t>(Pt)</t>
    <phoneticPr fontId="11" type="noConversion"/>
  </si>
  <si>
    <t>*경유승용차의 교통량은 승용차전체 교통량의 40%적용</t>
    <phoneticPr fontId="11" type="noConversion"/>
  </si>
  <si>
    <t>승용차</t>
    <phoneticPr fontId="11" type="noConversion"/>
  </si>
  <si>
    <t>D</t>
    <phoneticPr fontId="11" type="noConversion"/>
  </si>
  <si>
    <t xml:space="preserve"> ◈ 터널명</t>
    <phoneticPr fontId="11" type="noConversion"/>
  </si>
  <si>
    <t xml:space="preserve"> ◈ 도로구분</t>
    <phoneticPr fontId="11" type="noConversion"/>
  </si>
  <si>
    <t>구       분</t>
    <phoneticPr fontId="11" type="noConversion"/>
  </si>
  <si>
    <t>방향</t>
    <phoneticPr fontId="11" type="noConversion"/>
  </si>
  <si>
    <t>방향</t>
    <phoneticPr fontId="11" type="noConversion"/>
  </si>
  <si>
    <t>3구간</t>
    <phoneticPr fontId="11" type="noConversion"/>
  </si>
  <si>
    <t>4구간</t>
    <phoneticPr fontId="11" type="noConversion"/>
  </si>
  <si>
    <t>5구간</t>
    <phoneticPr fontId="11" type="noConversion"/>
  </si>
  <si>
    <t>터널구배 [%]</t>
    <phoneticPr fontId="11" type="noConversion"/>
  </si>
  <si>
    <t>터널길이 [m]</t>
    <phoneticPr fontId="11" type="noConversion"/>
  </si>
  <si>
    <t>평균표고 [m]</t>
    <phoneticPr fontId="11" type="noConversion"/>
  </si>
  <si>
    <t>차선수 [N]</t>
    <phoneticPr fontId="11" type="noConversion"/>
  </si>
  <si>
    <t>구        분</t>
    <phoneticPr fontId="11" type="noConversion"/>
  </si>
  <si>
    <t>6구간</t>
    <phoneticPr fontId="11" type="noConversion"/>
  </si>
  <si>
    <t>7구간</t>
    <phoneticPr fontId="11" type="noConversion"/>
  </si>
  <si>
    <t>8구간</t>
    <phoneticPr fontId="11" type="noConversion"/>
  </si>
  <si>
    <t>9구간</t>
    <phoneticPr fontId="11" type="noConversion"/>
  </si>
  <si>
    <t>10구간</t>
    <phoneticPr fontId="11" type="noConversion"/>
  </si>
  <si>
    <t>6구간</t>
    <phoneticPr fontId="11" type="noConversion"/>
  </si>
  <si>
    <t>7구간</t>
    <phoneticPr fontId="11" type="noConversion"/>
  </si>
  <si>
    <t>터널구배 [%]</t>
    <phoneticPr fontId="11" type="noConversion"/>
  </si>
  <si>
    <t>터널길이 [m]</t>
    <phoneticPr fontId="11" type="noConversion"/>
  </si>
  <si>
    <t>평균표고 [m]</t>
    <phoneticPr fontId="11" type="noConversion"/>
  </si>
  <si>
    <t>차선수 [N]</t>
    <phoneticPr fontId="11" type="noConversion"/>
  </si>
  <si>
    <t>터널연장 [m]</t>
    <phoneticPr fontId="11" type="noConversion"/>
  </si>
  <si>
    <t>터널내공단면적 [Ar]</t>
    <phoneticPr fontId="11" type="noConversion"/>
  </si>
  <si>
    <r>
      <t xml:space="preserve"> [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 ]</t>
    </r>
    <phoneticPr fontId="11" type="noConversion"/>
  </si>
  <si>
    <r>
      <t xml:space="preserve"> [ 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 ]</t>
    </r>
    <phoneticPr fontId="11" type="noConversion"/>
  </si>
  <si>
    <t>터널둘레길이 [Lp]</t>
    <phoneticPr fontId="11" type="noConversion"/>
  </si>
  <si>
    <t xml:space="preserve"> [ m ]</t>
    <phoneticPr fontId="11" type="noConversion"/>
  </si>
  <si>
    <t xml:space="preserve"> [ m ]</t>
    <phoneticPr fontId="11" type="noConversion"/>
  </si>
  <si>
    <t>도심지:2</t>
    <phoneticPr fontId="11" type="noConversion"/>
  </si>
  <si>
    <t>입자상물질 속도·경사보정계수</t>
    <phoneticPr fontId="50" type="noConversion"/>
  </si>
  <si>
    <t>1. 입자상물질 속도·경사보정계수 산정</t>
    <phoneticPr fontId="50" type="noConversion"/>
  </si>
  <si>
    <t>(1) 승용차 / 휘발유</t>
    <phoneticPr fontId="50" type="noConversion"/>
  </si>
  <si>
    <t>경사도(%)</t>
    <phoneticPr fontId="50" type="noConversion"/>
  </si>
  <si>
    <t>(1.1-1) 승용차 / 휘발유</t>
    <phoneticPr fontId="50" type="noConversion"/>
  </si>
  <si>
    <t>(1.2-1) 승용차 / 휘발유</t>
    <phoneticPr fontId="50" type="noConversion"/>
  </si>
  <si>
    <t>검증</t>
    <phoneticPr fontId="50" type="noConversion"/>
  </si>
  <si>
    <t>차속</t>
    <phoneticPr fontId="50" type="noConversion"/>
  </si>
  <si>
    <t>구간</t>
    <phoneticPr fontId="50" type="noConversion"/>
  </si>
  <si>
    <t>구분</t>
    <phoneticPr fontId="50" type="noConversion"/>
  </si>
  <si>
    <t>1구간</t>
    <phoneticPr fontId="50" type="noConversion"/>
  </si>
  <si>
    <t>보정계수</t>
    <phoneticPr fontId="50" type="noConversion"/>
  </si>
  <si>
    <t>3구간</t>
  </si>
  <si>
    <t>4구간</t>
  </si>
  <si>
    <t>참고조건1</t>
    <phoneticPr fontId="50" type="noConversion"/>
  </si>
  <si>
    <t>5구간</t>
  </si>
  <si>
    <t>참고값1</t>
    <phoneticPr fontId="50" type="noConversion"/>
  </si>
  <si>
    <t>6구간</t>
  </si>
  <si>
    <t>참고조건2</t>
    <phoneticPr fontId="50" type="noConversion"/>
  </si>
  <si>
    <t>7구간</t>
  </si>
  <si>
    <t>참고값2</t>
    <phoneticPr fontId="50" type="noConversion"/>
  </si>
  <si>
    <t>8구간</t>
  </si>
  <si>
    <t>9구간</t>
  </si>
  <si>
    <t>10구간</t>
  </si>
  <si>
    <t>(2) 승용차 / 경유</t>
    <phoneticPr fontId="50" type="noConversion"/>
  </si>
  <si>
    <t>(1.1-2) 승용차 / 경유</t>
    <phoneticPr fontId="50" type="noConversion"/>
  </si>
  <si>
    <t>(1.2-2) 승용차 / 경유</t>
    <phoneticPr fontId="50" type="noConversion"/>
  </si>
  <si>
    <t>(3) 소형버스,소형트럭 / 경유</t>
    <phoneticPr fontId="50" type="noConversion"/>
  </si>
  <si>
    <t>(1.1-3) 소형버스,소형트럭 / 경유</t>
    <phoneticPr fontId="50" type="noConversion"/>
  </si>
  <si>
    <t>(1.2-3) 소형버스,소형트럭 / 경유</t>
    <phoneticPr fontId="50" type="noConversion"/>
  </si>
  <si>
    <t>(4) 대형버스,중형트럭,대형트럭,특수트럭 / 경유</t>
    <phoneticPr fontId="50" type="noConversion"/>
  </si>
  <si>
    <t>(1.1-4) 대형버스,중형트럭,대형트럭,특수트럭 / 경유</t>
    <phoneticPr fontId="50" type="noConversion"/>
  </si>
  <si>
    <t>(1.2-4) 대형버스,중형트럭,대형트럭,특수트럭 / 경유</t>
    <phoneticPr fontId="50" type="noConversion"/>
  </si>
  <si>
    <t>1구간</t>
    <phoneticPr fontId="50" type="noConversion"/>
  </si>
  <si>
    <t>1구간</t>
    <phoneticPr fontId="50" type="noConversion"/>
  </si>
  <si>
    <t>경사도(%)</t>
    <phoneticPr fontId="50" type="noConversion"/>
  </si>
  <si>
    <t>보정계수</t>
    <phoneticPr fontId="50" type="noConversion"/>
  </si>
  <si>
    <t>참고조건1</t>
    <phoneticPr fontId="50" type="noConversion"/>
  </si>
  <si>
    <t>CO 속도·경사보정계수</t>
    <phoneticPr fontId="50" type="noConversion"/>
  </si>
  <si>
    <t>2. CO 속도·경사보정계수 산정</t>
    <phoneticPr fontId="50" type="noConversion"/>
  </si>
  <si>
    <t>2.1 상행방향</t>
    <phoneticPr fontId="50" type="noConversion"/>
  </si>
  <si>
    <t>2.2 하행방향</t>
    <phoneticPr fontId="50" type="noConversion"/>
  </si>
  <si>
    <t>(2.1-1) 승용차 / 휘발유</t>
    <phoneticPr fontId="50" type="noConversion"/>
  </si>
  <si>
    <t>(2.2-1) 승용차 / 휘발유</t>
    <phoneticPr fontId="50" type="noConversion"/>
  </si>
  <si>
    <t>(2.1-2) 승용차 / 경유</t>
    <phoneticPr fontId="50" type="noConversion"/>
  </si>
  <si>
    <t>(2.2-2) 승용차 / 경유</t>
    <phoneticPr fontId="50" type="noConversion"/>
  </si>
  <si>
    <t>(2.1-3) 소형버스,소형트럭 / 경유</t>
    <phoneticPr fontId="50" type="noConversion"/>
  </si>
  <si>
    <t>(2.2-3) 소형버스,소형트럭 / 경유</t>
    <phoneticPr fontId="50" type="noConversion"/>
  </si>
  <si>
    <t>(2.1-4) 대형버스,중형트럭,대형트럭,특수트럭 / 경유</t>
    <phoneticPr fontId="50" type="noConversion"/>
  </si>
  <si>
    <t>(2.2-4) 대형버스,중형트럭,대형트럭,특수트럭 / 경유</t>
    <phoneticPr fontId="50" type="noConversion"/>
  </si>
  <si>
    <t>NOx 속도·경사보정계수</t>
    <phoneticPr fontId="50" type="noConversion"/>
  </si>
  <si>
    <t>3. NOx 속도·경사보정계수 산정</t>
    <phoneticPr fontId="50" type="noConversion"/>
  </si>
  <si>
    <t>(1) 승용차 / 휘발유</t>
    <phoneticPr fontId="50" type="noConversion"/>
  </si>
  <si>
    <t>3.1 상행방향</t>
    <phoneticPr fontId="50" type="noConversion"/>
  </si>
  <si>
    <t>3.2 하행방향</t>
    <phoneticPr fontId="50" type="noConversion"/>
  </si>
  <si>
    <t>경사도(%)</t>
    <phoneticPr fontId="50" type="noConversion"/>
  </si>
  <si>
    <t>(3.1-1) 승용차 / 휘발유</t>
    <phoneticPr fontId="50" type="noConversion"/>
  </si>
  <si>
    <t>(3.2-1) 승용차 / 휘발유</t>
    <phoneticPr fontId="50" type="noConversion"/>
  </si>
  <si>
    <t>검증</t>
    <phoneticPr fontId="50" type="noConversion"/>
  </si>
  <si>
    <t>차속</t>
    <phoneticPr fontId="50" type="noConversion"/>
  </si>
  <si>
    <t>구간</t>
    <phoneticPr fontId="50" type="noConversion"/>
  </si>
  <si>
    <t>구분</t>
    <phoneticPr fontId="50" type="noConversion"/>
  </si>
  <si>
    <t>1구간</t>
    <phoneticPr fontId="50" type="noConversion"/>
  </si>
  <si>
    <t>보정계수</t>
    <phoneticPr fontId="50" type="noConversion"/>
  </si>
  <si>
    <t>참고조건1</t>
    <phoneticPr fontId="50" type="noConversion"/>
  </si>
  <si>
    <t>참고값1</t>
    <phoneticPr fontId="50" type="noConversion"/>
  </si>
  <si>
    <t>참고조건2</t>
    <phoneticPr fontId="50" type="noConversion"/>
  </si>
  <si>
    <t>참고값2</t>
    <phoneticPr fontId="50" type="noConversion"/>
  </si>
  <si>
    <t>(2) 승용차 / 경유</t>
    <phoneticPr fontId="50" type="noConversion"/>
  </si>
  <si>
    <t>경사도(%)</t>
    <phoneticPr fontId="50" type="noConversion"/>
  </si>
  <si>
    <t>(3.1-2) 승용차 / 경유</t>
    <phoneticPr fontId="50" type="noConversion"/>
  </si>
  <si>
    <t>(3.2-2) 승용차 / 경유</t>
    <phoneticPr fontId="50" type="noConversion"/>
  </si>
  <si>
    <t>검증</t>
    <phoneticPr fontId="50" type="noConversion"/>
  </si>
  <si>
    <t>차속</t>
    <phoneticPr fontId="50" type="noConversion"/>
  </si>
  <si>
    <t>구간</t>
    <phoneticPr fontId="50" type="noConversion"/>
  </si>
  <si>
    <t>구분</t>
    <phoneticPr fontId="50" type="noConversion"/>
  </si>
  <si>
    <t>경사도(%)</t>
    <phoneticPr fontId="50" type="noConversion"/>
  </si>
  <si>
    <t>참고값1</t>
    <phoneticPr fontId="50" type="noConversion"/>
  </si>
  <si>
    <t>참고조건2</t>
    <phoneticPr fontId="50" type="noConversion"/>
  </si>
  <si>
    <t>참고값2</t>
    <phoneticPr fontId="50" type="noConversion"/>
  </si>
  <si>
    <t>(3) 소형버스,소형트럭 / 경유</t>
    <phoneticPr fontId="50" type="noConversion"/>
  </si>
  <si>
    <t>(3.1-3) 소형버스,소형트럭 / 경유</t>
    <phoneticPr fontId="50" type="noConversion"/>
  </si>
  <si>
    <t>(3.2-3) 소형버스,소형트럭 / 경유</t>
    <phoneticPr fontId="50" type="noConversion"/>
  </si>
  <si>
    <t>참고값2</t>
    <phoneticPr fontId="50" type="noConversion"/>
  </si>
  <si>
    <t>(4) 대형버스,중형트럭,대형트럭,특수트럭 / 경유</t>
    <phoneticPr fontId="50" type="noConversion"/>
  </si>
  <si>
    <t>경사도(%)</t>
    <phoneticPr fontId="50" type="noConversion"/>
  </si>
  <si>
    <t>(3.1-4) 대형버스,중형트럭,대형트럭,특수트럭 / 경유</t>
    <phoneticPr fontId="50" type="noConversion"/>
  </si>
  <si>
    <t>(3.2-4) 대형버스,중형트럭,대형트럭,특수트럭 / 경유</t>
    <phoneticPr fontId="50" type="noConversion"/>
  </si>
  <si>
    <t>검증</t>
    <phoneticPr fontId="50" type="noConversion"/>
  </si>
  <si>
    <t>차속</t>
    <phoneticPr fontId="50" type="noConversion"/>
  </si>
  <si>
    <t>구간</t>
    <phoneticPr fontId="50" type="noConversion"/>
  </si>
  <si>
    <t>구분</t>
    <phoneticPr fontId="50" type="noConversion"/>
  </si>
  <si>
    <t>참고값2</t>
    <phoneticPr fontId="50" type="noConversion"/>
  </si>
  <si>
    <t>방향</t>
    <phoneticPr fontId="11" type="noConversion"/>
  </si>
  <si>
    <t>a) 휘발유 승용차</t>
    <phoneticPr fontId="11" type="noConversion"/>
  </si>
  <si>
    <t>b) 경유 승용차</t>
    <phoneticPr fontId="11" type="noConversion"/>
  </si>
  <si>
    <t>c) 소형버스, 소형트럭</t>
    <phoneticPr fontId="11" type="noConversion"/>
  </si>
  <si>
    <t>d) 대형버스, 중형, 대형, 특수트럭</t>
    <phoneticPr fontId="11" type="noConversion"/>
  </si>
  <si>
    <t>11) 매연(smoke)의 소요환기량</t>
  </si>
  <si>
    <t>K lim-1</t>
  </si>
  <si>
    <t>수원</t>
  </si>
  <si>
    <t>방향</t>
  </si>
  <si>
    <t>문산</t>
  </si>
  <si>
    <t>당초</t>
    <phoneticPr fontId="11" type="noConversion"/>
  </si>
  <si>
    <t>4) 속도경사보정계수 [ fiv ]</t>
    <phoneticPr fontId="11" type="noConversion"/>
  </si>
  <si>
    <t>6) 차령 및 상대주행거리(REM)에 따른 연도보정계수</t>
    <phoneticPr fontId="11" type="noConversion"/>
  </si>
  <si>
    <t>나나나</t>
  </si>
  <si>
    <t>가가가</t>
  </si>
  <si>
    <t>방향</t>
    <phoneticPr fontId="11" type="noConversion"/>
  </si>
  <si>
    <t>6) 차령 및 상대주행거리(REM)에 따른 연도보정계수</t>
    <phoneticPr fontId="11" type="noConversion"/>
  </si>
  <si>
    <r>
      <t>7) 질소산화물(NOx)의 총배출량 Qs[m</t>
    </r>
    <r>
      <rPr>
        <b/>
        <vertAlign val="superscript"/>
        <sz val="11"/>
        <rFont val="돋움"/>
        <family val="3"/>
        <charset val="129"/>
      </rPr>
      <t>3</t>
    </r>
    <r>
      <rPr>
        <b/>
        <sz val="11"/>
        <rFont val="돋움"/>
        <family val="3"/>
        <charset val="129"/>
      </rPr>
      <t>/h]</t>
    </r>
    <phoneticPr fontId="11" type="noConversion"/>
  </si>
  <si>
    <r>
      <t>7) 일산화탄소(CO)의 총배출량 Qs[m</t>
    </r>
    <r>
      <rPr>
        <b/>
        <vertAlign val="superscript"/>
        <sz val="11"/>
        <rFont val="돋움"/>
        <family val="3"/>
        <charset val="129"/>
      </rPr>
      <t>3</t>
    </r>
    <r>
      <rPr>
        <b/>
        <sz val="11"/>
        <rFont val="돋움"/>
        <family val="3"/>
        <charset val="129"/>
      </rPr>
      <t>/h]</t>
    </r>
    <phoneticPr fontId="11" type="noConversion"/>
  </si>
  <si>
    <t>8구간</t>
    <phoneticPr fontId="11" type="noConversion"/>
  </si>
  <si>
    <t xml:space="preserve"> </t>
    <phoneticPr fontId="11" type="noConversion"/>
  </si>
  <si>
    <t>해저터널</t>
    <phoneticPr fontId="11" type="noConversion"/>
  </si>
  <si>
    <t>정체시 교통량</t>
    <phoneticPr fontId="11" type="noConversion"/>
  </si>
  <si>
    <t>진북터널</t>
    <phoneticPr fontId="11" type="noConversion"/>
  </si>
  <si>
    <t>마산</t>
    <phoneticPr fontId="11" type="noConversion"/>
  </si>
  <si>
    <t>진주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</si>
</sst>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176" formatCode="_-* #&quot;₩&quot;&quot;₩&quot;\!\!\!\,##0_-;&quot;₩&quot;&quot;₩&quot;&quot;₩&quot;\!\!\!\-* #&quot;₩&quot;&quot;₩&quot;\!\!\!\,##0_-;_-* &quot;-&quot;_-;_-@_-"/>
    <numFmt numFmtId="177" formatCode="#,##0_ "/>
    <numFmt numFmtId="178" formatCode="0_ "/>
    <numFmt numFmtId="179" formatCode="0.0000"/>
    <numFmt numFmtId="180" formatCode="0.000"/>
    <numFmt numFmtId="181" formatCode="0.00_);[Red]\(0.00\)"/>
    <numFmt numFmtId="182" formatCode="0.0_);[Red]\(0.0\)"/>
    <numFmt numFmtId="183" formatCode="0.0"/>
    <numFmt numFmtId="184" formatCode="0.00_ "/>
    <numFmt numFmtId="185" formatCode="0.0%"/>
    <numFmt numFmtId="186" formatCode="#,##0_);\(#,##0\)"/>
    <numFmt numFmtId="187" formatCode="0.0_ "/>
    <numFmt numFmtId="188" formatCode="0.000_ "/>
    <numFmt numFmtId="189" formatCode="0.0000_ "/>
    <numFmt numFmtId="190" formatCode="#,##0_);[Red]\(#,##0\)"/>
    <numFmt numFmtId="191" formatCode="0.0000000_ "/>
    <numFmt numFmtId="192" formatCode="#,##0.000_ "/>
    <numFmt numFmtId="193" formatCode="#,##0.0000_ "/>
    <numFmt numFmtId="194" formatCode="#,##0.0_ "/>
    <numFmt numFmtId="195" formatCode="0_);[Red]\(0\)"/>
    <numFmt numFmtId="196" formatCode="0.000000"/>
    <numFmt numFmtId="197" formatCode="0.000_);[Red]\(0.000\)"/>
    <numFmt numFmtId="198" formatCode="#,##0.00_ "/>
  </numFmts>
  <fonts count="5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vertAlign val="superscript"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8"/>
      <name val="돋움"/>
      <family val="3"/>
      <charset val="129"/>
    </font>
    <font>
      <vertAlign val="subscript"/>
      <sz val="11"/>
      <name val="돋움"/>
      <family val="3"/>
      <charset val="129"/>
    </font>
    <font>
      <strike/>
      <vertAlign val="superscript"/>
      <sz val="11"/>
      <name val="돋움"/>
      <family val="3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vertAlign val="superscript"/>
      <sz val="11"/>
      <name val="돋움"/>
      <family val="3"/>
      <charset val="129"/>
    </font>
    <font>
      <b/>
      <sz val="11"/>
      <color indexed="10"/>
      <name val="돋움"/>
      <family val="3"/>
      <charset val="129"/>
    </font>
    <font>
      <sz val="11"/>
      <color indexed="18"/>
      <name val="돋움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vertAlign val="superscript"/>
      <sz val="11"/>
      <name val="굴림"/>
      <family val="3"/>
      <charset val="129"/>
    </font>
    <font>
      <b/>
      <vertAlign val="superscript"/>
      <sz val="11"/>
      <name val="굴림"/>
      <family val="3"/>
      <charset val="129"/>
    </font>
    <font>
      <b/>
      <sz val="11"/>
      <color indexed="12"/>
      <name val="굴림체"/>
      <family val="3"/>
      <charset val="129"/>
    </font>
    <font>
      <b/>
      <sz val="10"/>
      <name val="돋움"/>
      <family val="3"/>
      <charset val="129"/>
    </font>
    <font>
      <sz val="11"/>
      <name val="굴림체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b/>
      <sz val="11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b/>
      <sz val="11"/>
      <color indexed="10"/>
      <name val="굴림"/>
      <family val="3"/>
      <charset val="129"/>
    </font>
    <font>
      <sz val="8"/>
      <name val="맑은 고딕"/>
      <family val="3"/>
      <charset val="129"/>
    </font>
    <font>
      <sz val="10"/>
      <name val="굴림체"/>
      <family val="3"/>
      <charset val="129"/>
    </font>
    <font>
      <sz val="11"/>
      <color indexed="10"/>
      <name val="돋움"/>
      <family val="3"/>
      <charset val="129"/>
    </font>
    <font>
      <sz val="11"/>
      <color indexed="12"/>
      <name val="돋움"/>
      <family val="3"/>
      <charset val="129"/>
    </font>
    <font>
      <sz val="9"/>
      <color indexed="81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1"/>
      <color rgb="FF0000CC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00"/>
      <name val="한양그래픽"/>
      <family val="1"/>
      <charset val="129"/>
    </font>
    <font>
      <b/>
      <sz val="10"/>
      <name val="굴림체"/>
      <family val="3"/>
      <charset val="129"/>
    </font>
    <font>
      <vertAlign val="subscript"/>
      <sz val="10"/>
      <name val="굴림체"/>
      <family val="3"/>
      <charset val="129"/>
    </font>
    <font>
      <b/>
      <vertAlign val="subscript"/>
      <sz val="10"/>
      <name val="굴림체"/>
      <family val="3"/>
      <charset val="129"/>
    </font>
    <font>
      <b/>
      <sz val="10"/>
      <color indexed="10"/>
      <name val="굴림체"/>
      <family val="3"/>
      <charset val="129"/>
    </font>
    <font>
      <vertAlign val="superscript"/>
      <sz val="10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1"/>
      <color rgb="FFFF0000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i/>
      <sz val="10"/>
      <color rgb="FF0000FF"/>
      <name val="맑은 고딕"/>
      <family val="3"/>
      <charset val="129"/>
      <scheme val="minor"/>
    </font>
    <font>
      <b/>
      <sz val="11"/>
      <color rgb="FFFF0000"/>
      <name val="굴림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6337778862885"/>
        <bgColor indexed="64"/>
      </patternFill>
    </fill>
  </fills>
  <borders count="23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dotted">
        <color indexed="64"/>
      </left>
      <right/>
      <top/>
      <bottom style="dashed">
        <color indexed="64"/>
      </bottom>
      <diagonal/>
    </border>
    <border>
      <left style="dotted">
        <color indexed="64"/>
      </left>
      <right style="medium">
        <color indexed="64"/>
      </right>
      <top/>
      <bottom style="dashed">
        <color indexed="64"/>
      </bottom>
      <diagonal/>
    </border>
    <border>
      <left style="dotted">
        <color indexed="64"/>
      </left>
      <right style="dott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ck">
        <color rgb="FFFFFFFF"/>
      </right>
      <top style="thin">
        <color rgb="FF000000"/>
      </top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n">
        <color rgb="FF000000"/>
      </top>
      <bottom style="thin">
        <color rgb="FF000000"/>
      </bottom>
      <diagonal/>
    </border>
    <border>
      <left style="thick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1" fillId="0" borderId="0">
      <alignment vertical="center"/>
    </xf>
  </cellStyleXfs>
  <cellXfs count="1566">
    <xf numFmtId="0" fontId="0" fillId="0" borderId="0" xfId="0"/>
    <xf numFmtId="0" fontId="2" fillId="0" borderId="0" xfId="0" applyNumberFormat="1" applyFont="1" applyBorder="1" applyAlignment="1" applyProtection="1">
      <alignment vertical="center"/>
    </xf>
    <xf numFmtId="0" fontId="16" fillId="0" borderId="0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Alignment="1">
      <alignment vertical="center"/>
    </xf>
    <xf numFmtId="0" fontId="16" fillId="0" borderId="0" xfId="0" applyNumberFormat="1" applyFont="1" applyAlignment="1" applyProtection="1">
      <alignment vertical="center"/>
    </xf>
    <xf numFmtId="0" fontId="16" fillId="2" borderId="0" xfId="0" applyNumberFormat="1" applyFont="1" applyFill="1" applyAlignment="1" applyProtection="1">
      <alignment horizontal="center" vertical="center"/>
    </xf>
    <xf numFmtId="0" fontId="16" fillId="0" borderId="0" xfId="0" applyNumberFormat="1" applyFont="1" applyFill="1" applyAlignment="1" applyProtection="1">
      <alignment horizontal="left" vertical="center"/>
    </xf>
    <xf numFmtId="0" fontId="15" fillId="0" borderId="0" xfId="0" applyNumberFormat="1" applyFont="1" applyAlignment="1" applyProtection="1">
      <alignment vertical="center"/>
    </xf>
    <xf numFmtId="0" fontId="16" fillId="0" borderId="0" xfId="0" applyNumberFormat="1" applyFont="1" applyFill="1" applyAlignment="1" applyProtection="1">
      <alignment horizontal="center" vertical="center"/>
    </xf>
    <xf numFmtId="0" fontId="15" fillId="0" borderId="0" xfId="0" applyNumberFormat="1" applyFont="1" applyFill="1" applyAlignment="1" applyProtection="1">
      <alignment vertical="center"/>
    </xf>
    <xf numFmtId="0" fontId="16" fillId="0" borderId="0" xfId="0" applyNumberFormat="1" applyFont="1" applyAlignment="1" applyProtection="1">
      <alignment horizontal="center" vertical="center"/>
    </xf>
    <xf numFmtId="0" fontId="16" fillId="3" borderId="0" xfId="0" applyNumberFormat="1" applyFont="1" applyFill="1" applyAlignment="1" applyProtection="1">
      <alignment horizontal="center" vertical="center"/>
      <protection locked="0"/>
    </xf>
    <xf numFmtId="0" fontId="15" fillId="0" borderId="0" xfId="0" applyNumberFormat="1" applyFont="1" applyAlignment="1">
      <alignment horizontal="right" vertical="center"/>
    </xf>
    <xf numFmtId="0" fontId="15" fillId="0" borderId="0" xfId="0" applyNumberFormat="1" applyFont="1" applyAlignment="1">
      <alignment horizontal="center" vertical="center"/>
    </xf>
    <xf numFmtId="0" fontId="16" fillId="2" borderId="0" xfId="0" applyNumberFormat="1" applyFont="1" applyFill="1" applyAlignment="1" applyProtection="1">
      <alignment horizontal="center" vertical="center"/>
      <protection locked="0"/>
    </xf>
    <xf numFmtId="0" fontId="15" fillId="0" borderId="0" xfId="0" applyNumberFormat="1" applyFont="1" applyFill="1" applyAlignment="1">
      <alignment vertical="center"/>
    </xf>
    <xf numFmtId="0" fontId="15" fillId="0" borderId="1" xfId="0" applyNumberFormat="1" applyFont="1" applyBorder="1" applyAlignment="1">
      <alignment vertical="center"/>
    </xf>
    <xf numFmtId="0" fontId="15" fillId="0" borderId="2" xfId="0" applyNumberFormat="1" applyFont="1" applyBorder="1" applyAlignment="1">
      <alignment vertical="center"/>
    </xf>
    <xf numFmtId="0" fontId="16" fillId="2" borderId="2" xfId="0" applyNumberFormat="1" applyFont="1" applyFill="1" applyBorder="1" applyAlignment="1" applyProtection="1">
      <alignment horizontal="center" vertical="center"/>
    </xf>
    <xf numFmtId="0" fontId="15" fillId="0" borderId="2" xfId="0" applyNumberFormat="1" applyFont="1" applyBorder="1" applyAlignment="1" applyProtection="1">
      <alignment horizontal="center" vertical="center"/>
    </xf>
    <xf numFmtId="0" fontId="15" fillId="0" borderId="3" xfId="0" applyNumberFormat="1" applyFont="1" applyBorder="1" applyAlignment="1">
      <alignment vertical="center"/>
    </xf>
    <xf numFmtId="0" fontId="15" fillId="0" borderId="4" xfId="0" applyNumberFormat="1" applyFont="1" applyBorder="1" applyAlignment="1" applyProtection="1">
      <alignment horizontal="center" vertical="center"/>
    </xf>
    <xf numFmtId="0" fontId="15" fillId="0" borderId="5" xfId="0" applyNumberFormat="1" applyFont="1" applyBorder="1" applyAlignment="1" applyProtection="1">
      <alignment horizontal="center" vertical="center"/>
    </xf>
    <xf numFmtId="0" fontId="15" fillId="0" borderId="6" xfId="0" applyNumberFormat="1" applyFont="1" applyBorder="1" applyAlignment="1" applyProtection="1">
      <alignment horizontal="center" vertical="center"/>
    </xf>
    <xf numFmtId="0" fontId="16" fillId="0" borderId="6" xfId="0" applyNumberFormat="1" applyFont="1" applyBorder="1" applyAlignment="1" applyProtection="1">
      <alignment horizontal="center" vertical="center"/>
    </xf>
    <xf numFmtId="0" fontId="15" fillId="0" borderId="0" xfId="0" applyNumberFormat="1" applyFont="1" applyBorder="1" applyAlignment="1">
      <alignment vertical="center"/>
    </xf>
    <xf numFmtId="0" fontId="15" fillId="0" borderId="7" xfId="0" applyNumberFormat="1" applyFont="1" applyBorder="1" applyAlignment="1" applyProtection="1">
      <alignment horizontal="center" vertical="center"/>
    </xf>
    <xf numFmtId="0" fontId="16" fillId="0" borderId="5" xfId="0" applyNumberFormat="1" applyFont="1" applyBorder="1" applyAlignment="1" applyProtection="1">
      <alignment horizontal="center" vertical="center"/>
    </xf>
    <xf numFmtId="0" fontId="15" fillId="0" borderId="5" xfId="0" applyNumberFormat="1" applyFont="1" applyBorder="1" applyAlignment="1">
      <alignment vertical="center"/>
    </xf>
    <xf numFmtId="0" fontId="15" fillId="0" borderId="8" xfId="0" applyNumberFormat="1" applyFont="1" applyBorder="1" applyAlignment="1" applyProtection="1">
      <alignment horizontal="center" vertical="center"/>
    </xf>
    <xf numFmtId="0" fontId="15" fillId="0" borderId="9" xfId="0" applyNumberFormat="1" applyFont="1" applyBorder="1" applyAlignment="1" applyProtection="1">
      <alignment vertical="center"/>
    </xf>
    <xf numFmtId="0" fontId="15" fillId="0" borderId="10" xfId="0" applyNumberFormat="1" applyFont="1" applyBorder="1" applyAlignment="1" applyProtection="1">
      <alignment vertical="center"/>
    </xf>
    <xf numFmtId="0" fontId="15" fillId="0" borderId="11" xfId="0" applyNumberFormat="1" applyFont="1" applyFill="1" applyBorder="1" applyAlignment="1" applyProtection="1">
      <alignment vertical="center"/>
      <protection locked="0"/>
    </xf>
    <xf numFmtId="0" fontId="15" fillId="0" borderId="12" xfId="0" applyNumberFormat="1" applyFont="1" applyFill="1" applyBorder="1" applyAlignment="1" applyProtection="1">
      <alignment vertical="center"/>
      <protection locked="0"/>
    </xf>
    <xf numFmtId="0" fontId="15" fillId="0" borderId="13" xfId="0" applyNumberFormat="1" applyFont="1" applyFill="1" applyBorder="1" applyAlignment="1" applyProtection="1">
      <alignment vertical="center"/>
      <protection locked="0"/>
    </xf>
    <xf numFmtId="0" fontId="15" fillId="0" borderId="14" xfId="0" applyNumberFormat="1" applyFont="1" applyFill="1" applyBorder="1" applyAlignment="1" applyProtection="1">
      <alignment vertical="center"/>
      <protection locked="0"/>
    </xf>
    <xf numFmtId="0" fontId="15" fillId="0" borderId="15" xfId="0" applyNumberFormat="1" applyFont="1" applyBorder="1" applyAlignment="1" applyProtection="1">
      <alignment vertical="center"/>
    </xf>
    <xf numFmtId="0" fontId="15" fillId="0" borderId="16" xfId="0" applyNumberFormat="1" applyFont="1" applyBorder="1" applyAlignment="1" applyProtection="1">
      <alignment vertical="center"/>
    </xf>
    <xf numFmtId="0" fontId="15" fillId="0" borderId="17" xfId="0" applyNumberFormat="1" applyFont="1" applyBorder="1" applyAlignment="1" applyProtection="1">
      <alignment vertical="center"/>
    </xf>
    <xf numFmtId="0" fontId="15" fillId="0" borderId="18" xfId="0" applyNumberFormat="1" applyFont="1" applyBorder="1" applyAlignment="1" applyProtection="1">
      <alignment vertical="center"/>
    </xf>
    <xf numFmtId="0" fontId="15" fillId="0" borderId="19" xfId="0" applyNumberFormat="1" applyFont="1" applyBorder="1" applyAlignment="1" applyProtection="1">
      <alignment vertical="center"/>
    </xf>
    <xf numFmtId="0" fontId="15" fillId="0" borderId="20" xfId="0" applyNumberFormat="1" applyFont="1" applyBorder="1" applyAlignment="1" applyProtection="1">
      <alignment vertical="center"/>
    </xf>
    <xf numFmtId="0" fontId="16" fillId="0" borderId="17" xfId="0" applyNumberFormat="1" applyFont="1" applyBorder="1" applyAlignment="1" applyProtection="1">
      <alignment vertical="center"/>
    </xf>
    <xf numFmtId="0" fontId="16" fillId="0" borderId="18" xfId="0" applyNumberFormat="1" applyFont="1" applyBorder="1" applyAlignment="1" applyProtection="1">
      <alignment vertical="center"/>
    </xf>
    <xf numFmtId="0" fontId="15" fillId="0" borderId="21" xfId="0" applyNumberFormat="1" applyFont="1" applyBorder="1" applyAlignment="1" applyProtection="1">
      <alignment vertical="center"/>
    </xf>
    <xf numFmtId="0" fontId="19" fillId="0" borderId="17" xfId="0" applyNumberFormat="1" applyFont="1" applyBorder="1" applyAlignment="1" applyProtection="1">
      <alignment vertical="center"/>
    </xf>
    <xf numFmtId="0" fontId="19" fillId="0" borderId="18" xfId="0" applyNumberFormat="1" applyFont="1" applyBorder="1" applyAlignment="1" applyProtection="1">
      <alignment vertical="center"/>
    </xf>
    <xf numFmtId="0" fontId="23" fillId="0" borderId="17" xfId="0" applyNumberFormat="1" applyFont="1" applyBorder="1" applyAlignment="1" applyProtection="1">
      <alignment vertical="center"/>
    </xf>
    <xf numFmtId="0" fontId="23" fillId="0" borderId="18" xfId="0" applyNumberFormat="1" applyFont="1" applyBorder="1" applyAlignment="1" applyProtection="1">
      <alignment vertical="center"/>
    </xf>
    <xf numFmtId="0" fontId="16" fillId="2" borderId="22" xfId="0" applyNumberFormat="1" applyFont="1" applyFill="1" applyBorder="1" applyAlignment="1" applyProtection="1">
      <alignment vertical="center"/>
    </xf>
    <xf numFmtId="0" fontId="16" fillId="2" borderId="23" xfId="0" applyNumberFormat="1" applyFont="1" applyFill="1" applyBorder="1" applyAlignment="1" applyProtection="1">
      <alignment horizontal="center" vertical="center"/>
    </xf>
    <xf numFmtId="0" fontId="16" fillId="2" borderId="24" xfId="0" applyNumberFormat="1" applyFont="1" applyFill="1" applyBorder="1" applyAlignment="1" applyProtection="1">
      <alignment horizontal="center" vertical="center"/>
    </xf>
    <xf numFmtId="0" fontId="16" fillId="2" borderId="25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Fill="1" applyBorder="1" applyAlignment="1" applyProtection="1">
      <alignment vertical="center"/>
    </xf>
    <xf numFmtId="0" fontId="15" fillId="0" borderId="0" xfId="0" applyNumberFormat="1" applyFont="1" applyAlignment="1" applyProtection="1">
      <alignment horizontal="center" vertical="center"/>
    </xf>
    <xf numFmtId="0" fontId="15" fillId="0" borderId="1" xfId="0" applyNumberFormat="1" applyFont="1" applyBorder="1" applyAlignment="1" applyProtection="1">
      <alignment horizontal="center" vertical="center"/>
    </xf>
    <xf numFmtId="0" fontId="15" fillId="0" borderId="3" xfId="0" applyNumberFormat="1" applyFont="1" applyBorder="1" applyAlignment="1" applyProtection="1">
      <alignment horizontal="center" vertical="center"/>
    </xf>
    <xf numFmtId="0" fontId="15" fillId="0" borderId="26" xfId="0" applyNumberFormat="1" applyFont="1" applyBorder="1" applyAlignment="1" applyProtection="1">
      <alignment vertical="center"/>
    </xf>
    <xf numFmtId="0" fontId="15" fillId="0" borderId="4" xfId="0" applyNumberFormat="1" applyFont="1" applyBorder="1" applyAlignment="1" applyProtection="1">
      <alignment vertical="center"/>
    </xf>
    <xf numFmtId="0" fontId="15" fillId="0" borderId="11" xfId="0" applyNumberFormat="1" applyFont="1" applyBorder="1" applyAlignment="1" applyProtection="1">
      <alignment vertical="center"/>
    </xf>
    <xf numFmtId="0" fontId="15" fillId="0" borderId="12" xfId="0" applyNumberFormat="1" applyFont="1" applyBorder="1" applyAlignment="1" applyProtection="1">
      <alignment vertical="center"/>
    </xf>
    <xf numFmtId="0" fontId="16" fillId="0" borderId="17" xfId="0" applyNumberFormat="1" applyFont="1" applyFill="1" applyBorder="1" applyAlignment="1" applyProtection="1">
      <alignment vertical="center"/>
    </xf>
    <xf numFmtId="0" fontId="15" fillId="0" borderId="21" xfId="0" applyNumberFormat="1" applyFont="1" applyFill="1" applyBorder="1" applyAlignment="1" applyProtection="1">
      <alignment vertical="center"/>
    </xf>
    <xf numFmtId="0" fontId="15" fillId="0" borderId="17" xfId="0" applyNumberFormat="1" applyFont="1" applyFill="1" applyBorder="1" applyAlignment="1" applyProtection="1">
      <alignment vertical="center"/>
    </xf>
    <xf numFmtId="0" fontId="15" fillId="0" borderId="18" xfId="0" applyNumberFormat="1" applyFont="1" applyFill="1" applyBorder="1" applyAlignment="1" applyProtection="1">
      <alignment vertical="center"/>
    </xf>
    <xf numFmtId="0" fontId="15" fillId="0" borderId="17" xfId="0" applyNumberFormat="1" applyFont="1" applyBorder="1" applyAlignment="1">
      <alignment vertical="center"/>
    </xf>
    <xf numFmtId="0" fontId="15" fillId="0" borderId="18" xfId="0" applyNumberFormat="1" applyFont="1" applyBorder="1" applyAlignment="1">
      <alignment vertical="center"/>
    </xf>
    <xf numFmtId="0" fontId="15" fillId="0" borderId="21" xfId="0" applyNumberFormat="1" applyFont="1" applyBorder="1" applyAlignment="1">
      <alignment vertical="center"/>
    </xf>
    <xf numFmtId="0" fontId="16" fillId="2" borderId="0" xfId="0" applyNumberFormat="1" applyFont="1" applyFill="1" applyBorder="1" applyAlignment="1" applyProtection="1">
      <alignment horizontal="center" vertical="center"/>
    </xf>
    <xf numFmtId="0" fontId="15" fillId="0" borderId="27" xfId="0" applyNumberFormat="1" applyFont="1" applyBorder="1" applyAlignment="1" applyProtection="1">
      <alignment vertical="center"/>
    </xf>
    <xf numFmtId="0" fontId="2" fillId="0" borderId="0" xfId="0" applyNumberFormat="1" applyFont="1" applyAlignment="1" applyProtection="1">
      <alignment vertical="center"/>
    </xf>
    <xf numFmtId="0" fontId="20" fillId="0" borderId="0" xfId="0" applyNumberFormat="1" applyFont="1" applyAlignment="1">
      <alignment vertical="center"/>
    </xf>
    <xf numFmtId="0" fontId="15" fillId="0" borderId="28" xfId="0" applyNumberFormat="1" applyFont="1" applyBorder="1" applyAlignment="1">
      <alignment vertical="center"/>
    </xf>
    <xf numFmtId="0" fontId="5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10" fillId="0" borderId="29" xfId="0" applyNumberFormat="1" applyFont="1" applyBorder="1" applyAlignment="1" applyProtection="1">
      <alignment horizontal="center" vertical="center"/>
    </xf>
    <xf numFmtId="0" fontId="0" fillId="0" borderId="30" xfId="2" applyNumberFormat="1" applyFont="1" applyBorder="1" applyAlignment="1" applyProtection="1">
      <alignment vertical="center"/>
    </xf>
    <xf numFmtId="0" fontId="0" fillId="0" borderId="31" xfId="2" applyNumberFormat="1" applyFont="1" applyBorder="1" applyAlignment="1" applyProtection="1">
      <alignment vertical="center"/>
    </xf>
    <xf numFmtId="0" fontId="0" fillId="0" borderId="32" xfId="2" applyNumberFormat="1" applyFont="1" applyBorder="1" applyAlignment="1" applyProtection="1">
      <alignment vertical="center"/>
    </xf>
    <xf numFmtId="0" fontId="0" fillId="0" borderId="0" xfId="1" applyNumberFormat="1" applyFont="1" applyBorder="1" applyAlignment="1" applyProtection="1">
      <alignment vertical="center"/>
    </xf>
    <xf numFmtId="0" fontId="0" fillId="0" borderId="0" xfId="2" applyNumberFormat="1" applyFont="1" applyBorder="1" applyAlignment="1" applyProtection="1">
      <alignment vertical="center"/>
    </xf>
    <xf numFmtId="0" fontId="6" fillId="0" borderId="0" xfId="0" applyNumberFormat="1" applyFont="1" applyAlignment="1" applyProtection="1">
      <alignment vertical="center"/>
    </xf>
    <xf numFmtId="0" fontId="10" fillId="0" borderId="0" xfId="0" applyNumberFormat="1" applyFont="1" applyAlignment="1" applyProtection="1">
      <alignment horizontal="left" vertical="center"/>
    </xf>
    <xf numFmtId="0" fontId="10" fillId="0" borderId="0" xfId="0" applyNumberFormat="1" applyFont="1" applyAlignment="1" applyProtection="1">
      <alignment vertical="center"/>
    </xf>
    <xf numFmtId="0" fontId="10" fillId="0" borderId="0" xfId="0" applyNumberFormat="1" applyFont="1" applyAlignment="1" applyProtection="1">
      <alignment horizontal="right" vertical="center"/>
    </xf>
    <xf numFmtId="0" fontId="0" fillId="0" borderId="4" xfId="1" applyNumberFormat="1" applyFont="1" applyBorder="1" applyAlignment="1" applyProtection="1">
      <alignment horizontal="center" vertical="center"/>
    </xf>
    <xf numFmtId="0" fontId="0" fillId="0" borderId="23" xfId="1" applyNumberFormat="1" applyFont="1" applyBorder="1" applyAlignment="1" applyProtection="1">
      <alignment horizontal="center" vertical="center"/>
    </xf>
    <xf numFmtId="0" fontId="0" fillId="0" borderId="0" xfId="1" applyNumberFormat="1" applyFont="1" applyBorder="1" applyAlignment="1" applyProtection="1">
      <alignment horizontal="center" vertical="center"/>
    </xf>
    <xf numFmtId="0" fontId="9" fillId="0" borderId="7" xfId="0" applyNumberFormat="1" applyFont="1" applyBorder="1" applyAlignment="1" applyProtection="1">
      <alignment vertical="center"/>
    </xf>
    <xf numFmtId="0" fontId="2" fillId="2" borderId="18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Alignment="1">
      <alignment vertical="center"/>
    </xf>
    <xf numFmtId="0" fontId="10" fillId="0" borderId="0" xfId="0" applyNumberFormat="1" applyFont="1" applyAlignment="1">
      <alignment horizontal="left" vertical="center"/>
    </xf>
    <xf numFmtId="0" fontId="10" fillId="0" borderId="0" xfId="0" applyNumberFormat="1" applyFont="1" applyAlignment="1">
      <alignment horizontal="right" vertical="center"/>
    </xf>
    <xf numFmtId="0" fontId="2" fillId="2" borderId="0" xfId="0" applyNumberFormat="1" applyFont="1" applyFill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vertical="center"/>
    </xf>
    <xf numFmtId="0" fontId="10" fillId="0" borderId="15" xfId="0" applyNumberFormat="1" applyFont="1" applyBorder="1" applyAlignment="1">
      <alignment horizontal="center" vertical="center"/>
    </xf>
    <xf numFmtId="0" fontId="13" fillId="2" borderId="16" xfId="0" applyNumberFormat="1" applyFont="1" applyFill="1" applyBorder="1" applyAlignment="1">
      <alignment horizontal="center" vertical="center"/>
    </xf>
    <xf numFmtId="0" fontId="13" fillId="2" borderId="33" xfId="0" applyNumberFormat="1" applyFont="1" applyFill="1" applyBorder="1" applyAlignment="1">
      <alignment horizontal="center" vertical="center"/>
    </xf>
    <xf numFmtId="0" fontId="13" fillId="2" borderId="18" xfId="0" applyNumberFormat="1" applyFont="1" applyFill="1" applyBorder="1" applyAlignment="1">
      <alignment horizontal="center" vertical="center"/>
    </xf>
    <xf numFmtId="0" fontId="10" fillId="0" borderId="36" xfId="0" applyNumberFormat="1" applyFont="1" applyFill="1" applyBorder="1" applyAlignment="1">
      <alignment horizontal="center" vertical="center"/>
    </xf>
    <xf numFmtId="0" fontId="10" fillId="0" borderId="37" xfId="0" applyNumberFormat="1" applyFont="1" applyFill="1" applyBorder="1" applyAlignment="1">
      <alignment horizontal="center" vertical="center"/>
    </xf>
    <xf numFmtId="0" fontId="10" fillId="0" borderId="38" xfId="0" applyNumberFormat="1" applyFont="1" applyFill="1" applyBorder="1" applyAlignment="1">
      <alignment horizontal="center" vertical="center"/>
    </xf>
    <xf numFmtId="0" fontId="10" fillId="0" borderId="39" xfId="0" applyNumberFormat="1" applyFont="1" applyBorder="1" applyAlignment="1">
      <alignment horizontal="center" vertical="center"/>
    </xf>
    <xf numFmtId="0" fontId="10" fillId="0" borderId="24" xfId="0" applyNumberFormat="1" applyFont="1" applyBorder="1" applyAlignment="1">
      <alignment horizontal="center" vertical="center"/>
    </xf>
    <xf numFmtId="0" fontId="10" fillId="0" borderId="25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1" fontId="0" fillId="0" borderId="0" xfId="0" applyNumberFormat="1"/>
    <xf numFmtId="0" fontId="5" fillId="3" borderId="0" xfId="0" applyNumberFormat="1" applyFont="1" applyFill="1" applyAlignment="1" applyProtection="1">
      <alignment horizontal="center" vertical="center"/>
    </xf>
    <xf numFmtId="0" fontId="5" fillId="4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NumberFormat="1" applyFont="1" applyAlignment="1" applyProtection="1">
      <alignment horizontal="left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  <protection locked="0"/>
    </xf>
    <xf numFmtId="0" fontId="2" fillId="4" borderId="40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NumberFormat="1" applyFont="1" applyFill="1" applyAlignment="1" applyProtection="1">
      <alignment horizontal="center" vertical="center"/>
      <protection locked="0"/>
    </xf>
    <xf numFmtId="0" fontId="2" fillId="5" borderId="23" xfId="0" applyNumberFormat="1" applyFont="1" applyFill="1" applyBorder="1" applyAlignment="1" applyProtection="1">
      <alignment horizontal="center" vertical="center"/>
      <protection locked="0"/>
    </xf>
    <xf numFmtId="0" fontId="2" fillId="5" borderId="41" xfId="0" applyNumberFormat="1" applyFont="1" applyFill="1" applyBorder="1" applyAlignment="1" applyProtection="1">
      <alignment horizontal="center" vertical="center"/>
      <protection locked="0"/>
    </xf>
    <xf numFmtId="0" fontId="2" fillId="5" borderId="0" xfId="0" applyNumberFormat="1" applyFont="1" applyFill="1" applyAlignment="1" applyProtection="1">
      <alignment horizontal="center" vertical="center"/>
      <protection locked="0"/>
    </xf>
    <xf numFmtId="0" fontId="2" fillId="5" borderId="42" xfId="0" applyNumberFormat="1" applyFont="1" applyFill="1" applyBorder="1" applyAlignment="1" applyProtection="1">
      <alignment horizontal="center" vertical="center"/>
    </xf>
    <xf numFmtId="0" fontId="2" fillId="5" borderId="43" xfId="0" applyNumberFormat="1" applyFont="1" applyFill="1" applyBorder="1" applyAlignment="1" applyProtection="1">
      <alignment horizontal="center" vertical="center"/>
    </xf>
    <xf numFmtId="0" fontId="2" fillId="5" borderId="44" xfId="0" applyNumberFormat="1" applyFont="1" applyFill="1" applyBorder="1" applyAlignment="1" applyProtection="1">
      <alignment horizontal="center" vertical="center"/>
    </xf>
    <xf numFmtId="0" fontId="15" fillId="3" borderId="16" xfId="0" applyNumberFormat="1" applyFont="1" applyFill="1" applyBorder="1" applyAlignment="1" applyProtection="1">
      <alignment vertical="center"/>
    </xf>
    <xf numFmtId="0" fontId="15" fillId="0" borderId="45" xfId="0" applyNumberFormat="1" applyFont="1" applyBorder="1" applyAlignment="1" applyProtection="1">
      <alignment horizontal="center" vertical="center"/>
    </xf>
    <xf numFmtId="0" fontId="15" fillId="0" borderId="46" xfId="0" applyNumberFormat="1" applyFont="1" applyBorder="1" applyAlignment="1" applyProtection="1">
      <alignment horizontal="center" vertical="center"/>
    </xf>
    <xf numFmtId="0" fontId="15" fillId="3" borderId="0" xfId="0" applyNumberFormat="1" applyFont="1" applyFill="1" applyAlignment="1">
      <alignment horizontal="center" vertical="center"/>
    </xf>
    <xf numFmtId="0" fontId="15" fillId="0" borderId="47" xfId="0" applyNumberFormat="1" applyFont="1" applyBorder="1" applyAlignment="1" applyProtection="1">
      <alignment vertical="center"/>
    </xf>
    <xf numFmtId="0" fontId="16" fillId="5" borderId="48" xfId="0" applyNumberFormat="1" applyFont="1" applyFill="1" applyBorder="1" applyAlignment="1" applyProtection="1">
      <alignment horizontal="center" vertical="center"/>
    </xf>
    <xf numFmtId="0" fontId="16" fillId="5" borderId="49" xfId="0" applyNumberFormat="1" applyFont="1" applyFill="1" applyBorder="1" applyAlignment="1" applyProtection="1">
      <alignment horizontal="center" vertical="center"/>
    </xf>
    <xf numFmtId="0" fontId="16" fillId="5" borderId="50" xfId="0" applyNumberFormat="1" applyFont="1" applyFill="1" applyBorder="1" applyAlignment="1" applyProtection="1">
      <alignment horizontal="center" vertical="center"/>
    </xf>
    <xf numFmtId="0" fontId="15" fillId="2" borderId="0" xfId="0" applyNumberFormat="1" applyFont="1" applyFill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5" fillId="0" borderId="11" xfId="0" applyNumberFormat="1" applyFont="1" applyFill="1" applyBorder="1" applyAlignment="1" applyProtection="1">
      <alignment vertical="center"/>
    </xf>
    <xf numFmtId="0" fontId="19" fillId="0" borderId="17" xfId="0" applyNumberFormat="1" applyFont="1" applyFill="1" applyBorder="1" applyAlignment="1" applyProtection="1">
      <alignment vertical="center"/>
    </xf>
    <xf numFmtId="0" fontId="15" fillId="0" borderId="19" xfId="0" applyNumberFormat="1" applyFont="1" applyFill="1" applyBorder="1" applyAlignment="1" applyProtection="1">
      <alignment vertical="center"/>
    </xf>
    <xf numFmtId="0" fontId="23" fillId="0" borderId="17" xfId="0" applyNumberFormat="1" applyFont="1" applyFill="1" applyBorder="1" applyAlignment="1" applyProtection="1">
      <alignment vertical="center"/>
    </xf>
    <xf numFmtId="0" fontId="15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5" borderId="51" xfId="0" applyNumberFormat="1" applyFont="1" applyFill="1" applyBorder="1" applyAlignment="1" applyProtection="1">
      <alignment vertical="center"/>
    </xf>
    <xf numFmtId="0" fontId="16" fillId="0" borderId="47" xfId="0" applyNumberFormat="1" applyFont="1" applyBorder="1" applyAlignment="1">
      <alignment horizontal="center" vertical="center"/>
    </xf>
    <xf numFmtId="0" fontId="16" fillId="2" borderId="52" xfId="0" applyNumberFormat="1" applyFont="1" applyFill="1" applyBorder="1" applyAlignment="1" applyProtection="1">
      <alignment horizontal="center" vertical="center"/>
    </xf>
    <xf numFmtId="0" fontId="16" fillId="0" borderId="53" xfId="0" applyNumberFormat="1" applyFont="1" applyBorder="1" applyAlignment="1">
      <alignment horizontal="center" vertical="center"/>
    </xf>
    <xf numFmtId="0" fontId="15" fillId="2" borderId="54" xfId="0" applyNumberFormat="1" applyFont="1" applyFill="1" applyBorder="1" applyAlignment="1">
      <alignment horizontal="center" vertical="center"/>
    </xf>
    <xf numFmtId="0" fontId="15" fillId="0" borderId="54" xfId="0" applyNumberFormat="1" applyFont="1" applyBorder="1" applyAlignment="1">
      <alignment vertical="center"/>
    </xf>
    <xf numFmtId="0" fontId="15" fillId="0" borderId="55" xfId="0" applyNumberFormat="1" applyFont="1" applyBorder="1" applyAlignment="1">
      <alignment vertical="center"/>
    </xf>
    <xf numFmtId="0" fontId="16" fillId="0" borderId="56" xfId="0" applyNumberFormat="1" applyFont="1" applyBorder="1" applyAlignment="1">
      <alignment horizontal="center" vertical="center"/>
    </xf>
    <xf numFmtId="0" fontId="15" fillId="2" borderId="57" xfId="0" applyNumberFormat="1" applyFont="1" applyFill="1" applyBorder="1" applyAlignment="1">
      <alignment horizontal="center" vertical="center"/>
    </xf>
    <xf numFmtId="0" fontId="15" fillId="0" borderId="57" xfId="0" applyNumberFormat="1" applyFont="1" applyBorder="1" applyAlignment="1">
      <alignment vertical="center"/>
    </xf>
    <xf numFmtId="0" fontId="15" fillId="0" borderId="58" xfId="0" applyNumberFormat="1" applyFont="1" applyBorder="1" applyAlignment="1">
      <alignment vertical="center"/>
    </xf>
    <xf numFmtId="0" fontId="16" fillId="0" borderId="59" xfId="0" applyNumberFormat="1" applyFont="1" applyBorder="1" applyAlignment="1">
      <alignment horizontal="center" vertical="center"/>
    </xf>
    <xf numFmtId="0" fontId="15" fillId="2" borderId="60" xfId="0" applyNumberFormat="1" applyFont="1" applyFill="1" applyBorder="1" applyAlignment="1">
      <alignment horizontal="center" vertical="center"/>
    </xf>
    <xf numFmtId="0" fontId="15" fillId="0" borderId="60" xfId="0" applyNumberFormat="1" applyFont="1" applyBorder="1" applyAlignment="1">
      <alignment vertical="center"/>
    </xf>
    <xf numFmtId="0" fontId="15" fillId="2" borderId="60" xfId="0" applyNumberFormat="1" applyFont="1" applyFill="1" applyBorder="1" applyAlignment="1" applyProtection="1">
      <alignment horizontal="center" vertical="center"/>
    </xf>
    <xf numFmtId="0" fontId="15" fillId="0" borderId="61" xfId="0" applyNumberFormat="1" applyFont="1" applyBorder="1" applyAlignment="1" applyProtection="1">
      <alignment vertical="center"/>
    </xf>
    <xf numFmtId="0" fontId="15" fillId="2" borderId="62" xfId="0" applyNumberFormat="1" applyFont="1" applyFill="1" applyBorder="1" applyAlignment="1" applyProtection="1">
      <alignment horizontal="center" vertical="center"/>
    </xf>
    <xf numFmtId="0" fontId="15" fillId="0" borderId="52" xfId="0" applyNumberFormat="1" applyFont="1" applyFill="1" applyBorder="1" applyAlignment="1" applyProtection="1">
      <alignment horizontal="center" vertical="center"/>
    </xf>
    <xf numFmtId="0" fontId="15" fillId="0" borderId="0" xfId="0" applyNumberFormat="1" applyFont="1" applyAlignment="1">
      <alignment horizontal="left" vertical="center"/>
    </xf>
    <xf numFmtId="0" fontId="16" fillId="2" borderId="24" xfId="0" applyNumberFormat="1" applyFont="1" applyFill="1" applyBorder="1" applyAlignment="1" applyProtection="1">
      <alignment vertical="center"/>
    </xf>
    <xf numFmtId="0" fontId="16" fillId="2" borderId="25" xfId="0" applyNumberFormat="1" applyFont="1" applyFill="1" applyBorder="1" applyAlignment="1" applyProtection="1">
      <alignment vertical="center"/>
    </xf>
    <xf numFmtId="0" fontId="15" fillId="0" borderId="63" xfId="0" applyNumberFormat="1" applyFont="1" applyBorder="1" applyAlignment="1" applyProtection="1">
      <alignment vertical="center"/>
    </xf>
    <xf numFmtId="0" fontId="16" fillId="0" borderId="27" xfId="0" applyNumberFormat="1" applyFont="1" applyBorder="1" applyAlignment="1">
      <alignment vertical="center"/>
    </xf>
    <xf numFmtId="0" fontId="15" fillId="0" borderId="27" xfId="0" applyNumberFormat="1" applyFont="1" applyBorder="1" applyAlignment="1">
      <alignment vertical="center"/>
    </xf>
    <xf numFmtId="0" fontId="16" fillId="0" borderId="27" xfId="0" applyNumberFormat="1" applyFont="1" applyFill="1" applyBorder="1" applyAlignment="1">
      <alignment vertical="center"/>
    </xf>
    <xf numFmtId="0" fontId="15" fillId="0" borderId="27" xfId="0" applyNumberFormat="1" applyFont="1" applyFill="1" applyBorder="1" applyAlignment="1">
      <alignment vertical="center"/>
    </xf>
    <xf numFmtId="0" fontId="15" fillId="0" borderId="64" xfId="0" applyNumberFormat="1" applyFont="1" applyBorder="1" applyAlignment="1" applyProtection="1">
      <alignment vertical="center"/>
    </xf>
    <xf numFmtId="0" fontId="16" fillId="2" borderId="21" xfId="0" applyNumberFormat="1" applyFont="1" applyFill="1" applyBorder="1" applyAlignment="1" applyProtection="1">
      <alignment vertical="center"/>
    </xf>
    <xf numFmtId="0" fontId="16" fillId="2" borderId="17" xfId="0" applyNumberFormat="1" applyFont="1" applyFill="1" applyBorder="1" applyAlignment="1" applyProtection="1">
      <alignment vertical="center"/>
    </xf>
    <xf numFmtId="0" fontId="16" fillId="2" borderId="18" xfId="0" applyNumberFormat="1" applyFont="1" applyFill="1" applyBorder="1" applyAlignment="1" applyProtection="1">
      <alignment vertical="center"/>
    </xf>
    <xf numFmtId="0" fontId="16" fillId="0" borderId="2" xfId="0" applyNumberFormat="1" applyFont="1" applyFill="1" applyBorder="1" applyAlignment="1" applyProtection="1">
      <alignment horizontal="center" vertical="center"/>
    </xf>
    <xf numFmtId="0" fontId="16" fillId="0" borderId="0" xfId="0" applyNumberFormat="1" applyFont="1" applyFill="1" applyAlignment="1" applyProtection="1">
      <alignment horizontal="center" vertical="center"/>
      <protection locked="0"/>
    </xf>
    <xf numFmtId="0" fontId="16" fillId="2" borderId="39" xfId="0" applyNumberFormat="1" applyFont="1" applyFill="1" applyBorder="1" applyAlignment="1" applyProtection="1">
      <alignment vertical="center"/>
    </xf>
    <xf numFmtId="0" fontId="21" fillId="0" borderId="21" xfId="0" applyNumberFormat="1" applyFont="1" applyFill="1" applyBorder="1" applyAlignment="1" applyProtection="1">
      <alignment vertical="center"/>
    </xf>
    <xf numFmtId="0" fontId="21" fillId="0" borderId="17" xfId="0" applyNumberFormat="1" applyFont="1" applyFill="1" applyBorder="1" applyAlignment="1" applyProtection="1">
      <alignment vertical="center"/>
    </xf>
    <xf numFmtId="0" fontId="21" fillId="0" borderId="18" xfId="0" applyNumberFormat="1" applyFont="1" applyFill="1" applyBorder="1" applyAlignment="1" applyProtection="1">
      <alignment vertical="center"/>
    </xf>
    <xf numFmtId="0" fontId="15" fillId="2" borderId="21" xfId="0" applyNumberFormat="1" applyFont="1" applyFill="1" applyBorder="1" applyAlignment="1" applyProtection="1">
      <alignment vertical="center"/>
    </xf>
    <xf numFmtId="0" fontId="16" fillId="0" borderId="21" xfId="0" applyNumberFormat="1" applyFont="1" applyBorder="1" applyAlignment="1" applyProtection="1">
      <alignment vertical="center"/>
    </xf>
    <xf numFmtId="0" fontId="15" fillId="0" borderId="0" xfId="0" applyNumberFormat="1" applyFont="1" applyBorder="1" applyAlignment="1" applyProtection="1">
      <alignment vertical="center"/>
    </xf>
    <xf numFmtId="0" fontId="22" fillId="3" borderId="21" xfId="0" applyNumberFormat="1" applyFont="1" applyFill="1" applyBorder="1" applyAlignment="1" applyProtection="1">
      <alignment vertical="center"/>
    </xf>
    <xf numFmtId="0" fontId="19" fillId="0" borderId="21" xfId="0" applyNumberFormat="1" applyFont="1" applyBorder="1" applyAlignment="1" applyProtection="1">
      <alignment vertical="center"/>
    </xf>
    <xf numFmtId="0" fontId="15" fillId="0" borderId="65" xfId="0" applyNumberFormat="1" applyFont="1" applyBorder="1" applyAlignment="1" applyProtection="1">
      <alignment vertical="center"/>
    </xf>
    <xf numFmtId="0" fontId="16" fillId="2" borderId="39" xfId="0" applyNumberFormat="1" applyFont="1" applyFill="1" applyBorder="1" applyAlignment="1" applyProtection="1">
      <alignment horizontal="center" vertical="center"/>
    </xf>
    <xf numFmtId="0" fontId="15" fillId="0" borderId="65" xfId="0" applyNumberFormat="1" applyFont="1" applyFill="1" applyBorder="1" applyAlignment="1" applyProtection="1">
      <alignment vertical="center"/>
    </xf>
    <xf numFmtId="0" fontId="16" fillId="0" borderId="21" xfId="0" applyNumberFormat="1" applyFont="1" applyFill="1" applyBorder="1" applyAlignment="1" applyProtection="1">
      <alignment vertical="center"/>
    </xf>
    <xf numFmtId="0" fontId="15" fillId="4" borderId="21" xfId="0" applyNumberFormat="1" applyFont="1" applyFill="1" applyBorder="1" applyAlignment="1" applyProtection="1">
      <alignment vertical="center"/>
    </xf>
    <xf numFmtId="0" fontId="19" fillId="0" borderId="21" xfId="0" applyNumberFormat="1" applyFont="1" applyFill="1" applyBorder="1" applyAlignment="1" applyProtection="1">
      <alignment vertical="center"/>
    </xf>
    <xf numFmtId="0" fontId="22" fillId="0" borderId="21" xfId="0" applyNumberFormat="1" applyFont="1" applyFill="1" applyBorder="1" applyAlignment="1" applyProtection="1">
      <alignment vertical="center"/>
    </xf>
    <xf numFmtId="0" fontId="15" fillId="0" borderId="66" xfId="0" applyNumberFormat="1" applyFont="1" applyBorder="1" applyAlignment="1" applyProtection="1">
      <alignment horizontal="center" vertical="center"/>
    </xf>
    <xf numFmtId="0" fontId="15" fillId="0" borderId="67" xfId="0" applyNumberFormat="1" applyFont="1" applyBorder="1" applyAlignment="1" applyProtection="1">
      <alignment horizontal="center" vertical="center"/>
    </xf>
    <xf numFmtId="0" fontId="15" fillId="0" borderId="6" xfId="0" applyNumberFormat="1" applyFont="1" applyBorder="1" applyAlignment="1" applyProtection="1">
      <alignment vertical="center"/>
    </xf>
    <xf numFmtId="0" fontId="16" fillId="2" borderId="34" xfId="0" applyNumberFormat="1" applyFont="1" applyFill="1" applyBorder="1" applyAlignment="1" applyProtection="1">
      <alignment vertical="center"/>
    </xf>
    <xf numFmtId="0" fontId="16" fillId="5" borderId="68" xfId="0" applyNumberFormat="1" applyFont="1" applyFill="1" applyBorder="1" applyAlignment="1" applyProtection="1">
      <alignment vertical="center"/>
    </xf>
    <xf numFmtId="0" fontId="22" fillId="2" borderId="21" xfId="0" applyNumberFormat="1" applyFont="1" applyFill="1" applyBorder="1" applyAlignment="1" applyProtection="1">
      <alignment vertical="center"/>
    </xf>
    <xf numFmtId="0" fontId="26" fillId="0" borderId="0" xfId="0" applyNumberFormat="1" applyFont="1" applyAlignment="1">
      <alignment vertical="center"/>
    </xf>
    <xf numFmtId="0" fontId="9" fillId="0" borderId="69" xfId="0" applyNumberFormat="1" applyFont="1" applyBorder="1" applyAlignment="1" applyProtection="1">
      <alignment vertical="center"/>
    </xf>
    <xf numFmtId="0" fontId="2" fillId="4" borderId="4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Border="1" applyAlignment="1" applyProtection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87" fontId="5" fillId="0" borderId="0" xfId="0" applyNumberFormat="1" applyFont="1" applyAlignment="1">
      <alignment horizontal="center" vertical="center"/>
    </xf>
    <xf numFmtId="189" fontId="5" fillId="0" borderId="0" xfId="0" applyNumberFormat="1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0" xfId="0" applyFont="1" applyBorder="1"/>
    <xf numFmtId="0" fontId="5" fillId="0" borderId="63" xfId="0" applyFont="1" applyBorder="1" applyAlignment="1">
      <alignment horizontal="center" vertical="center"/>
    </xf>
    <xf numFmtId="187" fontId="5" fillId="0" borderId="73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right" vertical="center"/>
      <protection locked="0"/>
    </xf>
    <xf numFmtId="0" fontId="0" fillId="0" borderId="16" xfId="1" applyNumberFormat="1" applyFont="1" applyBorder="1" applyAlignment="1" applyProtection="1">
      <alignment horizontal="center" vertical="center"/>
    </xf>
    <xf numFmtId="0" fontId="2" fillId="2" borderId="28" xfId="0" applyNumberFormat="1" applyFont="1" applyFill="1" applyBorder="1" applyAlignment="1" applyProtection="1">
      <alignment horizontal="center" vertical="center"/>
    </xf>
    <xf numFmtId="186" fontId="28" fillId="3" borderId="16" xfId="2" applyNumberFormat="1" applyFont="1" applyFill="1" applyBorder="1" applyAlignment="1" applyProtection="1">
      <alignment horizontal="center" vertical="center"/>
      <protection locked="0"/>
    </xf>
    <xf numFmtId="186" fontId="28" fillId="3" borderId="33" xfId="2" applyNumberFormat="1" applyFont="1" applyFill="1" applyBorder="1" applyAlignment="1" applyProtection="1">
      <alignment horizontal="center" vertical="center"/>
      <protection locked="0"/>
    </xf>
    <xf numFmtId="190" fontId="0" fillId="3" borderId="0" xfId="2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184" fontId="5" fillId="0" borderId="73" xfId="0" applyNumberFormat="1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187" fontId="5" fillId="0" borderId="30" xfId="0" applyNumberFormat="1" applyFont="1" applyBorder="1" applyAlignment="1">
      <alignment horizontal="center" vertical="center"/>
    </xf>
    <xf numFmtId="184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89" fontId="5" fillId="5" borderId="76" xfId="0" applyNumberFormat="1" applyFont="1" applyFill="1" applyBorder="1" applyAlignment="1">
      <alignment horizontal="center" vertical="center"/>
    </xf>
    <xf numFmtId="189" fontId="5" fillId="5" borderId="28" xfId="0" applyNumberFormat="1" applyFont="1" applyFill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189" fontId="5" fillId="2" borderId="78" xfId="0" applyNumberFormat="1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3" fillId="2" borderId="79" xfId="0" applyNumberFormat="1" applyFont="1" applyFill="1" applyBorder="1" applyAlignment="1">
      <alignment horizontal="center" vertical="center"/>
    </xf>
    <xf numFmtId="0" fontId="13" fillId="2" borderId="80" xfId="0" applyNumberFormat="1" applyFont="1" applyFill="1" applyBorder="1" applyAlignment="1">
      <alignment horizontal="center" vertical="center"/>
    </xf>
    <xf numFmtId="0" fontId="13" fillId="2" borderId="81" xfId="0" applyNumberFormat="1" applyFont="1" applyFill="1" applyBorder="1" applyAlignment="1">
      <alignment horizontal="center" vertical="center"/>
    </xf>
    <xf numFmtId="0" fontId="13" fillId="2" borderId="82" xfId="0" applyNumberFormat="1" applyFont="1" applyFill="1" applyBorder="1" applyAlignment="1">
      <alignment horizontal="center" vertical="center"/>
    </xf>
    <xf numFmtId="0" fontId="13" fillId="2" borderId="83" xfId="0" applyNumberFormat="1" applyFont="1" applyFill="1" applyBorder="1" applyAlignment="1">
      <alignment horizontal="center" vertical="center"/>
    </xf>
    <xf numFmtId="0" fontId="13" fillId="2" borderId="84" xfId="0" applyNumberFormat="1" applyFont="1" applyFill="1" applyBorder="1" applyAlignment="1">
      <alignment horizontal="center" vertical="center"/>
    </xf>
    <xf numFmtId="0" fontId="13" fillId="2" borderId="85" xfId="0" applyNumberFormat="1" applyFont="1" applyFill="1" applyBorder="1" applyAlignment="1">
      <alignment horizontal="center" vertical="center"/>
    </xf>
    <xf numFmtId="0" fontId="13" fillId="2" borderId="86" xfId="0" applyNumberFormat="1" applyFont="1" applyFill="1" applyBorder="1" applyAlignment="1">
      <alignment horizontal="center" vertical="center"/>
    </xf>
    <xf numFmtId="0" fontId="15" fillId="0" borderId="89" xfId="0" applyNumberFormat="1" applyFont="1" applyBorder="1" applyAlignment="1" applyProtection="1">
      <alignment vertical="center"/>
    </xf>
    <xf numFmtId="177" fontId="0" fillId="0" borderId="16" xfId="2" applyNumberFormat="1" applyFont="1" applyBorder="1" applyAlignment="1" applyProtection="1">
      <alignment horizontal="center" vertical="center"/>
    </xf>
    <xf numFmtId="0" fontId="0" fillId="0" borderId="32" xfId="2" applyNumberFormat="1" applyFont="1" applyFill="1" applyBorder="1" applyAlignment="1" applyProtection="1">
      <alignment horizontal="center" vertical="center"/>
      <protection locked="0"/>
    </xf>
    <xf numFmtId="0" fontId="0" fillId="0" borderId="32" xfId="2" applyNumberFormat="1" applyFont="1" applyBorder="1" applyAlignment="1" applyProtection="1">
      <alignment horizontal="center" vertical="center"/>
    </xf>
    <xf numFmtId="184" fontId="0" fillId="0" borderId="90" xfId="1" applyNumberFormat="1" applyFont="1" applyBorder="1" applyAlignment="1" applyProtection="1">
      <alignment horizontal="center" vertical="center"/>
    </xf>
    <xf numFmtId="184" fontId="0" fillId="0" borderId="91" xfId="1" applyNumberFormat="1" applyFont="1" applyBorder="1" applyAlignment="1" applyProtection="1">
      <alignment horizontal="center" vertical="center"/>
    </xf>
    <xf numFmtId="184" fontId="0" fillId="0" borderId="4" xfId="1" applyNumberFormat="1" applyFont="1" applyBorder="1" applyAlignment="1" applyProtection="1">
      <alignment horizontal="center" vertical="center"/>
    </xf>
    <xf numFmtId="184" fontId="0" fillId="0" borderId="92" xfId="1" applyNumberFormat="1" applyFont="1" applyBorder="1" applyAlignment="1" applyProtection="1">
      <alignment horizontal="center" vertical="center"/>
    </xf>
    <xf numFmtId="0" fontId="15" fillId="3" borderId="0" xfId="0" applyNumberFormat="1" applyFont="1" applyFill="1" applyAlignment="1" applyProtection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10" xfId="0" applyNumberFormat="1" applyFont="1" applyFill="1" applyBorder="1" applyAlignment="1">
      <alignment horizontal="center" vertical="center"/>
    </xf>
    <xf numFmtId="0" fontId="14" fillId="0" borderId="69" xfId="0" applyNumberFormat="1" applyFont="1" applyFill="1" applyBorder="1" applyAlignment="1">
      <alignment horizontal="center" vertical="center"/>
    </xf>
    <xf numFmtId="0" fontId="15" fillId="0" borderId="5" xfId="0" applyNumberFormat="1" applyFont="1" applyBorder="1" applyAlignment="1" applyProtection="1">
      <alignment vertical="center"/>
    </xf>
    <xf numFmtId="0" fontId="15" fillId="0" borderId="28" xfId="0" applyNumberFormat="1" applyFont="1" applyBorder="1" applyAlignment="1" applyProtection="1">
      <alignment vertical="center"/>
    </xf>
    <xf numFmtId="0" fontId="13" fillId="2" borderId="83" xfId="0" applyNumberFormat="1" applyFont="1" applyFill="1" applyBorder="1" applyAlignment="1" applyProtection="1">
      <alignment horizontal="center" vertical="center"/>
    </xf>
    <xf numFmtId="0" fontId="13" fillId="2" borderId="84" xfId="0" applyNumberFormat="1" applyFont="1" applyFill="1" applyBorder="1" applyAlignment="1" applyProtection="1">
      <alignment horizontal="center" vertical="center"/>
    </xf>
    <xf numFmtId="0" fontId="13" fillId="2" borderId="93" xfId="0" applyNumberFormat="1" applyFont="1" applyFill="1" applyBorder="1" applyAlignment="1" applyProtection="1">
      <alignment horizontal="center" vertical="center"/>
    </xf>
    <xf numFmtId="0" fontId="13" fillId="2" borderId="85" xfId="0" applyNumberFormat="1" applyFont="1" applyFill="1" applyBorder="1" applyAlignment="1" applyProtection="1">
      <alignment horizontal="center" vertical="center"/>
    </xf>
    <xf numFmtId="0" fontId="13" fillId="2" borderId="86" xfId="0" applyNumberFormat="1" applyFont="1" applyFill="1" applyBorder="1" applyAlignment="1" applyProtection="1">
      <alignment horizontal="center" vertical="center"/>
    </xf>
    <xf numFmtId="0" fontId="13" fillId="2" borderId="94" xfId="0" applyNumberFormat="1" applyFont="1" applyFill="1" applyBorder="1" applyAlignment="1" applyProtection="1">
      <alignment horizontal="center" vertical="center"/>
    </xf>
    <xf numFmtId="0" fontId="13" fillId="2" borderId="95" xfId="0" applyNumberFormat="1" applyFont="1" applyFill="1" applyBorder="1" applyAlignment="1">
      <alignment horizontal="center" vertical="center"/>
    </xf>
    <xf numFmtId="0" fontId="13" fillId="2" borderId="96" xfId="0" applyNumberFormat="1" applyFont="1" applyFill="1" applyBorder="1" applyAlignment="1">
      <alignment horizontal="center" vertical="center"/>
    </xf>
    <xf numFmtId="0" fontId="13" fillId="2" borderId="93" xfId="0" applyNumberFormat="1" applyFont="1" applyFill="1" applyBorder="1" applyAlignment="1">
      <alignment horizontal="center" vertical="center"/>
    </xf>
    <xf numFmtId="0" fontId="13" fillId="2" borderId="94" xfId="0" applyNumberFormat="1" applyFont="1" applyFill="1" applyBorder="1" applyAlignment="1">
      <alignment horizontal="center" vertical="center"/>
    </xf>
    <xf numFmtId="191" fontId="5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29" fillId="0" borderId="0" xfId="0" applyNumberFormat="1" applyFont="1" applyBorder="1" applyAlignment="1">
      <alignment vertical="center"/>
    </xf>
    <xf numFmtId="0" fontId="30" fillId="0" borderId="0" xfId="0" applyNumberFormat="1" applyFont="1" applyBorder="1" applyAlignment="1">
      <alignment vertical="center"/>
    </xf>
    <xf numFmtId="192" fontId="0" fillId="0" borderId="97" xfId="0" applyNumberFormat="1" applyBorder="1" applyAlignment="1">
      <alignment horizontal="center" vertical="center"/>
    </xf>
    <xf numFmtId="194" fontId="0" fillId="0" borderId="97" xfId="0" applyNumberFormat="1" applyBorder="1" applyAlignment="1">
      <alignment horizontal="center" vertical="center"/>
    </xf>
    <xf numFmtId="192" fontId="0" fillId="0" borderId="0" xfId="0" applyNumberFormat="1"/>
    <xf numFmtId="192" fontId="0" fillId="0" borderId="69" xfId="0" applyNumberFormat="1" applyBorder="1" applyAlignment="1">
      <alignment horizontal="center" vertical="center"/>
    </xf>
    <xf numFmtId="192" fontId="0" fillId="0" borderId="69" xfId="0" applyNumberFormat="1" applyBorder="1" applyAlignment="1">
      <alignment vertical="center"/>
    </xf>
    <xf numFmtId="192" fontId="0" fillId="0" borderId="98" xfId="0" applyNumberFormat="1" applyBorder="1" applyAlignment="1">
      <alignment horizontal="center" vertical="center"/>
    </xf>
    <xf numFmtId="192" fontId="0" fillId="0" borderId="29" xfId="0" applyNumberFormat="1" applyBorder="1" applyAlignment="1">
      <alignment horizontal="center" vertical="center"/>
    </xf>
    <xf numFmtId="192" fontId="0" fillId="0" borderId="0" xfId="0" applyNumberFormat="1" applyBorder="1" applyAlignment="1">
      <alignment horizontal="center" vertical="center"/>
    </xf>
    <xf numFmtId="0" fontId="0" fillId="6" borderId="26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6" borderId="67" xfId="0" applyFill="1" applyBorder="1" applyAlignment="1">
      <alignment vertical="center"/>
    </xf>
    <xf numFmtId="0" fontId="0" fillId="6" borderId="99" xfId="0" applyFill="1" applyBorder="1" applyAlignment="1">
      <alignment vertical="center"/>
    </xf>
    <xf numFmtId="0" fontId="0" fillId="6" borderId="99" xfId="0" applyFill="1" applyBorder="1" applyAlignment="1">
      <alignment horizontal="center" vertical="center"/>
    </xf>
    <xf numFmtId="0" fontId="2" fillId="6" borderId="100" xfId="0" applyFont="1" applyFill="1" applyBorder="1" applyAlignment="1">
      <alignment horizontal="center" vertical="center"/>
    </xf>
    <xf numFmtId="0" fontId="2" fillId="6" borderId="101" xfId="0" applyFont="1" applyFill="1" applyBorder="1" applyAlignment="1">
      <alignment horizontal="center" vertical="center"/>
    </xf>
    <xf numFmtId="0" fontId="2" fillId="6" borderId="102" xfId="0" applyFont="1" applyFill="1" applyBorder="1" applyAlignment="1">
      <alignment horizontal="center" vertical="center"/>
    </xf>
    <xf numFmtId="0" fontId="0" fillId="6" borderId="103" xfId="0" applyFill="1" applyBorder="1" applyAlignment="1">
      <alignment vertical="center"/>
    </xf>
    <xf numFmtId="0" fontId="0" fillId="6" borderId="104" xfId="0" applyFill="1" applyBorder="1" applyAlignment="1">
      <alignment horizontal="center" vertical="center"/>
    </xf>
    <xf numFmtId="192" fontId="0" fillId="0" borderId="105" xfId="0" applyNumberFormat="1" applyBorder="1" applyAlignment="1">
      <alignment horizontal="center" vertical="center"/>
    </xf>
    <xf numFmtId="192" fontId="0" fillId="0" borderId="106" xfId="0" applyNumberFormat="1" applyBorder="1" applyAlignment="1">
      <alignment vertic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40" xfId="1" applyNumberFormat="1" applyFont="1" applyBorder="1" applyAlignment="1">
      <alignment horizontal="center"/>
    </xf>
    <xf numFmtId="188" fontId="0" fillId="0" borderId="40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1" applyNumberFormat="1" applyFont="1" applyBorder="1" applyAlignment="1">
      <alignment horizontal="center"/>
    </xf>
    <xf numFmtId="188" fontId="0" fillId="0" borderId="31" xfId="0" applyNumberFormat="1" applyBorder="1" applyAlignment="1">
      <alignment horizontal="center"/>
    </xf>
    <xf numFmtId="0" fontId="0" fillId="0" borderId="106" xfId="0" applyBorder="1" applyAlignment="1">
      <alignment horizontal="center"/>
    </xf>
    <xf numFmtId="0" fontId="0" fillId="0" borderId="107" xfId="1" applyNumberFormat="1" applyFont="1" applyBorder="1" applyAlignment="1">
      <alignment horizontal="center"/>
    </xf>
    <xf numFmtId="188" fontId="0" fillId="0" borderId="107" xfId="0" applyNumberFormat="1" applyBorder="1" applyAlignment="1">
      <alignment horizontal="center"/>
    </xf>
    <xf numFmtId="188" fontId="0" fillId="0" borderId="0" xfId="0" applyNumberFormat="1"/>
    <xf numFmtId="188" fontId="0" fillId="2" borderId="29" xfId="0" applyNumberForma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190" fontId="0" fillId="3" borderId="21" xfId="2" applyNumberFormat="1" applyFont="1" applyFill="1" applyBorder="1" applyAlignment="1" applyProtection="1">
      <alignment horizontal="center" vertical="center"/>
      <protection locked="0"/>
    </xf>
    <xf numFmtId="190" fontId="0" fillId="3" borderId="16" xfId="2" applyNumberFormat="1" applyFont="1" applyFill="1" applyBorder="1" applyAlignment="1" applyProtection="1">
      <alignment horizontal="center" vertical="center"/>
      <protection locked="0"/>
    </xf>
    <xf numFmtId="190" fontId="0" fillId="3" borderId="33" xfId="2" applyNumberFormat="1" applyFont="1" applyFill="1" applyBorder="1" applyAlignment="1" applyProtection="1">
      <alignment horizontal="center" vertical="center"/>
      <protection locked="0"/>
    </xf>
    <xf numFmtId="184" fontId="0" fillId="0" borderId="39" xfId="1" applyNumberFormat="1" applyFont="1" applyBorder="1" applyAlignment="1" applyProtection="1">
      <alignment horizontal="center" vertical="center"/>
    </xf>
    <xf numFmtId="184" fontId="0" fillId="0" borderId="108" xfId="1" applyNumberFormat="1" applyFont="1" applyBorder="1" applyAlignment="1" applyProtection="1">
      <alignment horizontal="center" vertical="center"/>
    </xf>
    <xf numFmtId="184" fontId="0" fillId="0" borderId="23" xfId="1" applyNumberFormat="1" applyFont="1" applyBorder="1" applyAlignment="1" applyProtection="1">
      <alignment horizontal="center" vertical="center"/>
    </xf>
    <xf numFmtId="184" fontId="0" fillId="0" borderId="35" xfId="1" applyNumberFormat="1" applyFont="1" applyBorder="1" applyAlignment="1" applyProtection="1">
      <alignment horizontal="center" vertical="center"/>
    </xf>
    <xf numFmtId="1" fontId="0" fillId="0" borderId="4" xfId="1" applyNumberFormat="1" applyFont="1" applyBorder="1" applyAlignment="1" applyProtection="1">
      <alignment horizontal="center" vertical="center"/>
    </xf>
    <xf numFmtId="1" fontId="0" fillId="0" borderId="23" xfId="1" applyNumberFormat="1" applyFont="1" applyBorder="1" applyAlignment="1" applyProtection="1">
      <alignment horizontal="center" vertical="center"/>
    </xf>
    <xf numFmtId="177" fontId="0" fillId="3" borderId="21" xfId="2" applyNumberFormat="1" applyFont="1" applyFill="1" applyBorder="1" applyAlignment="1" applyProtection="1">
      <alignment horizontal="center" vertical="center"/>
      <protection locked="0"/>
    </xf>
    <xf numFmtId="177" fontId="0" fillId="3" borderId="109" xfId="2" applyNumberFormat="1" applyFont="1" applyFill="1" applyBorder="1" applyAlignment="1" applyProtection="1">
      <alignment horizontal="center" vertical="center"/>
      <protection locked="0"/>
    </xf>
    <xf numFmtId="177" fontId="0" fillId="3" borderId="110" xfId="2" applyNumberFormat="1" applyFont="1" applyFill="1" applyBorder="1" applyAlignment="1" applyProtection="1">
      <alignment horizontal="center" vertical="center"/>
      <protection locked="0"/>
    </xf>
    <xf numFmtId="177" fontId="0" fillId="3" borderId="111" xfId="2" applyNumberFormat="1" applyFont="1" applyFill="1" applyBorder="1" applyAlignment="1" applyProtection="1">
      <alignment horizontal="center" vertical="center"/>
      <protection locked="0"/>
    </xf>
    <xf numFmtId="190" fontId="0" fillId="3" borderId="111" xfId="2" applyNumberFormat="1" applyFont="1" applyFill="1" applyBorder="1" applyAlignment="1" applyProtection="1">
      <alignment horizontal="center" vertical="center"/>
      <protection locked="0"/>
    </xf>
    <xf numFmtId="184" fontId="0" fillId="0" borderId="13" xfId="1" applyNumberFormat="1" applyFont="1" applyBorder="1" applyAlignment="1" applyProtection="1">
      <alignment horizontal="center" vertical="center"/>
    </xf>
    <xf numFmtId="184" fontId="0" fillId="0" borderId="24" xfId="1" applyNumberFormat="1" applyFont="1" applyBorder="1" applyAlignment="1" applyProtection="1">
      <alignment horizontal="center" vertical="center"/>
    </xf>
    <xf numFmtId="183" fontId="2" fillId="3" borderId="0" xfId="0" applyNumberFormat="1" applyFont="1" applyFill="1" applyAlignment="1" applyProtection="1">
      <alignment horizontal="center" vertical="center"/>
      <protection locked="0"/>
    </xf>
    <xf numFmtId="183" fontId="2" fillId="3" borderId="0" xfId="0" applyNumberFormat="1" applyFont="1" applyFill="1" applyAlignment="1">
      <alignment horizontal="center" vertical="center"/>
    </xf>
    <xf numFmtId="0" fontId="15" fillId="0" borderId="112" xfId="0" applyNumberFormat="1" applyFont="1" applyFill="1" applyBorder="1" applyAlignment="1" applyProtection="1">
      <alignment vertical="center"/>
    </xf>
    <xf numFmtId="0" fontId="15" fillId="0" borderId="113" xfId="0" applyNumberFormat="1" applyFont="1" applyFill="1" applyBorder="1" applyAlignment="1" applyProtection="1">
      <alignment vertical="center"/>
      <protection locked="0"/>
    </xf>
    <xf numFmtId="0" fontId="15" fillId="0" borderId="114" xfId="0" applyNumberFormat="1" applyFont="1" applyFill="1" applyBorder="1" applyAlignment="1" applyProtection="1">
      <alignment vertical="center"/>
      <protection locked="0"/>
    </xf>
    <xf numFmtId="0" fontId="15" fillId="0" borderId="115" xfId="0" applyNumberFormat="1" applyFont="1" applyFill="1" applyBorder="1" applyAlignment="1" applyProtection="1">
      <alignment vertical="center"/>
    </xf>
    <xf numFmtId="0" fontId="15" fillId="0" borderId="116" xfId="0" applyNumberFormat="1" applyFont="1" applyBorder="1" applyAlignment="1" applyProtection="1">
      <alignment vertical="center"/>
    </xf>
    <xf numFmtId="0" fontId="15" fillId="0" borderId="117" xfId="0" applyNumberFormat="1" applyFont="1" applyBorder="1" applyAlignment="1" applyProtection="1">
      <alignment vertical="center"/>
    </xf>
    <xf numFmtId="0" fontId="16" fillId="0" borderId="115" xfId="0" applyNumberFormat="1" applyFont="1" applyFill="1" applyBorder="1" applyAlignment="1" applyProtection="1">
      <alignment vertical="center"/>
    </xf>
    <xf numFmtId="0" fontId="16" fillId="0" borderId="116" xfId="0" applyNumberFormat="1" applyFont="1" applyBorder="1" applyAlignment="1" applyProtection="1">
      <alignment vertical="center"/>
    </xf>
    <xf numFmtId="0" fontId="15" fillId="0" borderId="116" xfId="0" applyNumberFormat="1" applyFont="1" applyFill="1" applyBorder="1" applyAlignment="1" applyProtection="1">
      <alignment vertical="center"/>
    </xf>
    <xf numFmtId="0" fontId="15" fillId="0" borderId="115" xfId="0" applyNumberFormat="1" applyFont="1" applyBorder="1" applyAlignment="1" applyProtection="1">
      <alignment vertical="center"/>
    </xf>
    <xf numFmtId="0" fontId="19" fillId="0" borderId="115" xfId="0" applyNumberFormat="1" applyFont="1" applyFill="1" applyBorder="1" applyAlignment="1" applyProtection="1">
      <alignment vertical="center"/>
    </xf>
    <xf numFmtId="0" fontId="19" fillId="0" borderId="116" xfId="0" applyNumberFormat="1" applyFont="1" applyFill="1" applyBorder="1" applyAlignment="1" applyProtection="1">
      <alignment vertical="center"/>
    </xf>
    <xf numFmtId="0" fontId="22" fillId="0" borderId="115" xfId="0" applyNumberFormat="1" applyFont="1" applyFill="1" applyBorder="1" applyAlignment="1" applyProtection="1">
      <alignment vertical="center"/>
    </xf>
    <xf numFmtId="0" fontId="22" fillId="0" borderId="116" xfId="0" applyNumberFormat="1" applyFont="1" applyFill="1" applyBorder="1" applyAlignment="1" applyProtection="1">
      <alignment vertical="center"/>
    </xf>
    <xf numFmtId="0" fontId="15" fillId="0" borderId="117" xfId="0" applyNumberFormat="1" applyFont="1" applyFill="1" applyBorder="1" applyAlignment="1" applyProtection="1">
      <alignment vertical="center"/>
    </xf>
    <xf numFmtId="0" fontId="16" fillId="2" borderId="118" xfId="0" applyNumberFormat="1" applyFont="1" applyFill="1" applyBorder="1" applyAlignment="1" applyProtection="1">
      <alignment horizontal="center" vertical="center"/>
    </xf>
    <xf numFmtId="0" fontId="16" fillId="2" borderId="119" xfId="0" applyNumberFormat="1" applyFont="1" applyFill="1" applyBorder="1" applyAlignment="1" applyProtection="1">
      <alignment horizontal="center" vertical="center"/>
    </xf>
    <xf numFmtId="0" fontId="16" fillId="2" borderId="120" xfId="0" applyNumberFormat="1" applyFont="1" applyFill="1" applyBorder="1" applyAlignment="1" applyProtection="1">
      <alignment horizontal="center" vertical="center"/>
    </xf>
    <xf numFmtId="0" fontId="15" fillId="0" borderId="121" xfId="0" applyNumberFormat="1" applyFont="1" applyBorder="1" applyAlignment="1" applyProtection="1">
      <alignment vertical="center"/>
    </xf>
    <xf numFmtId="0" fontId="16" fillId="0" borderId="117" xfId="0" applyNumberFormat="1" applyFont="1" applyBorder="1" applyAlignment="1" applyProtection="1">
      <alignment vertical="center"/>
    </xf>
    <xf numFmtId="0" fontId="19" fillId="0" borderId="117" xfId="0" applyNumberFormat="1" applyFont="1" applyFill="1" applyBorder="1" applyAlignment="1" applyProtection="1">
      <alignment vertical="center"/>
    </xf>
    <xf numFmtId="0" fontId="22" fillId="0" borderId="117" xfId="0" applyNumberFormat="1" applyFont="1" applyFill="1" applyBorder="1" applyAlignment="1" applyProtection="1">
      <alignment vertical="center"/>
    </xf>
    <xf numFmtId="0" fontId="19" fillId="0" borderId="116" xfId="0" applyNumberFormat="1" applyFont="1" applyBorder="1" applyAlignment="1" applyProtection="1">
      <alignment vertical="center"/>
    </xf>
    <xf numFmtId="0" fontId="19" fillId="0" borderId="117" xfId="0" applyNumberFormat="1" applyFont="1" applyBorder="1" applyAlignment="1" applyProtection="1">
      <alignment vertical="center"/>
    </xf>
    <xf numFmtId="0" fontId="23" fillId="0" borderId="116" xfId="0" applyNumberFormat="1" applyFont="1" applyBorder="1" applyAlignment="1" applyProtection="1">
      <alignment vertical="center"/>
    </xf>
    <xf numFmtId="0" fontId="23" fillId="0" borderId="117" xfId="0" applyNumberFormat="1" applyFont="1" applyBorder="1" applyAlignment="1" applyProtection="1">
      <alignment vertical="center"/>
    </xf>
    <xf numFmtId="0" fontId="15" fillId="0" borderId="122" xfId="0" applyNumberFormat="1" applyFont="1" applyBorder="1" applyAlignment="1" applyProtection="1">
      <alignment vertical="center"/>
    </xf>
    <xf numFmtId="0" fontId="15" fillId="9" borderId="57" xfId="0" applyNumberFormat="1" applyFont="1" applyFill="1" applyBorder="1" applyAlignment="1">
      <alignment horizontal="center" vertical="center"/>
    </xf>
    <xf numFmtId="179" fontId="15" fillId="0" borderId="0" xfId="0" applyNumberFormat="1" applyFont="1" applyAlignment="1">
      <alignment vertical="center"/>
    </xf>
    <xf numFmtId="179" fontId="15" fillId="0" borderId="0" xfId="0" applyNumberFormat="1" applyFont="1" applyAlignment="1" applyProtection="1">
      <alignment vertical="center"/>
    </xf>
    <xf numFmtId="2" fontId="15" fillId="2" borderId="62" xfId="0" applyNumberFormat="1" applyFont="1" applyFill="1" applyBorder="1" applyAlignment="1" applyProtection="1">
      <alignment horizontal="center" vertical="center"/>
    </xf>
    <xf numFmtId="0" fontId="15" fillId="0" borderId="89" xfId="0" applyNumberFormat="1" applyFont="1" applyBorder="1" applyAlignment="1">
      <alignment vertical="center"/>
    </xf>
    <xf numFmtId="0" fontId="16" fillId="0" borderId="27" xfId="0" applyNumberFormat="1" applyFont="1" applyBorder="1" applyAlignment="1" applyProtection="1">
      <alignment vertical="center"/>
    </xf>
    <xf numFmtId="183" fontId="15" fillId="0" borderId="115" xfId="0" applyNumberFormat="1" applyFont="1" applyFill="1" applyBorder="1" applyAlignment="1" applyProtection="1">
      <alignment vertical="center"/>
    </xf>
    <xf numFmtId="183" fontId="15" fillId="0" borderId="116" xfId="0" applyNumberFormat="1" applyFont="1" applyBorder="1" applyAlignment="1" applyProtection="1">
      <alignment vertical="center"/>
    </xf>
    <xf numFmtId="183" fontId="15" fillId="0" borderId="117" xfId="0" applyNumberFormat="1" applyFont="1" applyBorder="1" applyAlignment="1" applyProtection="1">
      <alignment vertical="center"/>
    </xf>
    <xf numFmtId="183" fontId="15" fillId="0" borderId="21" xfId="0" applyNumberFormat="1" applyFont="1" applyBorder="1" applyAlignment="1" applyProtection="1">
      <alignment vertical="center"/>
    </xf>
    <xf numFmtId="183" fontId="15" fillId="0" borderId="17" xfId="0" applyNumberFormat="1" applyFont="1" applyBorder="1" applyAlignment="1" applyProtection="1">
      <alignment vertical="center"/>
    </xf>
    <xf numFmtId="183" fontId="15" fillId="0" borderId="17" xfId="0" applyNumberFormat="1" applyFont="1" applyFill="1" applyBorder="1" applyAlignment="1" applyProtection="1">
      <alignment vertical="center"/>
    </xf>
    <xf numFmtId="183" fontId="15" fillId="0" borderId="18" xfId="0" applyNumberFormat="1" applyFont="1" applyBorder="1" applyAlignment="1" applyProtection="1">
      <alignment vertical="center"/>
    </xf>
    <xf numFmtId="183" fontId="15" fillId="0" borderId="21" xfId="0" applyNumberFormat="1" applyFont="1" applyFill="1" applyBorder="1" applyAlignment="1" applyProtection="1">
      <alignment vertical="center"/>
    </xf>
    <xf numFmtId="2" fontId="0" fillId="0" borderId="31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2" fontId="0" fillId="0" borderId="107" xfId="0" applyNumberFormat="1" applyBorder="1" applyAlignment="1">
      <alignment horizontal="center"/>
    </xf>
    <xf numFmtId="188" fontId="0" fillId="0" borderId="40" xfId="0" applyNumberFormat="1" applyFill="1" applyBorder="1" applyAlignment="1">
      <alignment horizontal="center"/>
    </xf>
    <xf numFmtId="0" fontId="0" fillId="0" borderId="40" xfId="0" applyBorder="1" applyAlignment="1">
      <alignment horizontal="center" vertical="center" wrapText="1"/>
    </xf>
    <xf numFmtId="0" fontId="0" fillId="0" borderId="40" xfId="0" applyBorder="1" applyAlignment="1">
      <alignment horizontal="center" wrapText="1"/>
    </xf>
    <xf numFmtId="180" fontId="0" fillId="0" borderId="40" xfId="1" applyNumberFormat="1" applyFont="1" applyBorder="1" applyAlignment="1">
      <alignment horizontal="center"/>
    </xf>
    <xf numFmtId="180" fontId="0" fillId="0" borderId="40" xfId="0" applyNumberFormat="1" applyBorder="1"/>
    <xf numFmtId="180" fontId="0" fillId="0" borderId="0" xfId="0" applyNumberFormat="1" applyAlignment="1">
      <alignment horizontal="center" vertical="center"/>
    </xf>
    <xf numFmtId="187" fontId="5" fillId="0" borderId="30" xfId="0" applyNumberFormat="1" applyFont="1" applyFill="1" applyBorder="1" applyAlignment="1">
      <alignment horizontal="center" vertical="center"/>
    </xf>
    <xf numFmtId="184" fontId="5" fillId="0" borderId="30" xfId="0" applyNumberFormat="1" applyFont="1" applyFill="1" applyBorder="1" applyAlignment="1">
      <alignment horizontal="center" vertical="center"/>
    </xf>
    <xf numFmtId="187" fontId="5" fillId="0" borderId="31" xfId="0" applyNumberFormat="1" applyFont="1" applyFill="1" applyBorder="1" applyAlignment="1">
      <alignment horizontal="center" vertical="center"/>
    </xf>
    <xf numFmtId="189" fontId="5" fillId="10" borderId="28" xfId="0" applyNumberFormat="1" applyFont="1" applyFill="1" applyBorder="1" applyAlignment="1">
      <alignment horizontal="center" vertical="center"/>
    </xf>
    <xf numFmtId="184" fontId="5" fillId="0" borderId="31" xfId="0" applyNumberFormat="1" applyFont="1" applyFill="1" applyBorder="1" applyAlignment="1">
      <alignment horizontal="center" vertical="center"/>
    </xf>
    <xf numFmtId="177" fontId="0" fillId="3" borderId="17" xfId="2" applyNumberFormat="1" applyFont="1" applyFill="1" applyBorder="1" applyAlignment="1" applyProtection="1">
      <alignment horizontal="center" vertical="center"/>
      <protection locked="0"/>
    </xf>
    <xf numFmtId="190" fontId="0" fillId="3" borderId="17" xfId="2" applyNumberFormat="1" applyFont="1" applyFill="1" applyBorder="1" applyAlignment="1" applyProtection="1">
      <alignment horizontal="center" vertical="center"/>
      <protection locked="0"/>
    </xf>
    <xf numFmtId="184" fontId="0" fillId="0" borderId="123" xfId="1" applyNumberFormat="1" applyFont="1" applyBorder="1" applyAlignment="1" applyProtection="1">
      <alignment horizontal="center" vertical="center"/>
    </xf>
    <xf numFmtId="177" fontId="0" fillId="3" borderId="89" xfId="2" applyNumberFormat="1" applyFont="1" applyFill="1" applyBorder="1" applyAlignment="1" applyProtection="1">
      <alignment horizontal="center" vertical="center"/>
      <protection locked="0"/>
    </xf>
    <xf numFmtId="190" fontId="0" fillId="3" borderId="89" xfId="2" applyNumberFormat="1" applyFont="1" applyFill="1" applyBorder="1" applyAlignment="1" applyProtection="1">
      <alignment horizontal="center" vertical="center"/>
      <protection locked="0"/>
    </xf>
    <xf numFmtId="184" fontId="0" fillId="0" borderId="124" xfId="1" applyNumberFormat="1" applyFont="1" applyBorder="1" applyAlignment="1" applyProtection="1">
      <alignment horizontal="center" vertical="center"/>
    </xf>
    <xf numFmtId="0" fontId="0" fillId="0" borderId="72" xfId="0" applyNumberFormat="1" applyFont="1" applyBorder="1" applyAlignment="1">
      <alignment horizontal="center" vertical="center"/>
    </xf>
    <xf numFmtId="0" fontId="0" fillId="0" borderId="74" xfId="0" applyNumberFormat="1" applyFont="1" applyBorder="1" applyAlignment="1">
      <alignment horizontal="center" vertical="center"/>
    </xf>
    <xf numFmtId="189" fontId="5" fillId="10" borderId="29" xfId="0" applyNumberFormat="1" applyFont="1" applyFill="1" applyBorder="1" applyAlignment="1">
      <alignment horizontal="center" vertical="center"/>
    </xf>
    <xf numFmtId="0" fontId="36" fillId="0" borderId="0" xfId="0" applyNumberFormat="1" applyFont="1" applyAlignment="1" applyProtection="1">
      <alignment vertical="center"/>
    </xf>
    <xf numFmtId="0" fontId="0" fillId="0" borderId="0" xfId="0" applyNumberFormat="1" applyFont="1" applyAlignment="1" applyProtection="1">
      <alignment vertical="center"/>
    </xf>
    <xf numFmtId="0" fontId="0" fillId="3" borderId="0" xfId="0" applyNumberFormat="1" applyFont="1" applyFill="1" applyAlignment="1" applyProtection="1">
      <alignment horizontal="center"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Fill="1" applyAlignment="1" applyProtection="1">
      <alignment vertical="center"/>
    </xf>
    <xf numFmtId="0" fontId="0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34" xfId="0" applyNumberFormat="1" applyFont="1" applyBorder="1" applyAlignment="1" applyProtection="1">
      <alignment vertical="center"/>
    </xf>
    <xf numFmtId="0" fontId="0" fillId="3" borderId="125" xfId="0" applyNumberFormat="1" applyFont="1" applyFill="1" applyBorder="1" applyAlignment="1">
      <alignment vertical="center"/>
    </xf>
    <xf numFmtId="0" fontId="0" fillId="3" borderId="3" xfId="0" applyNumberFormat="1" applyFont="1" applyFill="1" applyBorder="1" applyAlignment="1">
      <alignment vertical="center"/>
    </xf>
    <xf numFmtId="0" fontId="0" fillId="0" borderId="46" xfId="0" applyNumberFormat="1" applyFont="1" applyBorder="1" applyAlignment="1" applyProtection="1">
      <alignment horizontal="center" vertical="center"/>
    </xf>
    <xf numFmtId="0" fontId="0" fillId="0" borderId="65" xfId="0" applyNumberFormat="1" applyFont="1" applyBorder="1" applyAlignment="1" applyProtection="1">
      <alignment horizontal="center" vertical="center"/>
    </xf>
    <xf numFmtId="0" fontId="0" fillId="0" borderId="11" xfId="0" applyNumberFormat="1" applyFont="1" applyBorder="1" applyAlignment="1" applyProtection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0" fontId="0" fillId="0" borderId="99" xfId="0" applyNumberFormat="1" applyFont="1" applyBorder="1" applyAlignment="1">
      <alignment horizontal="center" vertical="center"/>
    </xf>
    <xf numFmtId="0" fontId="0" fillId="0" borderId="15" xfId="0" applyNumberFormat="1" applyFont="1" applyBorder="1" applyAlignment="1" applyProtection="1">
      <alignment vertical="center"/>
    </xf>
    <xf numFmtId="0" fontId="0" fillId="3" borderId="17" xfId="0" applyNumberFormat="1" applyFont="1" applyFill="1" applyBorder="1" applyAlignment="1" applyProtection="1">
      <alignment horizontal="center" vertical="center"/>
      <protection locked="0"/>
    </xf>
    <xf numFmtId="0" fontId="0" fillId="3" borderId="89" xfId="0" applyNumberFormat="1" applyFont="1" applyFill="1" applyBorder="1" applyAlignment="1" applyProtection="1">
      <alignment horizontal="center" vertical="center"/>
      <protection locked="0"/>
    </xf>
    <xf numFmtId="0" fontId="0" fillId="3" borderId="18" xfId="0" applyNumberFormat="1" applyFont="1" applyFill="1" applyBorder="1" applyAlignment="1" applyProtection="1">
      <alignment horizontal="center" vertical="center"/>
      <protection locked="0"/>
    </xf>
    <xf numFmtId="0" fontId="0" fillId="3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46" xfId="0" applyNumberFormat="1" applyFont="1" applyBorder="1" applyAlignment="1" applyProtection="1">
      <alignment vertical="center"/>
    </xf>
    <xf numFmtId="0" fontId="0" fillId="3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126" xfId="0" applyNumberFormat="1" applyFont="1" applyBorder="1" applyAlignment="1" applyProtection="1">
      <alignment horizontal="center" vertical="center"/>
    </xf>
    <xf numFmtId="0" fontId="0" fillId="3" borderId="13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NumberFormat="1" applyFont="1" applyBorder="1" applyAlignment="1" applyProtection="1">
      <alignment horizontal="center" vertical="center"/>
      <protection locked="0"/>
    </xf>
    <xf numFmtId="0" fontId="0" fillId="0" borderId="6" xfId="0" applyNumberFormat="1" applyFont="1" applyBorder="1" applyAlignment="1">
      <alignment vertical="center"/>
    </xf>
    <xf numFmtId="0" fontId="0" fillId="0" borderId="67" xfId="0" applyNumberFormat="1" applyFont="1" applyBorder="1" applyAlignment="1">
      <alignment vertical="center"/>
    </xf>
    <xf numFmtId="0" fontId="0" fillId="0" borderId="6" xfId="0" applyNumberFormat="1" applyFont="1" applyBorder="1" applyAlignment="1" applyProtection="1">
      <alignment vertical="center"/>
      <protection locked="0"/>
    </xf>
    <xf numFmtId="0" fontId="0" fillId="0" borderId="7" xfId="0" applyNumberFormat="1" applyFont="1" applyBorder="1" applyAlignment="1">
      <alignment vertical="center"/>
    </xf>
    <xf numFmtId="0" fontId="0" fillId="0" borderId="127" xfId="0" applyNumberFormat="1" applyFont="1" applyBorder="1" applyAlignment="1" applyProtection="1">
      <alignment vertical="center"/>
    </xf>
    <xf numFmtId="0" fontId="0" fillId="0" borderId="0" xfId="0" applyNumberFormat="1" applyFont="1" applyBorder="1" applyAlignment="1" applyProtection="1">
      <alignment vertical="center"/>
    </xf>
    <xf numFmtId="0" fontId="0" fillId="0" borderId="0" xfId="0" applyNumberFormat="1" applyFont="1" applyBorder="1" applyAlignment="1">
      <alignment vertical="center"/>
    </xf>
    <xf numFmtId="0" fontId="0" fillId="0" borderId="75" xfId="0" applyNumberFormat="1" applyFont="1" applyBorder="1" applyAlignment="1">
      <alignment vertical="center"/>
    </xf>
    <xf numFmtId="0" fontId="0" fillId="0" borderId="28" xfId="0" applyNumberFormat="1" applyFont="1" applyBorder="1" applyAlignment="1">
      <alignment vertical="center"/>
    </xf>
    <xf numFmtId="0" fontId="0" fillId="0" borderId="16" xfId="0" applyNumberFormat="1" applyFont="1" applyBorder="1" applyAlignment="1" applyProtection="1">
      <alignment vertical="center"/>
    </xf>
    <xf numFmtId="0" fontId="0" fillId="0" borderId="22" xfId="0" applyNumberFormat="1" applyFont="1" applyBorder="1" applyAlignment="1" applyProtection="1">
      <alignment vertical="center"/>
    </xf>
    <xf numFmtId="0" fontId="0" fillId="0" borderId="34" xfId="0" applyNumberFormat="1" applyFont="1" applyBorder="1" applyAlignment="1">
      <alignment vertical="center"/>
    </xf>
    <xf numFmtId="0" fontId="0" fillId="0" borderId="128" xfId="0" applyNumberFormat="1" applyFont="1" applyBorder="1" applyAlignment="1">
      <alignment vertical="center"/>
    </xf>
    <xf numFmtId="0" fontId="0" fillId="0" borderId="78" xfId="0" applyNumberFormat="1" applyFont="1" applyBorder="1" applyAlignment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86" fontId="0" fillId="0" borderId="0" xfId="0" applyNumberFormat="1" applyFont="1" applyAlignment="1" applyProtection="1">
      <alignment vertical="center"/>
    </xf>
    <xf numFmtId="0" fontId="0" fillId="0" borderId="0" xfId="0" applyNumberFormat="1" applyFont="1" applyAlignment="1" applyProtection="1">
      <alignment horizontal="left" vertical="center"/>
    </xf>
    <xf numFmtId="0" fontId="0" fillId="4" borderId="0" xfId="0" applyNumberFormat="1" applyFont="1" applyFill="1" applyAlignment="1" applyProtection="1">
      <alignment vertical="center"/>
    </xf>
    <xf numFmtId="186" fontId="0" fillId="0" borderId="0" xfId="0" applyNumberFormat="1" applyFont="1" applyAlignment="1">
      <alignment vertical="center"/>
    </xf>
    <xf numFmtId="0" fontId="0" fillId="0" borderId="129" xfId="0" applyNumberFormat="1" applyFont="1" applyBorder="1" applyAlignment="1" applyProtection="1">
      <alignment vertical="center"/>
    </xf>
    <xf numFmtId="0" fontId="0" fillId="0" borderId="1" xfId="0" applyNumberFormat="1" applyFont="1" applyBorder="1" applyAlignment="1" applyProtection="1">
      <alignment horizontal="center" vertical="center"/>
    </xf>
    <xf numFmtId="0" fontId="0" fillId="0" borderId="130" xfId="0" applyNumberFormat="1" applyFont="1" applyBorder="1" applyAlignment="1" applyProtection="1">
      <alignment horizontal="center" vertical="center"/>
    </xf>
    <xf numFmtId="0" fontId="0" fillId="0" borderId="73" xfId="0" applyNumberFormat="1" applyFont="1" applyBorder="1" applyAlignment="1" applyProtection="1">
      <alignment horizontal="center" vertical="center"/>
    </xf>
    <xf numFmtId="0" fontId="0" fillId="0" borderId="16" xfId="0" applyNumberFormat="1" applyFont="1" applyBorder="1" applyAlignment="1" applyProtection="1">
      <alignment horizontal="center" vertical="center"/>
    </xf>
    <xf numFmtId="0" fontId="0" fillId="0" borderId="10" xfId="0" applyNumberFormat="1" applyFont="1" applyBorder="1" applyAlignment="1" applyProtection="1">
      <alignment horizontal="center" vertical="center"/>
    </xf>
    <xf numFmtId="0" fontId="0" fillId="0" borderId="99" xfId="0" applyNumberFormat="1" applyFont="1" applyBorder="1" applyAlignment="1" applyProtection="1">
      <alignment horizontal="center" vertical="center"/>
    </xf>
    <xf numFmtId="0" fontId="0" fillId="0" borderId="10" xfId="0" applyNumberFormat="1" applyFont="1" applyBorder="1" applyAlignment="1" applyProtection="1">
      <alignment vertical="center"/>
    </xf>
    <xf numFmtId="0" fontId="0" fillId="0" borderId="5" xfId="0" applyNumberFormat="1" applyFont="1" applyBorder="1" applyAlignment="1" applyProtection="1">
      <alignment vertical="center"/>
    </xf>
    <xf numFmtId="0" fontId="0" fillId="0" borderId="5" xfId="0" applyNumberFormat="1" applyFont="1" applyBorder="1" applyAlignment="1" applyProtection="1">
      <alignment horizontal="center" vertical="center"/>
    </xf>
    <xf numFmtId="0" fontId="0" fillId="0" borderId="30" xfId="0" applyNumberFormat="1" applyFont="1" applyBorder="1" applyAlignment="1" applyProtection="1">
      <alignment horizontal="center" vertical="center"/>
    </xf>
    <xf numFmtId="0" fontId="0" fillId="0" borderId="32" xfId="0" applyNumberFormat="1" applyFont="1" applyBorder="1" applyAlignment="1" applyProtection="1">
      <alignment horizontal="center" vertical="center"/>
    </xf>
    <xf numFmtId="0" fontId="0" fillId="0" borderId="4" xfId="0" applyNumberFormat="1" applyFont="1" applyBorder="1" applyAlignment="1" applyProtection="1">
      <alignment vertical="center"/>
    </xf>
    <xf numFmtId="0" fontId="0" fillId="0" borderId="131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 applyProtection="1">
      <alignment horizontal="center" vertical="center"/>
    </xf>
    <xf numFmtId="0" fontId="0" fillId="0" borderId="92" xfId="0" applyNumberFormat="1" applyFont="1" applyBorder="1" applyAlignment="1" applyProtection="1">
      <alignment horizontal="center" vertical="center"/>
    </xf>
    <xf numFmtId="0" fontId="0" fillId="0" borderId="31" xfId="0" applyNumberFormat="1" applyFont="1" applyBorder="1" applyAlignment="1" applyProtection="1">
      <alignment horizontal="center" vertical="center"/>
    </xf>
    <xf numFmtId="0" fontId="0" fillId="3" borderId="15" xfId="0" applyFont="1" applyFill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 shrinkToFit="1"/>
      <protection hidden="1"/>
    </xf>
    <xf numFmtId="186" fontId="10" fillId="2" borderId="109" xfId="2" applyNumberFormat="1" applyFont="1" applyFill="1" applyBorder="1" applyAlignment="1" applyProtection="1">
      <alignment horizontal="center" vertical="center"/>
      <protection locked="0"/>
    </xf>
    <xf numFmtId="0" fontId="0" fillId="3" borderId="26" xfId="0" applyNumberFormat="1" applyFont="1" applyFill="1" applyBorder="1" applyAlignment="1" applyProtection="1">
      <alignment horizontal="center" vertical="center"/>
      <protection locked="0"/>
    </xf>
    <xf numFmtId="184" fontId="0" fillId="0" borderId="29" xfId="0" applyNumberFormat="1" applyFont="1" applyBorder="1" applyAlignment="1">
      <alignment horizontal="center" vertical="center"/>
    </xf>
    <xf numFmtId="0" fontId="0" fillId="3" borderId="15" xfId="0" applyNumberFormat="1" applyFont="1" applyFill="1" applyBorder="1" applyAlignment="1" applyProtection="1">
      <alignment horizontal="center" vertical="center"/>
      <protection locked="0"/>
    </xf>
    <xf numFmtId="190" fontId="0" fillId="3" borderId="110" xfId="0" applyNumberFormat="1" applyFont="1" applyFill="1" applyBorder="1" applyAlignment="1">
      <alignment horizontal="center" vertical="center"/>
    </xf>
    <xf numFmtId="0" fontId="0" fillId="3" borderId="22" xfId="0" applyNumberFormat="1" applyFont="1" applyFill="1" applyBorder="1" applyAlignment="1" applyProtection="1">
      <alignment horizontal="center" vertical="center"/>
      <protection locked="0"/>
    </xf>
    <xf numFmtId="0" fontId="0" fillId="0" borderId="23" xfId="0" applyNumberFormat="1" applyFont="1" applyBorder="1" applyAlignment="1" applyProtection="1">
      <alignment vertical="center"/>
    </xf>
    <xf numFmtId="184" fontId="0" fillId="0" borderId="41" xfId="0" applyNumberFormat="1" applyFont="1" applyBorder="1" applyAlignment="1">
      <alignment horizontal="center" vertical="center"/>
    </xf>
    <xf numFmtId="0" fontId="0" fillId="0" borderId="74" xfId="0" applyNumberFormat="1" applyFont="1" applyBorder="1" applyAlignment="1" applyProtection="1">
      <alignment vertical="center"/>
    </xf>
    <xf numFmtId="0" fontId="0" fillId="0" borderId="2" xfId="0" applyNumberFormat="1" applyFont="1" applyBorder="1" applyAlignment="1" applyProtection="1">
      <alignment vertical="center"/>
    </xf>
    <xf numFmtId="0" fontId="0" fillId="0" borderId="133" xfId="0" applyNumberFormat="1" applyFont="1" applyBorder="1" applyAlignment="1" applyProtection="1">
      <alignment horizontal="center" vertical="center"/>
    </xf>
    <xf numFmtId="0" fontId="0" fillId="0" borderId="134" xfId="0" applyNumberFormat="1" applyFont="1" applyBorder="1" applyAlignment="1" applyProtection="1">
      <alignment horizontal="center" vertical="center"/>
    </xf>
    <xf numFmtId="0" fontId="0" fillId="0" borderId="33" xfId="0" applyNumberFormat="1" applyFont="1" applyBorder="1" applyAlignment="1" applyProtection="1">
      <alignment horizontal="center" vertical="center"/>
    </xf>
    <xf numFmtId="0" fontId="0" fillId="0" borderId="18" xfId="0" applyNumberFormat="1" applyFont="1" applyBorder="1" applyAlignment="1" applyProtection="1">
      <alignment horizontal="center" vertical="center"/>
    </xf>
    <xf numFmtId="0" fontId="0" fillId="0" borderId="90" xfId="0" applyNumberFormat="1" applyFont="1" applyBorder="1" applyAlignment="1" applyProtection="1">
      <alignment horizontal="center" vertical="center"/>
    </xf>
    <xf numFmtId="0" fontId="0" fillId="0" borderId="111" xfId="0" applyNumberFormat="1" applyFont="1" applyBorder="1" applyAlignment="1">
      <alignment horizontal="center" vertical="center"/>
    </xf>
    <xf numFmtId="0" fontId="0" fillId="0" borderId="131" xfId="0" applyNumberFormat="1" applyFont="1" applyBorder="1" applyAlignment="1" applyProtection="1">
      <alignment horizontal="center" vertical="center"/>
    </xf>
    <xf numFmtId="184" fontId="0" fillId="0" borderId="132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 applyProtection="1">
      <alignment horizontal="center" vertical="center"/>
    </xf>
    <xf numFmtId="0" fontId="0" fillId="0" borderId="3" xfId="0" applyNumberFormat="1" applyFont="1" applyBorder="1" applyAlignment="1" applyProtection="1">
      <alignment vertical="center"/>
    </xf>
    <xf numFmtId="0" fontId="0" fillId="0" borderId="6" xfId="0" applyNumberFormat="1" applyFont="1" applyBorder="1" applyAlignment="1" applyProtection="1">
      <alignment vertical="center"/>
    </xf>
    <xf numFmtId="0" fontId="0" fillId="0" borderId="7" xfId="0" applyNumberFormat="1" applyFont="1" applyBorder="1" applyAlignment="1" applyProtection="1">
      <alignment vertical="center"/>
    </xf>
    <xf numFmtId="0" fontId="0" fillId="0" borderId="15" xfId="0" applyNumberFormat="1" applyFont="1" applyBorder="1" applyAlignment="1" applyProtection="1">
      <alignment horizontal="center" vertical="center"/>
    </xf>
    <xf numFmtId="0" fontId="0" fillId="0" borderId="26" xfId="0" applyNumberFormat="1" applyFont="1" applyBorder="1" applyAlignment="1" applyProtection="1">
      <alignment vertical="center"/>
    </xf>
    <xf numFmtId="0" fontId="0" fillId="0" borderId="14" xfId="0" applyNumberFormat="1" applyFont="1" applyBorder="1" applyAlignment="1" applyProtection="1">
      <alignment horizontal="center" vertical="center"/>
    </xf>
    <xf numFmtId="0" fontId="0" fillId="0" borderId="135" xfId="0" applyNumberFormat="1" applyFont="1" applyBorder="1" applyAlignment="1" applyProtection="1">
      <alignment horizontal="center" vertical="center"/>
    </xf>
    <xf numFmtId="0" fontId="0" fillId="0" borderId="42" xfId="0" applyNumberFormat="1" applyFont="1" applyBorder="1" applyAlignment="1" applyProtection="1">
      <alignment horizontal="center" vertical="center"/>
    </xf>
    <xf numFmtId="0" fontId="0" fillId="0" borderId="43" xfId="0" applyNumberFormat="1" applyFont="1" applyBorder="1" applyAlignment="1" applyProtection="1">
      <alignment horizontal="center" vertical="center"/>
    </xf>
    <xf numFmtId="0" fontId="0" fillId="0" borderId="44" xfId="0" applyNumberFormat="1" applyFont="1" applyBorder="1" applyAlignment="1" applyProtection="1">
      <alignment horizontal="center" vertical="center"/>
    </xf>
    <xf numFmtId="0" fontId="0" fillId="0" borderId="22" xfId="0" applyNumberFormat="1" applyFont="1" applyBorder="1" applyAlignment="1" applyProtection="1">
      <alignment horizontal="center" vertical="center"/>
    </xf>
    <xf numFmtId="0" fontId="0" fillId="0" borderId="23" xfId="0" applyNumberFormat="1" applyFont="1" applyBorder="1" applyAlignment="1" applyProtection="1">
      <alignment horizontal="center" vertical="center"/>
    </xf>
    <xf numFmtId="0" fontId="0" fillId="0" borderId="35" xfId="0" applyNumberFormat="1" applyFont="1" applyBorder="1" applyAlignment="1" applyProtection="1">
      <alignment horizontal="center" vertical="center"/>
    </xf>
    <xf numFmtId="0" fontId="0" fillId="0" borderId="25" xfId="0" applyNumberFormat="1" applyFont="1" applyBorder="1" applyAlignment="1" applyProtection="1">
      <alignment horizontal="center" vertical="center"/>
    </xf>
    <xf numFmtId="0" fontId="0" fillId="0" borderId="136" xfId="0" applyNumberFormat="1" applyFont="1" applyBorder="1" applyAlignment="1">
      <alignment horizontal="center" vertical="center"/>
    </xf>
    <xf numFmtId="0" fontId="0" fillId="0" borderId="129" xfId="0" applyNumberFormat="1" applyFont="1" applyBorder="1" applyAlignment="1">
      <alignment horizontal="center" vertical="center"/>
    </xf>
    <xf numFmtId="0" fontId="0" fillId="0" borderId="67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40" xfId="0" applyNumberFormat="1" applyFont="1" applyBorder="1" applyAlignment="1">
      <alignment horizontal="center" vertical="center"/>
    </xf>
    <xf numFmtId="0" fontId="0" fillId="0" borderId="10" xfId="0" applyNumberFormat="1" applyFont="1" applyBorder="1" applyAlignment="1">
      <alignment vertical="center"/>
    </xf>
    <xf numFmtId="0" fontId="0" fillId="5" borderId="5" xfId="0" applyNumberFormat="1" applyFont="1" applyFill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46" xfId="0" applyNumberFormat="1" applyFont="1" applyBorder="1" applyAlignment="1">
      <alignment horizontal="center" vertical="center"/>
    </xf>
    <xf numFmtId="0" fontId="0" fillId="0" borderId="127" xfId="0" applyNumberFormat="1" applyFont="1" applyBorder="1" applyAlignment="1">
      <alignment horizontal="center" vertical="center"/>
    </xf>
    <xf numFmtId="0" fontId="0" fillId="0" borderId="137" xfId="0" applyNumberFormat="1" applyFont="1" applyBorder="1" applyAlignment="1">
      <alignment horizontal="center" vertical="center"/>
    </xf>
    <xf numFmtId="0" fontId="0" fillId="5" borderId="4" xfId="0" applyNumberFormat="1" applyFont="1" applyFill="1" applyBorder="1" applyAlignment="1" applyProtection="1">
      <alignment horizontal="center" vertical="center"/>
      <protection locked="0"/>
    </xf>
    <xf numFmtId="0" fontId="0" fillId="5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NumberFormat="1" applyFont="1" applyBorder="1" applyAlignment="1">
      <alignment horizontal="center" vertical="center"/>
    </xf>
    <xf numFmtId="0" fontId="0" fillId="0" borderId="15" xfId="0" applyNumberFormat="1" applyFont="1" applyBorder="1" applyAlignment="1">
      <alignment horizontal="center" vertical="center"/>
    </xf>
    <xf numFmtId="0" fontId="0" fillId="0" borderId="22" xfId="0" applyNumberFormat="1" applyFont="1" applyBorder="1" applyAlignment="1">
      <alignment vertical="center"/>
    </xf>
    <xf numFmtId="0" fontId="0" fillId="0" borderId="34" xfId="0" applyNumberFormat="1" applyFont="1" applyBorder="1" applyAlignment="1">
      <alignment horizontal="center" vertical="center"/>
    </xf>
    <xf numFmtId="0" fontId="0" fillId="5" borderId="3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Border="1" applyAlignment="1">
      <alignment horizontal="center" vertical="center"/>
    </xf>
    <xf numFmtId="0" fontId="0" fillId="0" borderId="129" xfId="0" applyNumberFormat="1" applyFont="1" applyBorder="1" applyAlignment="1" applyProtection="1">
      <alignment horizontal="center" vertical="center"/>
    </xf>
    <xf numFmtId="0" fontId="0" fillId="0" borderId="6" xfId="0" applyNumberFormat="1" applyFont="1" applyBorder="1" applyAlignment="1" applyProtection="1">
      <alignment horizontal="center" vertical="center"/>
    </xf>
    <xf numFmtId="0" fontId="0" fillId="0" borderId="29" xfId="0" applyNumberFormat="1" applyFont="1" applyBorder="1" applyAlignment="1" applyProtection="1">
      <alignment horizontal="center" vertical="center"/>
    </xf>
    <xf numFmtId="0" fontId="0" fillId="0" borderId="16" xfId="0" applyNumberFormat="1" applyFont="1" applyFill="1" applyBorder="1" applyAlignment="1" applyProtection="1">
      <alignment horizontal="center" vertical="center"/>
    </xf>
    <xf numFmtId="0" fontId="0" fillId="0" borderId="26" xfId="0" applyNumberFormat="1" applyFont="1" applyBorder="1" applyAlignment="1" applyProtection="1">
      <alignment horizontal="center" vertical="center"/>
    </xf>
    <xf numFmtId="0" fontId="0" fillId="2" borderId="4" xfId="0" applyNumberFormat="1" applyFont="1" applyFill="1" applyBorder="1" applyAlignment="1" applyProtection="1">
      <alignment horizontal="center" vertical="center"/>
    </xf>
    <xf numFmtId="0" fontId="0" fillId="2" borderId="92" xfId="0" applyNumberFormat="1" applyFont="1" applyFill="1" applyBorder="1" applyAlignment="1" applyProtection="1">
      <alignment horizontal="center" vertical="center"/>
    </xf>
    <xf numFmtId="0" fontId="0" fillId="0" borderId="138" xfId="0" applyNumberFormat="1" applyFont="1" applyBorder="1" applyAlignment="1" applyProtection="1">
      <alignment horizontal="center" vertical="center"/>
    </xf>
    <xf numFmtId="0" fontId="0" fillId="0" borderId="139" xfId="0" applyNumberFormat="1" applyFont="1" applyBorder="1" applyAlignment="1" applyProtection="1">
      <alignment horizontal="center" vertical="center"/>
    </xf>
    <xf numFmtId="0" fontId="0" fillId="0" borderId="140" xfId="0" applyNumberFormat="1" applyFont="1" applyBorder="1" applyAlignment="1" applyProtection="1">
      <alignment horizontal="center" vertical="center"/>
    </xf>
    <xf numFmtId="0" fontId="0" fillId="0" borderId="141" xfId="0" applyNumberFormat="1" applyFont="1" applyBorder="1" applyAlignment="1" applyProtection="1">
      <alignment horizontal="center" vertical="center"/>
    </xf>
    <xf numFmtId="0" fontId="0" fillId="0" borderId="142" xfId="0" applyNumberFormat="1" applyFont="1" applyBorder="1" applyAlignment="1" applyProtection="1">
      <alignment horizontal="center" vertical="center"/>
    </xf>
    <xf numFmtId="0" fontId="0" fillId="0" borderId="17" xfId="0" applyNumberFormat="1" applyFont="1" applyBorder="1" applyAlignment="1" applyProtection="1">
      <alignment horizontal="center" vertical="center"/>
    </xf>
    <xf numFmtId="188" fontId="0" fillId="2" borderId="90" xfId="0" applyNumberFormat="1" applyFont="1" applyFill="1" applyBorder="1" applyAlignment="1" applyProtection="1">
      <alignment horizontal="center" vertical="center"/>
    </xf>
    <xf numFmtId="188" fontId="0" fillId="2" borderId="13" xfId="0" applyNumberFormat="1" applyFont="1" applyFill="1" applyBorder="1" applyAlignment="1" applyProtection="1">
      <alignment horizontal="center" vertical="center"/>
    </xf>
    <xf numFmtId="188" fontId="0" fillId="2" borderId="14" xfId="0" applyNumberFormat="1" applyFont="1" applyFill="1" applyBorder="1" applyAlignment="1" applyProtection="1">
      <alignment horizontal="center" vertical="center"/>
    </xf>
    <xf numFmtId="0" fontId="0" fillId="0" borderId="87" xfId="0" applyNumberFormat="1" applyFont="1" applyFill="1" applyBorder="1" applyAlignment="1" applyProtection="1">
      <alignment horizontal="center" vertical="center"/>
    </xf>
    <xf numFmtId="0" fontId="0" fillId="0" borderId="88" xfId="0" applyNumberFormat="1" applyFont="1" applyFill="1" applyBorder="1" applyAlignment="1" applyProtection="1">
      <alignment horizontal="center" vertical="center"/>
    </xf>
    <xf numFmtId="0" fontId="0" fillId="0" borderId="44" xfId="0" applyNumberFormat="1" applyFont="1" applyFill="1" applyBorder="1" applyAlignment="1" applyProtection="1">
      <alignment horizontal="center" vertical="center"/>
    </xf>
    <xf numFmtId="188" fontId="0" fillId="2" borderId="39" xfId="0" applyNumberFormat="1" applyFont="1" applyFill="1" applyBorder="1" applyAlignment="1" applyProtection="1">
      <alignment horizontal="center" vertical="center"/>
    </xf>
    <xf numFmtId="188" fontId="0" fillId="2" borderId="24" xfId="0" applyNumberFormat="1" applyFont="1" applyFill="1" applyBorder="1" applyAlignment="1" applyProtection="1">
      <alignment horizontal="center" vertical="center"/>
    </xf>
    <xf numFmtId="188" fontId="0" fillId="2" borderId="25" xfId="0" applyNumberFormat="1" applyFont="1" applyFill="1" applyBorder="1" applyAlignment="1" applyProtection="1">
      <alignment horizontal="center" vertical="center"/>
    </xf>
    <xf numFmtId="0" fontId="0" fillId="0" borderId="146" xfId="0" applyNumberFormat="1" applyFont="1" applyBorder="1" applyAlignment="1" applyProtection="1">
      <alignment horizontal="center" vertical="center"/>
    </xf>
    <xf numFmtId="0" fontId="0" fillId="0" borderId="1" xfId="0" applyNumberFormat="1" applyFont="1" applyBorder="1" applyAlignment="1" applyProtection="1">
      <alignment vertical="center"/>
    </xf>
    <xf numFmtId="0" fontId="0" fillId="0" borderId="77" xfId="0" applyNumberFormat="1" applyFont="1" applyBorder="1" applyAlignment="1" applyProtection="1">
      <alignment vertical="center"/>
    </xf>
    <xf numFmtId="0" fontId="0" fillId="0" borderId="40" xfId="0" applyNumberFormat="1" applyFont="1" applyBorder="1" applyAlignment="1" applyProtection="1">
      <alignment horizontal="center" vertical="center"/>
    </xf>
    <xf numFmtId="0" fontId="0" fillId="0" borderId="8" xfId="0" applyNumberFormat="1" applyFont="1" applyBorder="1" applyAlignment="1" applyProtection="1">
      <alignment vertical="center"/>
    </xf>
    <xf numFmtId="0" fontId="0" fillId="7" borderId="6" xfId="0" applyNumberFormat="1" applyFont="1" applyFill="1" applyBorder="1" applyAlignment="1" applyProtection="1">
      <alignment horizontal="center" vertical="center"/>
    </xf>
    <xf numFmtId="189" fontId="0" fillId="0" borderId="6" xfId="0" applyNumberFormat="1" applyFont="1" applyBorder="1" applyAlignment="1" applyProtection="1">
      <alignment vertical="center"/>
    </xf>
    <xf numFmtId="0" fontId="0" fillId="0" borderId="137" xfId="0" applyNumberFormat="1" applyFont="1" applyBorder="1" applyAlignment="1" applyProtection="1">
      <alignment horizontal="center" vertical="center"/>
    </xf>
    <xf numFmtId="0" fontId="0" fillId="0" borderId="34" xfId="0" applyNumberFormat="1" applyFont="1" applyBorder="1" applyAlignment="1" applyProtection="1">
      <alignment horizontal="center" vertical="center"/>
    </xf>
    <xf numFmtId="0" fontId="0" fillId="0" borderId="147" xfId="0" applyNumberFormat="1" applyFont="1" applyBorder="1" applyAlignment="1" applyProtection="1">
      <alignment horizontal="center" vertical="center"/>
    </xf>
    <xf numFmtId="0" fontId="0" fillId="0" borderId="41" xfId="0" applyNumberFormat="1" applyFont="1" applyBorder="1" applyAlignment="1" applyProtection="1">
      <alignment horizontal="center" vertical="center"/>
    </xf>
    <xf numFmtId="0" fontId="0" fillId="0" borderId="109" xfId="0" applyNumberFormat="1" applyFont="1" applyBorder="1" applyAlignment="1" applyProtection="1">
      <alignment horizontal="center" vertical="center"/>
    </xf>
    <xf numFmtId="0" fontId="0" fillId="0" borderId="148" xfId="0" applyNumberFormat="1" applyFont="1" applyFill="1" applyBorder="1" applyAlignment="1" applyProtection="1">
      <alignment horizontal="center" vertical="center"/>
    </xf>
    <xf numFmtId="0" fontId="0" fillId="0" borderId="21" xfId="0" applyNumberFormat="1" applyFont="1" applyBorder="1" applyAlignment="1" applyProtection="1">
      <alignment horizontal="center" vertical="center"/>
    </xf>
    <xf numFmtId="0" fontId="0" fillId="0" borderId="19" xfId="0" applyNumberFormat="1" applyFont="1" applyBorder="1" applyAlignment="1" applyProtection="1">
      <alignment horizontal="center" vertical="center"/>
    </xf>
    <xf numFmtId="0" fontId="0" fillId="0" borderId="148" xfId="0" applyNumberFormat="1" applyFont="1" applyBorder="1" applyAlignment="1" applyProtection="1">
      <alignment horizontal="center" vertical="center"/>
    </xf>
    <xf numFmtId="0" fontId="0" fillId="0" borderId="110" xfId="0" applyNumberFormat="1" applyFont="1" applyBorder="1" applyAlignment="1" applyProtection="1">
      <alignment horizontal="center" vertical="center"/>
    </xf>
    <xf numFmtId="0" fontId="0" fillId="0" borderId="90" xfId="0" applyNumberFormat="1" applyFont="1" applyBorder="1" applyAlignment="1">
      <alignment vertical="center"/>
    </xf>
    <xf numFmtId="0" fontId="0" fillId="0" borderId="67" xfId="0" applyNumberFormat="1" applyFont="1" applyFill="1" applyBorder="1" applyAlignment="1" applyProtection="1">
      <alignment horizontal="center" vertical="center"/>
    </xf>
    <xf numFmtId="0" fontId="0" fillId="0" borderId="13" xfId="0" applyNumberFormat="1" applyFont="1" applyBorder="1" applyAlignment="1">
      <alignment vertical="center"/>
    </xf>
    <xf numFmtId="0" fontId="0" fillId="0" borderId="91" xfId="0" applyNumberFormat="1" applyFont="1" applyBorder="1" applyAlignment="1">
      <alignment vertical="center"/>
    </xf>
    <xf numFmtId="0" fontId="0" fillId="0" borderId="123" xfId="0" applyNumberFormat="1" applyFont="1" applyBorder="1" applyAlignment="1">
      <alignment vertical="center"/>
    </xf>
    <xf numFmtId="0" fontId="0" fillId="0" borderId="111" xfId="0" applyNumberFormat="1" applyFont="1" applyBorder="1" applyAlignment="1" applyProtection="1">
      <alignment horizontal="center" vertical="center"/>
    </xf>
    <xf numFmtId="0" fontId="0" fillId="0" borderId="123" xfId="0" applyNumberFormat="1" applyFont="1" applyFill="1" applyBorder="1" applyAlignment="1" applyProtection="1">
      <alignment horizontal="center" vertical="center"/>
    </xf>
    <xf numFmtId="0" fontId="0" fillId="0" borderId="123" xfId="0" applyNumberFormat="1" applyFont="1" applyBorder="1" applyAlignment="1" applyProtection="1">
      <alignment horizontal="center" vertical="center"/>
    </xf>
    <xf numFmtId="0" fontId="0" fillId="0" borderId="13" xfId="0" applyNumberFormat="1" applyFont="1" applyBorder="1" applyAlignment="1" applyProtection="1">
      <alignment horizontal="center" vertical="center"/>
    </xf>
    <xf numFmtId="0" fontId="0" fillId="0" borderId="91" xfId="0" applyNumberFormat="1" applyFont="1" applyBorder="1" applyAlignment="1" applyProtection="1">
      <alignment horizontal="center" vertical="center"/>
    </xf>
    <xf numFmtId="0" fontId="0" fillId="0" borderId="39" xfId="0" applyNumberFormat="1" applyFont="1" applyBorder="1" applyAlignment="1" applyProtection="1">
      <alignment horizontal="center" vertical="center"/>
    </xf>
    <xf numFmtId="0" fontId="0" fillId="0" borderId="124" xfId="0" applyNumberFormat="1" applyFont="1" applyFill="1" applyBorder="1" applyAlignment="1" applyProtection="1">
      <alignment horizontal="center" vertical="center"/>
    </xf>
    <xf numFmtId="0" fontId="0" fillId="0" borderId="124" xfId="0" applyNumberFormat="1" applyFont="1" applyBorder="1" applyAlignment="1" applyProtection="1">
      <alignment horizontal="center" vertical="center"/>
    </xf>
    <xf numFmtId="0" fontId="0" fillId="0" borderId="24" xfId="0" applyNumberFormat="1" applyFont="1" applyBorder="1" applyAlignment="1" applyProtection="1">
      <alignment horizontal="center" vertical="center"/>
    </xf>
    <xf numFmtId="0" fontId="0" fillId="0" borderId="108" xfId="0" applyNumberFormat="1" applyFont="1" applyBorder="1" applyAlignment="1" applyProtection="1">
      <alignment horizontal="center" vertical="center"/>
    </xf>
    <xf numFmtId="0" fontId="0" fillId="0" borderId="124" xfId="0" applyNumberFormat="1" applyFont="1" applyBorder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77" xfId="0" applyNumberFormat="1" applyFont="1" applyFill="1" applyBorder="1" applyAlignment="1" applyProtection="1">
      <alignment horizontal="center" vertical="center"/>
    </xf>
    <xf numFmtId="0" fontId="0" fillId="0" borderId="65" xfId="0" applyNumberFormat="1" applyFont="1" applyFill="1" applyBorder="1" applyAlignment="1" applyProtection="1">
      <alignment horizontal="center" vertical="center"/>
    </xf>
    <xf numFmtId="0" fontId="0" fillId="0" borderId="99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 applyProtection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0" fontId="0" fillId="0" borderId="12" xfId="0" applyNumberFormat="1" applyFont="1" applyFill="1" applyBorder="1" applyAlignment="1" applyProtection="1">
      <alignment horizontal="center" vertical="center"/>
    </xf>
    <xf numFmtId="0" fontId="0" fillId="0" borderId="149" xfId="0" applyNumberFormat="1" applyFont="1" applyFill="1" applyBorder="1" applyAlignment="1" applyProtection="1">
      <alignment horizontal="center" vertical="center"/>
    </xf>
    <xf numFmtId="184" fontId="0" fillId="0" borderId="109" xfId="0" applyNumberFormat="1" applyFont="1" applyFill="1" applyBorder="1" applyAlignment="1" applyProtection="1">
      <alignment horizontal="center" vertical="center"/>
    </xf>
    <xf numFmtId="184" fontId="0" fillId="0" borderId="150" xfId="0" applyNumberFormat="1" applyFont="1" applyFill="1" applyBorder="1" applyAlignment="1" applyProtection="1">
      <alignment horizontal="center" vertical="center"/>
    </xf>
    <xf numFmtId="184" fontId="0" fillId="0" borderId="151" xfId="0" applyNumberFormat="1" applyFont="1" applyFill="1" applyBorder="1" applyAlignment="1" applyProtection="1">
      <alignment horizontal="center" vertical="center"/>
    </xf>
    <xf numFmtId="184" fontId="0" fillId="0" borderId="152" xfId="0" applyNumberFormat="1" applyFont="1" applyFill="1" applyBorder="1" applyAlignment="1" applyProtection="1">
      <alignment horizontal="center" vertical="center"/>
    </xf>
    <xf numFmtId="184" fontId="0" fillId="0" borderId="153" xfId="0" applyNumberFormat="1" applyFont="1" applyFill="1" applyBorder="1" applyAlignment="1" applyProtection="1">
      <alignment horizontal="center" vertical="center"/>
    </xf>
    <xf numFmtId="184" fontId="0" fillId="0" borderId="154" xfId="0" applyNumberFormat="1" applyFont="1" applyFill="1" applyBorder="1" applyAlignment="1" applyProtection="1">
      <alignment horizontal="center" vertical="center"/>
    </xf>
    <xf numFmtId="0" fontId="0" fillId="0" borderId="155" xfId="0" applyNumberFormat="1" applyFont="1" applyFill="1" applyBorder="1" applyAlignment="1" applyProtection="1">
      <alignment horizontal="center" vertical="center"/>
    </xf>
    <xf numFmtId="184" fontId="0" fillId="0" borderId="156" xfId="0" applyNumberFormat="1" applyFont="1" applyFill="1" applyBorder="1" applyAlignment="1" applyProtection="1">
      <alignment horizontal="center" vertical="center"/>
    </xf>
    <xf numFmtId="184" fontId="0" fillId="0" borderId="157" xfId="0" applyNumberFormat="1" applyFont="1" applyFill="1" applyBorder="1" applyAlignment="1" applyProtection="1">
      <alignment horizontal="center" vertical="center"/>
    </xf>
    <xf numFmtId="184" fontId="0" fillId="0" borderId="158" xfId="0" applyNumberFormat="1" applyFont="1" applyFill="1" applyBorder="1" applyAlignment="1" applyProtection="1">
      <alignment horizontal="center" vertical="center"/>
    </xf>
    <xf numFmtId="0" fontId="0" fillId="0" borderId="42" xfId="0" applyNumberFormat="1" applyFont="1" applyFill="1" applyBorder="1" applyAlignment="1" applyProtection="1">
      <alignment horizontal="center" vertical="center"/>
    </xf>
    <xf numFmtId="184" fontId="0" fillId="0" borderId="21" xfId="0" applyNumberFormat="1" applyFont="1" applyFill="1" applyBorder="1" applyAlignment="1" applyProtection="1">
      <alignment horizontal="center" vertical="center"/>
    </xf>
    <xf numFmtId="184" fontId="0" fillId="0" borderId="159" xfId="0" applyNumberFormat="1" applyFont="1" applyFill="1" applyBorder="1" applyAlignment="1" applyProtection="1">
      <alignment horizontal="center" vertical="center"/>
    </xf>
    <xf numFmtId="184" fontId="0" fillId="0" borderId="160" xfId="0" applyNumberFormat="1" applyFont="1" applyFill="1" applyBorder="1" applyAlignment="1" applyProtection="1">
      <alignment horizontal="center" vertical="center"/>
    </xf>
    <xf numFmtId="184" fontId="0" fillId="0" borderId="87" xfId="0" applyNumberFormat="1" applyFont="1" applyFill="1" applyBorder="1" applyAlignment="1" applyProtection="1">
      <alignment horizontal="center" vertical="center"/>
    </xf>
    <xf numFmtId="184" fontId="0" fillId="0" borderId="88" xfId="0" applyNumberFormat="1" applyFont="1" applyFill="1" applyBorder="1" applyAlignment="1" applyProtection="1">
      <alignment horizontal="center" vertical="center"/>
    </xf>
    <xf numFmtId="184" fontId="0" fillId="0" borderId="44" xfId="0" applyNumberFormat="1" applyFont="1" applyFill="1" applyBorder="1" applyAlignment="1" applyProtection="1">
      <alignment horizontal="center" vertical="center"/>
    </xf>
    <xf numFmtId="0" fontId="0" fillId="0" borderId="30" xfId="0" applyNumberFormat="1" applyFont="1" applyFill="1" applyBorder="1" applyAlignment="1" applyProtection="1">
      <alignment horizontal="center" vertical="center"/>
    </xf>
    <xf numFmtId="184" fontId="0" fillId="0" borderId="161" xfId="0" applyNumberFormat="1" applyFont="1" applyFill="1" applyBorder="1" applyAlignment="1" applyProtection="1">
      <alignment horizontal="center" vertical="center"/>
    </xf>
    <xf numFmtId="184" fontId="0" fillId="0" borderId="162" xfId="0" applyNumberFormat="1" applyFont="1" applyFill="1" applyBorder="1" applyAlignment="1" applyProtection="1">
      <alignment horizontal="center" vertical="center"/>
    </xf>
    <xf numFmtId="184" fontId="0" fillId="0" borderId="145" xfId="0" applyNumberFormat="1" applyFont="1" applyFill="1" applyBorder="1" applyAlignment="1" applyProtection="1">
      <alignment horizontal="center" vertical="center"/>
    </xf>
    <xf numFmtId="0" fontId="0" fillId="9" borderId="40" xfId="0" applyNumberFormat="1" applyFont="1" applyFill="1" applyBorder="1" applyAlignment="1" applyProtection="1">
      <alignment horizontal="center" vertical="center"/>
    </xf>
    <xf numFmtId="184" fontId="0" fillId="9" borderId="163" xfId="0" applyNumberFormat="1" applyFont="1" applyFill="1" applyBorder="1" applyAlignment="1" applyProtection="1">
      <alignment horizontal="center" vertical="center"/>
    </xf>
    <xf numFmtId="184" fontId="0" fillId="9" borderId="12" xfId="0" applyNumberFormat="1" applyFont="1" applyFill="1" applyBorder="1" applyAlignment="1" applyProtection="1">
      <alignment horizontal="center" vertical="center"/>
    </xf>
    <xf numFmtId="184" fontId="0" fillId="0" borderId="0" xfId="0" applyNumberFormat="1" applyFont="1" applyFill="1" applyBorder="1" applyAlignment="1" applyProtection="1">
      <alignment horizontal="center" vertical="center"/>
    </xf>
    <xf numFmtId="184" fontId="0" fillId="8" borderId="40" xfId="0" applyNumberFormat="1" applyFont="1" applyFill="1" applyBorder="1" applyAlignment="1" applyProtection="1">
      <alignment horizontal="center" vertical="center"/>
    </xf>
    <xf numFmtId="0" fontId="0" fillId="0" borderId="164" xfId="0" applyNumberFormat="1" applyFont="1" applyFill="1" applyBorder="1" applyAlignment="1" applyProtection="1">
      <alignment horizontal="center" vertical="center"/>
    </xf>
    <xf numFmtId="184" fontId="0" fillId="0" borderId="148" xfId="0" applyNumberFormat="1" applyFont="1" applyFill="1" applyBorder="1" applyAlignment="1" applyProtection="1">
      <alignment horizontal="center" vertical="center"/>
    </xf>
    <xf numFmtId="0" fontId="0" fillId="0" borderId="165" xfId="0" applyNumberFormat="1" applyFont="1" applyFill="1" applyBorder="1" applyAlignment="1" applyProtection="1">
      <alignment horizontal="center" vertical="center"/>
    </xf>
    <xf numFmtId="184" fontId="0" fillId="0" borderId="89" xfId="0" applyNumberFormat="1" applyFont="1" applyFill="1" applyBorder="1" applyAlignment="1" applyProtection="1">
      <alignment horizontal="center" vertical="center"/>
    </xf>
    <xf numFmtId="184" fontId="0" fillId="0" borderId="30" xfId="0" applyNumberFormat="1" applyFont="1" applyBorder="1" applyAlignment="1" applyProtection="1">
      <alignment horizontal="center" vertical="center"/>
    </xf>
    <xf numFmtId="184" fontId="0" fillId="0" borderId="166" xfId="0" applyNumberFormat="1" applyFont="1" applyFill="1" applyBorder="1" applyAlignment="1" applyProtection="1">
      <alignment horizontal="center" vertical="center"/>
    </xf>
    <xf numFmtId="0" fontId="0" fillId="0" borderId="167" xfId="0" applyNumberFormat="1" applyFont="1" applyFill="1" applyBorder="1" applyAlignment="1" applyProtection="1">
      <alignment horizontal="center" vertical="center"/>
    </xf>
    <xf numFmtId="184" fontId="0" fillId="0" borderId="143" xfId="0" applyNumberFormat="1" applyFont="1" applyFill="1" applyBorder="1" applyAlignment="1" applyProtection="1">
      <alignment horizontal="center" vertical="center"/>
    </xf>
    <xf numFmtId="0" fontId="0" fillId="9" borderId="107" xfId="0" applyNumberFormat="1" applyFont="1" applyFill="1" applyBorder="1" applyAlignment="1" applyProtection="1">
      <alignment horizontal="center" vertical="center"/>
    </xf>
    <xf numFmtId="184" fontId="0" fillId="9" borderId="168" xfId="0" applyNumberFormat="1" applyFont="1" applyFill="1" applyBorder="1" applyAlignment="1" applyProtection="1">
      <alignment horizontal="center" vertical="center"/>
    </xf>
    <xf numFmtId="184" fontId="0" fillId="9" borderId="169" xfId="0" applyNumberFormat="1" applyFont="1" applyFill="1" applyBorder="1" applyAlignment="1" applyProtection="1">
      <alignment horizontal="center" vertical="center"/>
    </xf>
    <xf numFmtId="0" fontId="0" fillId="7" borderId="5" xfId="0" applyNumberFormat="1" applyFont="1" applyFill="1" applyBorder="1" applyAlignment="1">
      <alignment horizontal="center" vertical="center"/>
    </xf>
    <xf numFmtId="0" fontId="0" fillId="0" borderId="69" xfId="0" applyNumberFormat="1" applyFont="1" applyBorder="1" applyAlignment="1" applyProtection="1">
      <alignment horizontal="center" vertical="center"/>
    </xf>
    <xf numFmtId="0" fontId="0" fillId="0" borderId="64" xfId="0" applyNumberFormat="1" applyFont="1" applyBorder="1" applyAlignment="1" applyProtection="1">
      <alignment horizontal="center" vertical="center"/>
    </xf>
    <xf numFmtId="0" fontId="0" fillId="0" borderId="67" xfId="0" applyNumberFormat="1" applyFont="1" applyBorder="1" applyAlignment="1" applyProtection="1">
      <alignment horizontal="center" vertical="center"/>
    </xf>
    <xf numFmtId="0" fontId="0" fillId="0" borderId="12" xfId="0" applyNumberFormat="1" applyFont="1" applyBorder="1" applyAlignment="1" applyProtection="1">
      <alignment horizontal="center" vertical="center"/>
    </xf>
    <xf numFmtId="0" fontId="0" fillId="0" borderId="149" xfId="0" applyNumberFormat="1" applyFont="1" applyBorder="1" applyAlignment="1" applyProtection="1">
      <alignment horizontal="center" vertical="center"/>
    </xf>
    <xf numFmtId="184" fontId="0" fillId="0" borderId="152" xfId="0" applyNumberFormat="1" applyFont="1" applyBorder="1" applyAlignment="1" applyProtection="1">
      <alignment horizontal="center" vertical="center"/>
    </xf>
    <xf numFmtId="184" fontId="0" fillId="0" borderId="170" xfId="0" applyNumberFormat="1" applyFont="1" applyBorder="1" applyAlignment="1" applyProtection="1">
      <alignment horizontal="center" vertical="center"/>
    </xf>
    <xf numFmtId="184" fontId="0" fillId="0" borderId="153" xfId="0" applyNumberFormat="1" applyFont="1" applyBorder="1" applyAlignment="1" applyProtection="1">
      <alignment horizontal="center" vertical="center"/>
    </xf>
    <xf numFmtId="184" fontId="0" fillId="0" borderId="154" xfId="0" applyNumberFormat="1" applyFont="1" applyBorder="1" applyAlignment="1" applyProtection="1">
      <alignment horizontal="center" vertical="center"/>
    </xf>
    <xf numFmtId="184" fontId="0" fillId="0" borderId="0" xfId="0" applyNumberFormat="1" applyFont="1" applyAlignment="1">
      <alignment vertical="center"/>
    </xf>
    <xf numFmtId="0" fontId="0" fillId="0" borderId="155" xfId="0" applyNumberFormat="1" applyFont="1" applyBorder="1" applyAlignment="1" applyProtection="1">
      <alignment horizontal="center" vertical="center"/>
    </xf>
    <xf numFmtId="184" fontId="0" fillId="0" borderId="166" xfId="0" applyNumberFormat="1" applyFont="1" applyBorder="1" applyAlignment="1" applyProtection="1">
      <alignment horizontal="center" vertical="center"/>
    </xf>
    <xf numFmtId="184" fontId="0" fillId="0" borderId="157" xfId="0" applyNumberFormat="1" applyFont="1" applyBorder="1" applyAlignment="1" applyProtection="1">
      <alignment horizontal="center" vertical="center"/>
    </xf>
    <xf numFmtId="184" fontId="0" fillId="0" borderId="156" xfId="0" applyNumberFormat="1" applyFont="1" applyBorder="1" applyAlignment="1" applyProtection="1">
      <alignment horizontal="center" vertical="center"/>
    </xf>
    <xf numFmtId="184" fontId="0" fillId="0" borderId="158" xfId="0" applyNumberFormat="1" applyFont="1" applyBorder="1" applyAlignment="1" applyProtection="1">
      <alignment horizontal="center" vertical="center"/>
    </xf>
    <xf numFmtId="184" fontId="0" fillId="0" borderId="87" xfId="0" applyNumberFormat="1" applyFont="1" applyBorder="1" applyAlignment="1" applyProtection="1">
      <alignment horizontal="center" vertical="center"/>
    </xf>
    <xf numFmtId="184" fontId="0" fillId="0" borderId="171" xfId="0" applyNumberFormat="1" applyFont="1" applyBorder="1" applyAlignment="1" applyProtection="1">
      <alignment horizontal="center" vertical="center"/>
    </xf>
    <xf numFmtId="184" fontId="0" fillId="0" borderId="88" xfId="0" applyNumberFormat="1" applyFont="1" applyBorder="1" applyAlignment="1" applyProtection="1">
      <alignment horizontal="center" vertical="center"/>
    </xf>
    <xf numFmtId="184" fontId="0" fillId="0" borderId="44" xfId="0" applyNumberFormat="1" applyFont="1" applyBorder="1" applyAlignment="1" applyProtection="1">
      <alignment horizontal="center" vertical="center"/>
    </xf>
    <xf numFmtId="184" fontId="0" fillId="0" borderId="143" xfId="0" applyNumberFormat="1" applyFont="1" applyBorder="1" applyAlignment="1" applyProtection="1">
      <alignment horizontal="center" vertical="center"/>
    </xf>
    <xf numFmtId="184" fontId="0" fillId="0" borderId="162" xfId="0" applyNumberFormat="1" applyFont="1" applyBorder="1" applyAlignment="1" applyProtection="1">
      <alignment horizontal="center" vertical="center"/>
    </xf>
    <xf numFmtId="184" fontId="0" fillId="0" borderId="161" xfId="0" applyNumberFormat="1" applyFont="1" applyBorder="1" applyAlignment="1" applyProtection="1">
      <alignment horizontal="center" vertical="center"/>
    </xf>
    <xf numFmtId="184" fontId="0" fillId="0" borderId="145" xfId="0" applyNumberFormat="1" applyFont="1" applyBorder="1" applyAlignment="1" applyProtection="1">
      <alignment horizontal="center" vertical="center"/>
    </xf>
    <xf numFmtId="184" fontId="0" fillId="9" borderId="65" xfId="0" applyNumberFormat="1" applyFont="1" applyFill="1" applyBorder="1" applyAlignment="1" applyProtection="1">
      <alignment horizontal="center" vertical="center"/>
    </xf>
    <xf numFmtId="184" fontId="0" fillId="9" borderId="99" xfId="0" applyNumberFormat="1" applyFont="1" applyFill="1" applyBorder="1" applyAlignment="1" applyProtection="1">
      <alignment horizontal="center" vertical="center"/>
    </xf>
    <xf numFmtId="0" fontId="0" fillId="0" borderId="165" xfId="0" applyNumberFormat="1" applyFont="1" applyBorder="1" applyAlignment="1" applyProtection="1">
      <alignment horizontal="center" vertical="center"/>
    </xf>
    <xf numFmtId="184" fontId="0" fillId="0" borderId="21" xfId="0" applyNumberFormat="1" applyFont="1" applyBorder="1" applyAlignment="1" applyProtection="1">
      <alignment horizontal="center" vertical="center"/>
    </xf>
    <xf numFmtId="184" fontId="0" fillId="0" borderId="159" xfId="0" applyNumberFormat="1" applyFont="1" applyBorder="1" applyAlignment="1" applyProtection="1">
      <alignment horizontal="center" vertical="center"/>
    </xf>
    <xf numFmtId="184" fontId="0" fillId="0" borderId="0" xfId="0" applyNumberFormat="1" applyFont="1" applyBorder="1" applyAlignment="1" applyProtection="1">
      <alignment horizontal="center" vertical="center"/>
    </xf>
    <xf numFmtId="184" fontId="0" fillId="0" borderId="0" xfId="0" applyNumberFormat="1" applyFont="1" applyBorder="1" applyAlignment="1">
      <alignment vertical="center"/>
    </xf>
    <xf numFmtId="0" fontId="0" fillId="0" borderId="164" xfId="0" applyNumberFormat="1" applyFont="1" applyBorder="1" applyAlignment="1" applyProtection="1">
      <alignment horizontal="center" vertical="center"/>
    </xf>
    <xf numFmtId="184" fontId="0" fillId="0" borderId="109" xfId="0" applyNumberFormat="1" applyFont="1" applyBorder="1" applyAlignment="1" applyProtection="1">
      <alignment horizontal="center" vertical="center"/>
    </xf>
    <xf numFmtId="184" fontId="0" fillId="0" borderId="150" xfId="0" applyNumberFormat="1" applyFont="1" applyBorder="1" applyAlignment="1" applyProtection="1">
      <alignment horizontal="center" vertical="center"/>
    </xf>
    <xf numFmtId="0" fontId="0" fillId="0" borderId="167" xfId="0" applyNumberFormat="1" applyFont="1" applyBorder="1" applyAlignment="1" applyProtection="1">
      <alignment horizontal="center" vertical="center"/>
    </xf>
    <xf numFmtId="184" fontId="0" fillId="9" borderId="172" xfId="0" applyNumberFormat="1" applyFont="1" applyFill="1" applyBorder="1" applyAlignment="1" applyProtection="1">
      <alignment horizontal="center" vertical="center"/>
    </xf>
    <xf numFmtId="184" fontId="0" fillId="9" borderId="104" xfId="0" applyNumberFormat="1" applyFont="1" applyFill="1" applyBorder="1" applyAlignment="1" applyProtection="1">
      <alignment horizontal="center" vertical="center"/>
    </xf>
    <xf numFmtId="0" fontId="0" fillId="0" borderId="34" xfId="0" applyNumberFormat="1" applyFont="1" applyFill="1" applyBorder="1" applyAlignment="1" applyProtection="1">
      <alignment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0" xfId="0" applyFont="1" applyBorder="1"/>
    <xf numFmtId="0" fontId="0" fillId="0" borderId="71" xfId="0" applyNumberFormat="1" applyFont="1" applyFill="1" applyBorder="1" applyAlignment="1" applyProtection="1">
      <alignment horizontal="center" vertical="center"/>
    </xf>
    <xf numFmtId="0" fontId="0" fillId="0" borderId="72" xfId="0" applyNumberFormat="1" applyFont="1" applyFill="1" applyBorder="1" applyAlignment="1" applyProtection="1">
      <alignment horizontal="center" vertical="center"/>
    </xf>
    <xf numFmtId="0" fontId="0" fillId="2" borderId="99" xfId="0" applyNumberFormat="1" applyFont="1" applyFill="1" applyBorder="1" applyAlignment="1" applyProtection="1">
      <alignment horizontal="center" vertical="center"/>
    </xf>
    <xf numFmtId="0" fontId="0" fillId="2" borderId="69" xfId="0" applyNumberFormat="1" applyFont="1" applyFill="1" applyBorder="1" applyAlignment="1" applyProtection="1">
      <alignment horizontal="center" vertical="center"/>
    </xf>
    <xf numFmtId="0" fontId="0" fillId="2" borderId="104" xfId="0" applyNumberFormat="1" applyFont="1" applyFill="1" applyBorder="1" applyAlignment="1" applyProtection="1">
      <alignment horizontal="center" vertical="center"/>
    </xf>
    <xf numFmtId="0" fontId="0" fillId="2" borderId="106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77" xfId="0" applyNumberFormat="1" applyFont="1" applyBorder="1" applyAlignment="1">
      <alignment horizontal="center" vertical="center"/>
    </xf>
    <xf numFmtId="0" fontId="0" fillId="0" borderId="65" xfId="0" applyNumberFormat="1" applyFont="1" applyBorder="1" applyAlignment="1">
      <alignment horizontal="center" vertical="center"/>
    </xf>
    <xf numFmtId="0" fontId="0" fillId="0" borderId="92" xfId="0" applyNumberFormat="1" applyFont="1" applyBorder="1" applyAlignment="1">
      <alignment horizontal="center" vertical="center"/>
    </xf>
    <xf numFmtId="0" fontId="0" fillId="0" borderId="91" xfId="0" applyNumberFormat="1" applyFont="1" applyBorder="1" applyAlignment="1">
      <alignment horizontal="center" vertical="center"/>
    </xf>
    <xf numFmtId="0" fontId="0" fillId="0" borderId="90" xfId="0" applyNumberFormat="1" applyFont="1" applyBorder="1" applyAlignment="1">
      <alignment horizontal="center" vertical="center"/>
    </xf>
    <xf numFmtId="0" fontId="0" fillId="0" borderId="163" xfId="0" applyNumberFormat="1" applyFont="1" applyBorder="1" applyAlignment="1">
      <alignment horizontal="center" vertical="center"/>
    </xf>
    <xf numFmtId="0" fontId="0" fillId="0" borderId="164" xfId="0" applyNumberFormat="1" applyFont="1" applyBorder="1" applyAlignment="1">
      <alignment horizontal="center" vertical="center"/>
    </xf>
    <xf numFmtId="181" fontId="0" fillId="0" borderId="152" xfId="0" applyNumberFormat="1" applyFont="1" applyBorder="1" applyAlignment="1">
      <alignment horizontal="center" vertical="center"/>
    </xf>
    <xf numFmtId="181" fontId="0" fillId="0" borderId="153" xfId="0" applyNumberFormat="1" applyFont="1" applyBorder="1" applyAlignment="1">
      <alignment horizontal="center" vertical="center"/>
    </xf>
    <xf numFmtId="181" fontId="0" fillId="2" borderId="173" xfId="0" applyNumberFormat="1" applyFont="1" applyFill="1" applyBorder="1" applyAlignment="1">
      <alignment horizontal="center" vertical="center"/>
    </xf>
    <xf numFmtId="0" fontId="0" fillId="0" borderId="155" xfId="0" applyNumberFormat="1" applyFont="1" applyBorder="1" applyAlignment="1">
      <alignment horizontal="center" vertical="center"/>
    </xf>
    <xf numFmtId="181" fontId="0" fillId="0" borderId="166" xfId="0" applyNumberFormat="1" applyFont="1" applyBorder="1" applyAlignment="1">
      <alignment horizontal="center" vertical="center"/>
    </xf>
    <xf numFmtId="181" fontId="0" fillId="0" borderId="174" xfId="0" applyNumberFormat="1" applyFont="1" applyBorder="1" applyAlignment="1">
      <alignment horizontal="center" vertical="center"/>
    </xf>
    <xf numFmtId="181" fontId="0" fillId="0" borderId="175" xfId="0" applyNumberFormat="1" applyFont="1" applyBorder="1" applyAlignment="1">
      <alignment horizontal="center" vertical="center"/>
    </xf>
    <xf numFmtId="181" fontId="0" fillId="2" borderId="176" xfId="0" applyNumberFormat="1" applyFont="1" applyFill="1" applyBorder="1" applyAlignment="1">
      <alignment horizontal="center" vertical="center"/>
    </xf>
    <xf numFmtId="181" fontId="0" fillId="2" borderId="177" xfId="0" applyNumberFormat="1" applyFont="1" applyFill="1" applyBorder="1" applyAlignment="1">
      <alignment horizontal="center" vertical="center"/>
    </xf>
    <xf numFmtId="181" fontId="0" fillId="2" borderId="178" xfId="0" applyNumberFormat="1" applyFont="1" applyFill="1" applyBorder="1" applyAlignment="1">
      <alignment horizontal="center" vertical="center"/>
    </xf>
    <xf numFmtId="0" fontId="0" fillId="0" borderId="165" xfId="0" applyNumberFormat="1" applyFont="1" applyBorder="1" applyAlignment="1">
      <alignment horizontal="center" vertical="center"/>
    </xf>
    <xf numFmtId="181" fontId="0" fillId="0" borderId="87" xfId="0" applyNumberFormat="1" applyFont="1" applyBorder="1" applyAlignment="1">
      <alignment horizontal="center" vertical="center"/>
    </xf>
    <xf numFmtId="181" fontId="0" fillId="0" borderId="171" xfId="0" applyNumberFormat="1" applyFont="1" applyBorder="1" applyAlignment="1">
      <alignment horizontal="center" vertical="center"/>
    </xf>
    <xf numFmtId="181" fontId="0" fillId="0" borderId="88" xfId="0" applyNumberFormat="1" applyFont="1" applyBorder="1" applyAlignment="1">
      <alignment horizontal="center" vertical="center"/>
    </xf>
    <xf numFmtId="0" fontId="0" fillId="0" borderId="31" xfId="0" applyNumberFormat="1" applyFont="1" applyBorder="1" applyAlignment="1">
      <alignment horizontal="center" vertical="center"/>
    </xf>
    <xf numFmtId="181" fontId="0" fillId="2" borderId="179" xfId="0" applyNumberFormat="1" applyFont="1" applyFill="1" applyBorder="1" applyAlignment="1">
      <alignment horizontal="center" vertical="center"/>
    </xf>
    <xf numFmtId="181" fontId="0" fillId="0" borderId="156" xfId="0" applyNumberFormat="1" applyFont="1" applyBorder="1" applyAlignment="1">
      <alignment horizontal="center" vertical="center"/>
    </xf>
    <xf numFmtId="181" fontId="0" fillId="0" borderId="160" xfId="0" applyNumberFormat="1" applyFont="1" applyBorder="1" applyAlignment="1">
      <alignment horizontal="center" vertical="center"/>
    </xf>
    <xf numFmtId="181" fontId="0" fillId="2" borderId="180" xfId="0" applyNumberFormat="1" applyFont="1" applyFill="1" applyBorder="1" applyAlignment="1">
      <alignment horizontal="center" vertical="center"/>
    </xf>
    <xf numFmtId="0" fontId="0" fillId="0" borderId="181" xfId="0" applyNumberFormat="1" applyFont="1" applyBorder="1" applyAlignment="1">
      <alignment horizontal="center" vertical="center"/>
    </xf>
    <xf numFmtId="181" fontId="0" fillId="0" borderId="85" xfId="0" applyNumberFormat="1" applyFont="1" applyBorder="1" applyAlignment="1">
      <alignment horizontal="center" vertical="center"/>
    </xf>
    <xf numFmtId="181" fontId="0" fillId="0" borderId="86" xfId="0" applyNumberFormat="1" applyFont="1" applyBorder="1" applyAlignment="1">
      <alignment horizontal="center" vertical="center"/>
    </xf>
    <xf numFmtId="181" fontId="0" fillId="2" borderId="182" xfId="0" applyNumberFormat="1" applyFont="1" applyFill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0" fillId="0" borderId="123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47" xfId="0" applyNumberFormat="1" applyFont="1" applyBorder="1" applyAlignment="1">
      <alignment horizontal="center" vertical="center"/>
    </xf>
    <xf numFmtId="181" fontId="0" fillId="2" borderId="78" xfId="0" applyNumberFormat="1" applyFont="1" applyFill="1" applyBorder="1" applyAlignment="1">
      <alignment horizontal="center" vertical="center"/>
    </xf>
    <xf numFmtId="0" fontId="0" fillId="2" borderId="11" xfId="0" applyNumberFormat="1" applyFont="1" applyFill="1" applyBorder="1" applyAlignment="1" applyProtection="1">
      <alignment horizontal="center" vertical="center"/>
    </xf>
    <xf numFmtId="0" fontId="0" fillId="2" borderId="7" xfId="0" applyNumberFormat="1" applyFont="1" applyFill="1" applyBorder="1" applyAlignment="1" applyProtection="1">
      <alignment horizontal="center" vertical="center"/>
    </xf>
    <xf numFmtId="0" fontId="0" fillId="0" borderId="152" xfId="0" applyNumberFormat="1" applyFont="1" applyBorder="1" applyAlignment="1" applyProtection="1">
      <alignment horizontal="center" vertical="center"/>
    </xf>
    <xf numFmtId="0" fontId="0" fillId="0" borderId="153" xfId="0" applyNumberFormat="1" applyFont="1" applyBorder="1" applyAlignment="1" applyProtection="1">
      <alignment horizontal="center" vertical="center"/>
    </xf>
    <xf numFmtId="0" fontId="0" fillId="0" borderId="179" xfId="0" applyNumberFormat="1" applyFont="1" applyBorder="1" applyAlignment="1" applyProtection="1">
      <alignment horizontal="center" vertical="center"/>
    </xf>
    <xf numFmtId="0" fontId="0" fillId="0" borderId="21" xfId="0" applyNumberFormat="1" applyFont="1" applyBorder="1" applyAlignment="1" applyProtection="1">
      <alignment vertical="center"/>
    </xf>
    <xf numFmtId="0" fontId="0" fillId="0" borderId="17" xfId="0" applyNumberFormat="1" applyFont="1" applyBorder="1" applyAlignment="1" applyProtection="1">
      <alignment vertical="center"/>
    </xf>
    <xf numFmtId="0" fontId="0" fillId="0" borderId="28" xfId="0" applyNumberFormat="1" applyFont="1" applyBorder="1" applyAlignment="1" applyProtection="1">
      <alignment vertical="center"/>
    </xf>
    <xf numFmtId="0" fontId="0" fillId="0" borderId="183" xfId="0" applyNumberFormat="1" applyFont="1" applyBorder="1" applyAlignment="1" applyProtection="1">
      <alignment horizontal="center" vertical="center"/>
    </xf>
    <xf numFmtId="0" fontId="0" fillId="0" borderId="166" xfId="0" applyNumberFormat="1" applyFont="1" applyBorder="1" applyAlignment="1" applyProtection="1">
      <alignment horizontal="center" vertical="center"/>
    </xf>
    <xf numFmtId="0" fontId="0" fillId="0" borderId="175" xfId="0" applyNumberFormat="1" applyFont="1" applyBorder="1" applyAlignment="1" applyProtection="1">
      <alignment horizontal="center" vertical="center"/>
    </xf>
    <xf numFmtId="0" fontId="0" fillId="0" borderId="178" xfId="0" applyNumberFormat="1" applyFont="1" applyBorder="1" applyAlignment="1" applyProtection="1">
      <alignment horizontal="center" vertical="center"/>
    </xf>
    <xf numFmtId="0" fontId="0" fillId="0" borderId="87" xfId="0" applyNumberFormat="1" applyFont="1" applyBorder="1" applyAlignment="1" applyProtection="1">
      <alignment vertical="center"/>
    </xf>
    <xf numFmtId="0" fontId="0" fillId="0" borderId="88" xfId="0" applyNumberFormat="1" applyFont="1" applyBorder="1" applyAlignment="1" applyProtection="1">
      <alignment vertical="center"/>
    </xf>
    <xf numFmtId="0" fontId="0" fillId="0" borderId="177" xfId="0" applyNumberFormat="1" applyFont="1" applyBorder="1" applyAlignment="1" applyProtection="1">
      <alignment vertical="center"/>
    </xf>
    <xf numFmtId="0" fontId="0" fillId="0" borderId="87" xfId="0" applyNumberFormat="1" applyFont="1" applyBorder="1" applyAlignment="1" applyProtection="1">
      <alignment horizontal="center" vertical="center"/>
    </xf>
    <xf numFmtId="0" fontId="0" fillId="0" borderId="88" xfId="0" applyNumberFormat="1" applyFont="1" applyBorder="1" applyAlignment="1" applyProtection="1">
      <alignment horizontal="center" vertical="center"/>
    </xf>
    <xf numFmtId="0" fontId="0" fillId="0" borderId="177" xfId="0" applyNumberFormat="1" applyFont="1" applyBorder="1" applyAlignment="1" applyProtection="1">
      <alignment horizontal="center" vertical="center"/>
    </xf>
    <xf numFmtId="0" fontId="0" fillId="0" borderId="166" xfId="0" applyNumberFormat="1" applyFont="1" applyBorder="1" applyAlignment="1" applyProtection="1">
      <alignment vertical="center"/>
    </xf>
    <xf numFmtId="0" fontId="0" fillId="0" borderId="156" xfId="0" applyNumberFormat="1" applyFont="1" applyBorder="1" applyAlignment="1" applyProtection="1">
      <alignment vertical="center"/>
    </xf>
    <xf numFmtId="0" fontId="0" fillId="0" borderId="175" xfId="0" applyNumberFormat="1" applyFont="1" applyBorder="1" applyAlignment="1" applyProtection="1">
      <alignment vertical="center"/>
    </xf>
    <xf numFmtId="0" fontId="0" fillId="0" borderId="178" xfId="0" applyNumberFormat="1" applyFont="1" applyBorder="1" applyAlignment="1" applyProtection="1">
      <alignment vertical="center"/>
    </xf>
    <xf numFmtId="0" fontId="36" fillId="0" borderId="0" xfId="0" applyNumberFormat="1" applyFont="1" applyAlignment="1">
      <alignment vertical="center"/>
    </xf>
    <xf numFmtId="0" fontId="0" fillId="0" borderId="15" xfId="0" applyNumberFormat="1" applyFont="1" applyBorder="1" applyAlignment="1">
      <alignment vertical="center"/>
    </xf>
    <xf numFmtId="0" fontId="0" fillId="9" borderId="34" xfId="0" applyNumberFormat="1" applyFont="1" applyFill="1" applyBorder="1" applyAlignment="1">
      <alignment horizontal="center" vertical="center"/>
    </xf>
    <xf numFmtId="0" fontId="0" fillId="0" borderId="22" xfId="0" applyNumberFormat="1" applyFont="1" applyBorder="1" applyAlignment="1">
      <alignment horizontal="center" vertical="center"/>
    </xf>
    <xf numFmtId="0" fontId="0" fillId="0" borderId="146" xfId="0" applyNumberFormat="1" applyFont="1" applyBorder="1" applyAlignment="1">
      <alignment horizontal="center" vertical="center"/>
    </xf>
    <xf numFmtId="0" fontId="0" fillId="0" borderId="134" xfId="0" applyNumberFormat="1" applyFont="1" applyBorder="1" applyAlignment="1">
      <alignment horizontal="center" vertical="center"/>
    </xf>
    <xf numFmtId="0" fontId="0" fillId="0" borderId="184" xfId="0" applyNumberFormat="1" applyFont="1" applyBorder="1" applyAlignment="1">
      <alignment horizontal="center" vertical="center"/>
    </xf>
    <xf numFmtId="0" fontId="0" fillId="0" borderId="170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184" fontId="0" fillId="2" borderId="149" xfId="0" applyNumberFormat="1" applyFont="1" applyFill="1" applyBorder="1" applyAlignment="1">
      <alignment horizontal="center" vertical="center"/>
    </xf>
    <xf numFmtId="184" fontId="0" fillId="2" borderId="153" xfId="0" applyNumberFormat="1" applyFont="1" applyFill="1" applyBorder="1" applyAlignment="1">
      <alignment horizontal="center" vertical="center"/>
    </xf>
    <xf numFmtId="184" fontId="0" fillId="2" borderId="179" xfId="0" applyNumberFormat="1" applyFont="1" applyFill="1" applyBorder="1" applyAlignment="1">
      <alignment horizontal="center" vertical="center"/>
    </xf>
    <xf numFmtId="184" fontId="0" fillId="2" borderId="78" xfId="0" applyNumberFormat="1" applyFont="1" applyFill="1" applyBorder="1" applyAlignment="1">
      <alignment horizontal="center" vertical="center"/>
    </xf>
    <xf numFmtId="0" fontId="0" fillId="0" borderId="71" xfId="0" applyNumberFormat="1" applyFont="1" applyBorder="1" applyAlignment="1">
      <alignment horizontal="center" vertical="center"/>
    </xf>
    <xf numFmtId="0" fontId="0" fillId="0" borderId="78" xfId="0" applyNumberFormat="1" applyFont="1" applyFill="1" applyBorder="1" applyAlignment="1" applyProtection="1">
      <alignment vertical="center"/>
    </xf>
    <xf numFmtId="0" fontId="37" fillId="0" borderId="0" xfId="0" applyFont="1" applyFill="1"/>
    <xf numFmtId="188" fontId="0" fillId="0" borderId="65" xfId="0" applyNumberFormat="1" applyFont="1" applyBorder="1" applyAlignment="1">
      <alignment horizontal="center" vertical="center"/>
    </xf>
    <xf numFmtId="188" fontId="0" fillId="0" borderId="131" xfId="0" applyNumberFormat="1" applyFont="1" applyBorder="1" applyAlignment="1">
      <alignment horizontal="center" vertical="center"/>
    </xf>
    <xf numFmtId="188" fontId="0" fillId="0" borderId="11" xfId="0" applyNumberFormat="1" applyFont="1" applyBorder="1" applyAlignment="1">
      <alignment horizontal="center" vertical="center"/>
    </xf>
    <xf numFmtId="181" fontId="0" fillId="0" borderId="159" xfId="0" applyNumberFormat="1" applyFont="1" applyBorder="1" applyAlignment="1">
      <alignment horizontal="center" vertical="center"/>
    </xf>
    <xf numFmtId="181" fontId="0" fillId="0" borderId="157" xfId="0" applyNumberFormat="1" applyFont="1" applyBorder="1" applyAlignment="1">
      <alignment horizontal="center" vertical="center"/>
    </xf>
    <xf numFmtId="181" fontId="0" fillId="0" borderId="83" xfId="0" applyNumberFormat="1" applyFont="1" applyBorder="1" applyAlignment="1">
      <alignment horizontal="center" vertical="center"/>
    </xf>
    <xf numFmtId="181" fontId="0" fillId="0" borderId="188" xfId="0" applyNumberFormat="1" applyFont="1" applyBorder="1" applyAlignment="1">
      <alignment horizontal="center" vertical="center"/>
    </xf>
    <xf numFmtId="181" fontId="0" fillId="0" borderId="84" xfId="0" applyNumberFormat="1" applyFont="1" applyBorder="1" applyAlignment="1">
      <alignment horizontal="center" vertical="center"/>
    </xf>
    <xf numFmtId="181" fontId="0" fillId="0" borderId="189" xfId="0" applyNumberFormat="1" applyFont="1" applyBorder="1" applyAlignment="1">
      <alignment horizontal="center" vertical="center"/>
    </xf>
    <xf numFmtId="188" fontId="0" fillId="0" borderId="123" xfId="0" applyNumberFormat="1" applyFont="1" applyBorder="1" applyAlignment="1">
      <alignment horizontal="center" vertical="center"/>
    </xf>
    <xf numFmtId="188" fontId="0" fillId="0" borderId="4" xfId="0" applyNumberFormat="1" applyFont="1" applyBorder="1" applyAlignment="1">
      <alignment horizontal="center" vertical="center"/>
    </xf>
    <xf numFmtId="188" fontId="0" fillId="0" borderId="13" xfId="0" applyNumberFormat="1" applyFont="1" applyBorder="1" applyAlignment="1">
      <alignment horizontal="center" vertical="center"/>
    </xf>
    <xf numFmtId="181" fontId="0" fillId="0" borderId="90" xfId="0" applyNumberFormat="1" applyFont="1" applyBorder="1" applyAlignment="1">
      <alignment horizontal="center" vertical="center"/>
    </xf>
    <xf numFmtId="181" fontId="0" fillId="0" borderId="190" xfId="0" applyNumberFormat="1" applyFont="1" applyBorder="1" applyAlignment="1">
      <alignment horizontal="center" vertical="center"/>
    </xf>
    <xf numFmtId="181" fontId="0" fillId="0" borderId="13" xfId="0" applyNumberFormat="1" applyFont="1" applyBorder="1" applyAlignment="1">
      <alignment horizontal="center" vertical="center"/>
    </xf>
    <xf numFmtId="181" fontId="0" fillId="0" borderId="91" xfId="0" applyNumberFormat="1" applyFont="1" applyBorder="1" applyAlignment="1">
      <alignment horizontal="center" vertical="center"/>
    </xf>
    <xf numFmtId="181" fontId="0" fillId="0" borderId="150" xfId="0" applyNumberFormat="1" applyFont="1" applyBorder="1" applyAlignment="1">
      <alignment horizontal="center" vertical="center"/>
    </xf>
    <xf numFmtId="181" fontId="0" fillId="0" borderId="191" xfId="0" applyNumberFormat="1" applyFont="1" applyBorder="1" applyAlignment="1">
      <alignment horizontal="center" vertical="center"/>
    </xf>
    <xf numFmtId="0" fontId="0" fillId="0" borderId="136" xfId="0" applyNumberFormat="1" applyFont="1" applyBorder="1" applyAlignment="1">
      <alignment vertical="center"/>
    </xf>
    <xf numFmtId="0" fontId="0" fillId="0" borderId="125" xfId="0" applyNumberFormat="1" applyFont="1" applyBorder="1" applyAlignment="1">
      <alignment vertical="center"/>
    </xf>
    <xf numFmtId="0" fontId="0" fillId="0" borderId="192" xfId="0" applyNumberFormat="1" applyFont="1" applyBorder="1" applyAlignment="1">
      <alignment horizontal="center" vertical="center"/>
    </xf>
    <xf numFmtId="0" fontId="0" fillId="0" borderId="193" xfId="0" applyNumberFormat="1" applyFont="1" applyBorder="1" applyAlignment="1">
      <alignment horizontal="center" vertical="center"/>
    </xf>
    <xf numFmtId="0" fontId="0" fillId="4" borderId="4" xfId="0" applyNumberFormat="1" applyFont="1" applyFill="1" applyBorder="1" applyAlignment="1" applyProtection="1">
      <alignment horizontal="center" vertical="center"/>
      <protection locked="0"/>
    </xf>
    <xf numFmtId="0" fontId="0" fillId="4" borderId="92" xfId="0" applyNumberFormat="1" applyFont="1" applyFill="1" applyBorder="1" applyAlignment="1" applyProtection="1">
      <alignment horizontal="center" vertical="center"/>
      <protection locked="0"/>
    </xf>
    <xf numFmtId="0" fontId="0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149" xfId="0" applyNumberFormat="1" applyFont="1" applyBorder="1" applyAlignment="1">
      <alignment horizontal="center" vertical="center"/>
    </xf>
    <xf numFmtId="0" fontId="0" fillId="0" borderId="152" xfId="0" applyNumberFormat="1" applyFont="1" applyBorder="1" applyAlignment="1">
      <alignment horizontal="center" vertical="center"/>
    </xf>
    <xf numFmtId="0" fontId="0" fillId="0" borderId="153" xfId="0" applyNumberFormat="1" applyFont="1" applyBorder="1" applyAlignment="1">
      <alignment horizontal="center" vertical="center"/>
    </xf>
    <xf numFmtId="0" fontId="0" fillId="0" borderId="179" xfId="0" applyNumberFormat="1" applyFont="1" applyBorder="1" applyAlignment="1">
      <alignment horizontal="center" vertical="center"/>
    </xf>
    <xf numFmtId="0" fontId="0" fillId="0" borderId="21" xfId="0" applyNumberFormat="1" applyFont="1" applyBorder="1" applyAlignment="1">
      <alignment horizontal="center" vertical="center"/>
    </xf>
    <xf numFmtId="0" fontId="0" fillId="0" borderId="17" xfId="0" applyNumberFormat="1" applyFont="1" applyBorder="1" applyAlignment="1">
      <alignment horizontal="center" vertical="center"/>
    </xf>
    <xf numFmtId="0" fontId="0" fillId="0" borderId="28" xfId="0" applyNumberFormat="1" applyFont="1" applyBorder="1" applyAlignment="1">
      <alignment horizontal="center" vertical="center"/>
    </xf>
    <xf numFmtId="0" fontId="0" fillId="0" borderId="42" xfId="0" applyNumberFormat="1" applyFont="1" applyBorder="1" applyAlignment="1">
      <alignment horizontal="center" vertical="center"/>
    </xf>
    <xf numFmtId="0" fontId="0" fillId="0" borderId="87" xfId="0" applyNumberFormat="1" applyFont="1" applyBorder="1" applyAlignment="1">
      <alignment horizontal="center" vertical="center"/>
    </xf>
    <xf numFmtId="0" fontId="0" fillId="0" borderId="88" xfId="0" applyNumberFormat="1" applyFont="1" applyBorder="1" applyAlignment="1">
      <alignment horizontal="center" vertical="center"/>
    </xf>
    <xf numFmtId="0" fontId="0" fillId="0" borderId="177" xfId="0" applyNumberFormat="1" applyFont="1" applyBorder="1" applyAlignment="1">
      <alignment horizontal="center" vertical="center"/>
    </xf>
    <xf numFmtId="0" fontId="0" fillId="0" borderId="194" xfId="0" applyNumberFormat="1" applyFont="1" applyBorder="1" applyAlignment="1">
      <alignment horizontal="center" vertical="center"/>
    </xf>
    <xf numFmtId="0" fontId="0" fillId="0" borderId="143" xfId="0" applyNumberFormat="1" applyFont="1" applyBorder="1" applyAlignment="1">
      <alignment horizontal="center" vertical="center"/>
    </xf>
    <xf numFmtId="0" fontId="0" fillId="0" borderId="144" xfId="0" applyNumberFormat="1" applyFont="1" applyBorder="1" applyAlignment="1">
      <alignment horizontal="center" vertical="center"/>
    </xf>
    <xf numFmtId="0" fontId="0" fillId="0" borderId="195" xfId="0" applyNumberFormat="1" applyFont="1" applyBorder="1" applyAlignment="1">
      <alignment horizontal="center" vertical="center"/>
    </xf>
    <xf numFmtId="0" fontId="0" fillId="0" borderId="26" xfId="0" applyNumberFormat="1" applyFont="1" applyBorder="1" applyAlignment="1">
      <alignment vertical="center"/>
    </xf>
    <xf numFmtId="0" fontId="0" fillId="0" borderId="196" xfId="0" applyNumberFormat="1" applyFont="1" applyBorder="1" applyAlignment="1">
      <alignment horizontal="center" vertical="center"/>
    </xf>
    <xf numFmtId="0" fontId="0" fillId="0" borderId="197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vertical="center"/>
    </xf>
    <xf numFmtId="0" fontId="0" fillId="5" borderId="4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/>
    </xf>
    <xf numFmtId="184" fontId="0" fillId="2" borderId="164" xfId="0" applyNumberFormat="1" applyFont="1" applyFill="1" applyBorder="1" applyAlignment="1">
      <alignment horizontal="center" vertical="center"/>
    </xf>
    <xf numFmtId="184" fontId="0" fillId="2" borderId="170" xfId="0" applyNumberFormat="1" applyFont="1" applyFill="1" applyBorder="1" applyAlignment="1">
      <alignment horizontal="center" vertical="center"/>
    </xf>
    <xf numFmtId="184" fontId="0" fillId="2" borderId="147" xfId="0" applyNumberFormat="1" applyFont="1" applyFill="1" applyBorder="1" applyAlignment="1">
      <alignment horizontal="center" vertical="center"/>
    </xf>
    <xf numFmtId="184" fontId="0" fillId="2" borderId="128" xfId="0" applyNumberFormat="1" applyFont="1" applyFill="1" applyBorder="1" applyAlignment="1">
      <alignment horizontal="center" vertical="center"/>
    </xf>
    <xf numFmtId="181" fontId="0" fillId="0" borderId="151" xfId="0" applyNumberFormat="1" applyFont="1" applyBorder="1" applyAlignment="1">
      <alignment horizontal="center" vertical="center"/>
    </xf>
    <xf numFmtId="0" fontId="0" fillId="0" borderId="198" xfId="0" applyNumberFormat="1" applyFont="1" applyBorder="1" applyAlignment="1">
      <alignment horizontal="center" vertical="center"/>
    </xf>
    <xf numFmtId="181" fontId="0" fillId="0" borderId="199" xfId="0" applyNumberFormat="1" applyFont="1" applyBorder="1" applyAlignment="1">
      <alignment horizontal="center" vertical="center"/>
    </xf>
    <xf numFmtId="0" fontId="0" fillId="4" borderId="4" xfId="0" applyNumberFormat="1" applyFont="1" applyFill="1" applyBorder="1" applyAlignment="1">
      <alignment horizontal="center" vertical="center"/>
    </xf>
    <xf numFmtId="0" fontId="0" fillId="4" borderId="92" xfId="0" applyNumberFormat="1" applyFont="1" applyFill="1" applyBorder="1" applyAlignment="1">
      <alignment horizontal="center" vertical="center"/>
    </xf>
    <xf numFmtId="0" fontId="0" fillId="4" borderId="14" xfId="0" applyNumberFormat="1" applyFont="1" applyFill="1" applyBorder="1" applyAlignment="1">
      <alignment horizontal="center" vertical="center"/>
    </xf>
    <xf numFmtId="184" fontId="0" fillId="0" borderId="165" xfId="0" applyNumberFormat="1" applyFont="1" applyBorder="1" applyAlignment="1">
      <alignment horizontal="center" vertical="center"/>
    </xf>
    <xf numFmtId="0" fontId="0" fillId="0" borderId="185" xfId="0" applyNumberFormat="1" applyFont="1" applyBorder="1" applyAlignment="1">
      <alignment horizontal="center" vertical="center"/>
    </xf>
    <xf numFmtId="0" fontId="0" fillId="0" borderId="166" xfId="0" applyNumberFormat="1" applyFont="1" applyBorder="1" applyAlignment="1">
      <alignment horizontal="center" vertical="center"/>
    </xf>
    <xf numFmtId="0" fontId="0" fillId="0" borderId="175" xfId="0" applyNumberFormat="1" applyFont="1" applyBorder="1" applyAlignment="1">
      <alignment horizontal="center" vertical="center"/>
    </xf>
    <xf numFmtId="0" fontId="0" fillId="0" borderId="178" xfId="0" applyNumberFormat="1" applyFont="1" applyBorder="1" applyAlignment="1">
      <alignment horizontal="center" vertical="center"/>
    </xf>
    <xf numFmtId="0" fontId="0" fillId="0" borderId="23" xfId="0" applyNumberFormat="1" applyFont="1" applyBorder="1" applyAlignment="1">
      <alignment horizontal="center" vertical="center"/>
    </xf>
    <xf numFmtId="0" fontId="0" fillId="0" borderId="126" xfId="0" applyNumberFormat="1" applyFont="1" applyBorder="1" applyAlignment="1">
      <alignment horizontal="center" vertical="center"/>
    </xf>
    <xf numFmtId="185" fontId="0" fillId="2" borderId="0" xfId="0" applyNumberFormat="1" applyFont="1" applyFill="1" applyAlignment="1">
      <alignment horizontal="center" vertical="center"/>
    </xf>
    <xf numFmtId="184" fontId="0" fillId="0" borderId="0" xfId="0" applyNumberFormat="1" applyFont="1" applyBorder="1" applyAlignment="1">
      <alignment horizontal="center" vertical="center"/>
    </xf>
    <xf numFmtId="184" fontId="0" fillId="0" borderId="0" xfId="0" applyNumberFormat="1" applyFont="1" applyAlignment="1">
      <alignment horizontal="center" vertical="center"/>
    </xf>
    <xf numFmtId="0" fontId="0" fillId="0" borderId="133" xfId="0" applyNumberFormat="1" applyFont="1" applyBorder="1" applyAlignment="1">
      <alignment horizontal="center" vertical="center"/>
    </xf>
    <xf numFmtId="0" fontId="0" fillId="0" borderId="33" xfId="0" applyNumberFormat="1" applyFont="1" applyBorder="1" applyAlignment="1">
      <alignment horizontal="center" vertical="center"/>
    </xf>
    <xf numFmtId="0" fontId="0" fillId="0" borderId="18" xfId="0" applyNumberFormat="1" applyFont="1" applyBorder="1" applyAlignment="1">
      <alignment horizontal="center" vertical="center"/>
    </xf>
    <xf numFmtId="0" fontId="0" fillId="0" borderId="16" xfId="0" applyNumberFormat="1" applyFont="1" applyFill="1" applyBorder="1" applyAlignment="1">
      <alignment horizontal="center" vertical="center"/>
    </xf>
    <xf numFmtId="0" fontId="0" fillId="0" borderId="200" xfId="0" applyNumberFormat="1" applyFont="1" applyBorder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0" fillId="2" borderId="15" xfId="0" applyNumberFormat="1" applyFont="1" applyFill="1" applyBorder="1" applyAlignment="1">
      <alignment horizontal="center" vertical="center"/>
    </xf>
    <xf numFmtId="0" fontId="0" fillId="0" borderId="201" xfId="0" applyNumberFormat="1" applyFont="1" applyBorder="1" applyAlignment="1">
      <alignment horizontal="center" vertical="center"/>
    </xf>
    <xf numFmtId="0" fontId="0" fillId="0" borderId="202" xfId="0" applyNumberFormat="1" applyFont="1" applyFill="1" applyBorder="1" applyAlignment="1">
      <alignment horizontal="center" vertical="center"/>
    </xf>
    <xf numFmtId="0" fontId="0" fillId="0" borderId="203" xfId="0" applyNumberFormat="1" applyFont="1" applyFill="1" applyBorder="1" applyAlignment="1">
      <alignment horizontal="center" vertical="center"/>
    </xf>
    <xf numFmtId="0" fontId="0" fillId="0" borderId="204" xfId="0" applyNumberFormat="1" applyFont="1" applyBorder="1" applyAlignment="1">
      <alignment horizontal="center" vertical="center"/>
    </xf>
    <xf numFmtId="0" fontId="0" fillId="0" borderId="205" xfId="0" applyNumberFormat="1" applyFont="1" applyBorder="1" applyAlignment="1">
      <alignment horizontal="center" vertical="center"/>
    </xf>
    <xf numFmtId="0" fontId="0" fillId="0" borderId="21" xfId="0" applyNumberFormat="1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>
      <alignment horizontal="center" vertical="center"/>
    </xf>
    <xf numFmtId="0" fontId="0" fillId="0" borderId="204" xfId="0" applyNumberFormat="1" applyFont="1" applyFill="1" applyBorder="1" applyAlignment="1">
      <alignment horizontal="center" vertical="center"/>
    </xf>
    <xf numFmtId="0" fontId="0" fillId="0" borderId="18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 applyProtection="1">
      <alignment horizontal="right" vertical="center"/>
      <protection locked="0"/>
    </xf>
    <xf numFmtId="187" fontId="5" fillId="0" borderId="73" xfId="0" applyNumberFormat="1" applyFont="1" applyFill="1" applyBorder="1" applyAlignment="1">
      <alignment horizontal="center" vertical="center"/>
    </xf>
    <xf numFmtId="184" fontId="5" fillId="0" borderId="73" xfId="0" applyNumberFormat="1" applyFont="1" applyFill="1" applyBorder="1" applyAlignment="1">
      <alignment horizontal="center" vertical="center"/>
    </xf>
    <xf numFmtId="188" fontId="5" fillId="0" borderId="73" xfId="0" applyNumberFormat="1" applyFont="1" applyFill="1" applyBorder="1" applyAlignment="1">
      <alignment horizontal="center" vertical="center"/>
    </xf>
    <xf numFmtId="188" fontId="5" fillId="0" borderId="30" xfId="0" applyNumberFormat="1" applyFont="1" applyFill="1" applyBorder="1" applyAlignment="1">
      <alignment horizontal="center" vertical="center"/>
    </xf>
    <xf numFmtId="188" fontId="5" fillId="0" borderId="31" xfId="0" applyNumberFormat="1" applyFont="1" applyFill="1" applyBorder="1" applyAlignment="1">
      <alignment horizontal="center" vertical="center"/>
    </xf>
    <xf numFmtId="189" fontId="5" fillId="9" borderId="73" xfId="0" applyNumberFormat="1" applyFont="1" applyFill="1" applyBorder="1" applyAlignment="1">
      <alignment horizontal="center" vertical="center"/>
    </xf>
    <xf numFmtId="189" fontId="5" fillId="9" borderId="32" xfId="0" applyNumberFormat="1" applyFont="1" applyFill="1" applyBorder="1" applyAlignment="1">
      <alignment horizontal="center" vertical="center"/>
    </xf>
    <xf numFmtId="189" fontId="5" fillId="9" borderId="30" xfId="0" applyNumberFormat="1" applyFont="1" applyFill="1" applyBorder="1" applyAlignment="1">
      <alignment horizontal="center" vertical="center"/>
    </xf>
    <xf numFmtId="189" fontId="5" fillId="9" borderId="31" xfId="0" applyNumberFormat="1" applyFont="1" applyFill="1" applyBorder="1" applyAlignment="1">
      <alignment horizontal="center" vertical="center"/>
    </xf>
    <xf numFmtId="189" fontId="5" fillId="9" borderId="29" xfId="0" applyNumberFormat="1" applyFont="1" applyFill="1" applyBorder="1" applyAlignment="1">
      <alignment horizontal="center" vertical="center"/>
    </xf>
    <xf numFmtId="189" fontId="5" fillId="9" borderId="147" xfId="0" applyNumberFormat="1" applyFont="1" applyFill="1" applyBorder="1" applyAlignment="1">
      <alignment horizontal="center" vertical="center"/>
    </xf>
    <xf numFmtId="189" fontId="5" fillId="9" borderId="41" xfId="0" applyNumberFormat="1" applyFont="1" applyFill="1" applyBorder="1" applyAlignment="1">
      <alignment horizontal="center" vertical="center"/>
    </xf>
    <xf numFmtId="182" fontId="0" fillId="0" borderId="87" xfId="0" applyNumberFormat="1" applyFont="1" applyBorder="1" applyAlignment="1">
      <alignment horizontal="center" vertical="center"/>
    </xf>
    <xf numFmtId="182" fontId="0" fillId="0" borderId="159" xfId="0" applyNumberFormat="1" applyFont="1" applyBorder="1" applyAlignment="1">
      <alignment horizontal="center" vertical="center"/>
    </xf>
    <xf numFmtId="182" fontId="0" fillId="0" borderId="88" xfId="0" applyNumberFormat="1" applyFont="1" applyBorder="1" applyAlignment="1">
      <alignment horizontal="center" vertical="center"/>
    </xf>
    <xf numFmtId="182" fontId="0" fillId="0" borderId="166" xfId="0" applyNumberFormat="1" applyFont="1" applyBorder="1" applyAlignment="1">
      <alignment horizontal="center" vertical="center"/>
    </xf>
    <xf numFmtId="182" fontId="0" fillId="0" borderId="157" xfId="0" applyNumberFormat="1" applyFont="1" applyBorder="1" applyAlignment="1">
      <alignment horizontal="center" vertical="center"/>
    </xf>
    <xf numFmtId="182" fontId="0" fillId="0" borderId="175" xfId="0" applyNumberFormat="1" applyFont="1" applyBorder="1" applyAlignment="1">
      <alignment horizontal="center" vertical="center"/>
    </xf>
    <xf numFmtId="182" fontId="0" fillId="0" borderId="83" xfId="0" applyNumberFormat="1" applyFont="1" applyBorder="1" applyAlignment="1">
      <alignment horizontal="center" vertical="center"/>
    </xf>
    <xf numFmtId="182" fontId="0" fillId="0" borderId="188" xfId="0" applyNumberFormat="1" applyFont="1" applyBorder="1" applyAlignment="1">
      <alignment horizontal="center" vertical="center"/>
    </xf>
    <xf numFmtId="182" fontId="0" fillId="0" borderId="84" xfId="0" applyNumberFormat="1" applyFont="1" applyBorder="1" applyAlignment="1">
      <alignment horizontal="center" vertical="center"/>
    </xf>
    <xf numFmtId="182" fontId="0" fillId="0" borderId="85" xfId="0" applyNumberFormat="1" applyFont="1" applyBorder="1" applyAlignment="1">
      <alignment horizontal="center" vertical="center"/>
    </xf>
    <xf numFmtId="182" fontId="0" fillId="0" borderId="189" xfId="0" applyNumberFormat="1" applyFont="1" applyBorder="1" applyAlignment="1">
      <alignment horizontal="center" vertical="center"/>
    </xf>
    <xf numFmtId="182" fontId="0" fillId="0" borderId="86" xfId="0" applyNumberFormat="1" applyFont="1" applyBorder="1" applyAlignment="1">
      <alignment horizontal="center" vertical="center"/>
    </xf>
    <xf numFmtId="182" fontId="0" fillId="0" borderId="152" xfId="0" applyNumberFormat="1" applyFont="1" applyBorder="1" applyAlignment="1">
      <alignment horizontal="center" vertical="center"/>
    </xf>
    <xf numFmtId="182" fontId="0" fillId="0" borderId="160" xfId="0" applyNumberFormat="1" applyFont="1" applyBorder="1" applyAlignment="1">
      <alignment horizontal="center" vertical="center"/>
    </xf>
    <xf numFmtId="182" fontId="0" fillId="0" borderId="153" xfId="0" applyNumberFormat="1" applyFont="1" applyBorder="1" applyAlignment="1">
      <alignment horizontal="center" vertical="center"/>
    </xf>
    <xf numFmtId="182" fontId="0" fillId="0" borderId="156" xfId="0" applyNumberFormat="1" applyFont="1" applyBorder="1" applyAlignment="1">
      <alignment horizontal="center" vertical="center"/>
    </xf>
    <xf numFmtId="182" fontId="0" fillId="0" borderId="90" xfId="0" applyNumberFormat="1" applyFont="1" applyBorder="1" applyAlignment="1">
      <alignment horizontal="center" vertical="center"/>
    </xf>
    <xf numFmtId="182" fontId="0" fillId="0" borderId="190" xfId="0" applyNumberFormat="1" applyFont="1" applyBorder="1" applyAlignment="1">
      <alignment horizontal="center" vertical="center"/>
    </xf>
    <xf numFmtId="182" fontId="0" fillId="0" borderId="13" xfId="0" applyNumberFormat="1" applyFont="1" applyBorder="1" applyAlignment="1">
      <alignment horizontal="center" vertical="center"/>
    </xf>
    <xf numFmtId="182" fontId="0" fillId="0" borderId="91" xfId="0" applyNumberFormat="1" applyFont="1" applyBorder="1" applyAlignment="1">
      <alignment horizontal="center" vertical="center"/>
    </xf>
    <xf numFmtId="182" fontId="0" fillId="0" borderId="150" xfId="0" applyNumberFormat="1" applyFont="1" applyBorder="1" applyAlignment="1">
      <alignment horizontal="center" vertical="center"/>
    </xf>
    <xf numFmtId="182" fontId="0" fillId="0" borderId="191" xfId="0" applyNumberFormat="1" applyFont="1" applyBorder="1" applyAlignment="1">
      <alignment horizontal="center" vertical="center"/>
    </xf>
    <xf numFmtId="182" fontId="0" fillId="0" borderId="152" xfId="0" applyNumberFormat="1" applyFont="1" applyFill="1" applyBorder="1" applyAlignment="1">
      <alignment horizontal="center" vertical="center"/>
    </xf>
    <xf numFmtId="182" fontId="0" fillId="0" borderId="170" xfId="0" applyNumberFormat="1" applyFont="1" applyBorder="1" applyAlignment="1">
      <alignment horizontal="center" vertical="center"/>
    </xf>
    <xf numFmtId="182" fontId="0" fillId="0" borderId="174" xfId="0" applyNumberFormat="1" applyFont="1" applyBorder="1" applyAlignment="1">
      <alignment horizontal="center" vertical="center"/>
    </xf>
    <xf numFmtId="182" fontId="0" fillId="0" borderId="171" xfId="0" applyNumberFormat="1" applyFont="1" applyBorder="1" applyAlignment="1">
      <alignment horizontal="center" vertical="center"/>
    </xf>
    <xf numFmtId="182" fontId="0" fillId="0" borderId="148" xfId="0" applyNumberFormat="1" applyFont="1" applyBorder="1" applyAlignment="1">
      <alignment horizontal="center" vertical="center"/>
    </xf>
    <xf numFmtId="182" fontId="0" fillId="0" borderId="137" xfId="0" applyNumberFormat="1" applyFont="1" applyBorder="1" applyAlignment="1">
      <alignment horizontal="center" vertical="center"/>
    </xf>
    <xf numFmtId="182" fontId="0" fillId="0" borderId="109" xfId="0" applyNumberFormat="1" applyFont="1" applyBorder="1" applyAlignment="1">
      <alignment horizontal="center" vertical="center"/>
    </xf>
    <xf numFmtId="182" fontId="0" fillId="0" borderId="19" xfId="0" applyNumberFormat="1" applyFont="1" applyBorder="1" applyAlignment="1">
      <alignment horizontal="center" vertical="center"/>
    </xf>
    <xf numFmtId="182" fontId="0" fillId="0" borderId="89" xfId="0" applyNumberFormat="1" applyFont="1" applyBorder="1" applyAlignment="1">
      <alignment horizontal="center" vertical="center"/>
    </xf>
    <xf numFmtId="182" fontId="0" fillId="0" borderId="75" xfId="0" applyNumberFormat="1" applyFont="1" applyBorder="1" applyAlignment="1">
      <alignment horizontal="center" vertical="center"/>
    </xf>
    <xf numFmtId="182" fontId="0" fillId="0" borderId="21" xfId="0" applyNumberFormat="1" applyFont="1" applyBorder="1" applyAlignment="1">
      <alignment horizontal="center" vertical="center"/>
    </xf>
    <xf numFmtId="182" fontId="0" fillId="0" borderId="17" xfId="0" applyNumberFormat="1" applyFont="1" applyBorder="1" applyAlignment="1">
      <alignment horizontal="center" vertical="center"/>
    </xf>
    <xf numFmtId="182" fontId="0" fillId="0" borderId="161" xfId="0" applyNumberFormat="1" applyFont="1" applyBorder="1" applyAlignment="1">
      <alignment horizontal="center" vertical="center"/>
    </xf>
    <xf numFmtId="182" fontId="0" fillId="0" borderId="206" xfId="0" applyNumberFormat="1" applyFont="1" applyBorder="1" applyAlignment="1">
      <alignment horizontal="center" vertical="center"/>
    </xf>
    <xf numFmtId="182" fontId="0" fillId="0" borderId="143" xfId="0" applyNumberFormat="1" applyFont="1" applyBorder="1" applyAlignment="1">
      <alignment horizontal="center" vertical="center"/>
    </xf>
    <xf numFmtId="182" fontId="0" fillId="0" borderId="144" xfId="0" applyNumberFormat="1" applyFont="1" applyBorder="1" applyAlignment="1">
      <alignment horizontal="center" vertical="center"/>
    </xf>
    <xf numFmtId="182" fontId="0" fillId="0" borderId="187" xfId="0" applyNumberFormat="1" applyFont="1" applyBorder="1" applyAlignment="1">
      <alignment horizontal="center" vertical="center"/>
    </xf>
    <xf numFmtId="0" fontId="0" fillId="0" borderId="34" xfId="0" applyNumberFormat="1" applyFont="1" applyFill="1" applyBorder="1" applyAlignment="1">
      <alignment horizontal="center" vertical="center"/>
    </xf>
    <xf numFmtId="189" fontId="5" fillId="9" borderId="75" xfId="0" applyNumberFormat="1" applyFont="1" applyFill="1" applyBorder="1" applyAlignment="1">
      <alignment horizontal="center" vertical="center"/>
    </xf>
    <xf numFmtId="189" fontId="5" fillId="9" borderId="28" xfId="0" applyNumberFormat="1" applyFont="1" applyFill="1" applyBorder="1" applyAlignment="1">
      <alignment horizontal="center" vertical="center"/>
    </xf>
    <xf numFmtId="189" fontId="5" fillId="9" borderId="107" xfId="0" applyNumberFormat="1" applyFont="1" applyFill="1" applyBorder="1" applyAlignment="1">
      <alignment horizontal="center" vertical="center"/>
    </xf>
    <xf numFmtId="189" fontId="5" fillId="9" borderId="78" xfId="0" applyNumberFormat="1" applyFont="1" applyFill="1" applyBorder="1" applyAlignment="1">
      <alignment horizontal="center" vertical="center"/>
    </xf>
    <xf numFmtId="0" fontId="0" fillId="0" borderId="70" xfId="0" applyNumberFormat="1" applyFont="1" applyBorder="1" applyAlignment="1">
      <alignment horizontal="center" vertical="center"/>
    </xf>
    <xf numFmtId="0" fontId="0" fillId="0" borderId="207" xfId="0" applyNumberFormat="1" applyFont="1" applyBorder="1" applyAlignment="1">
      <alignment horizontal="center" vertical="center"/>
    </xf>
    <xf numFmtId="0" fontId="0" fillId="11" borderId="10" xfId="0" applyNumberFormat="1" applyFont="1" applyFill="1" applyBorder="1" applyAlignment="1">
      <alignment horizontal="right" vertical="center"/>
    </xf>
    <xf numFmtId="0" fontId="0" fillId="0" borderId="99" xfId="0" applyNumberFormat="1" applyFont="1" applyBorder="1" applyAlignment="1">
      <alignment horizontal="left" vertical="center"/>
    </xf>
    <xf numFmtId="0" fontId="0" fillId="11" borderId="208" xfId="0" applyNumberFormat="1" applyFont="1" applyFill="1" applyBorder="1" applyAlignment="1">
      <alignment horizontal="right" vertical="center"/>
    </xf>
    <xf numFmtId="0" fontId="0" fillId="0" borderId="104" xfId="0" applyNumberFormat="1" applyFont="1" applyBorder="1" applyAlignment="1">
      <alignment horizontal="left" vertical="center"/>
    </xf>
    <xf numFmtId="181" fontId="0" fillId="9" borderId="10" xfId="0" applyNumberFormat="1" applyFont="1" applyFill="1" applyBorder="1" applyAlignment="1">
      <alignment horizontal="right" vertical="center"/>
    </xf>
    <xf numFmtId="181" fontId="0" fillId="9" borderId="208" xfId="0" applyNumberFormat="1" applyFont="1" applyFill="1" applyBorder="1" applyAlignment="1">
      <alignment horizontal="right" vertical="center"/>
    </xf>
    <xf numFmtId="177" fontId="0" fillId="9" borderId="10" xfId="0" applyNumberFormat="1" applyFont="1" applyFill="1" applyBorder="1" applyAlignment="1">
      <alignment horizontal="right" vertical="center"/>
    </xf>
    <xf numFmtId="177" fontId="0" fillId="9" borderId="208" xfId="0" applyNumberFormat="1" applyFont="1" applyFill="1" applyBorder="1" applyAlignment="1">
      <alignment horizontal="right" vertical="center"/>
    </xf>
    <xf numFmtId="0" fontId="0" fillId="0" borderId="10" xfId="0" applyNumberFormat="1" applyFont="1" applyBorder="1" applyAlignment="1">
      <alignment horizontal="right" vertical="center"/>
    </xf>
    <xf numFmtId="0" fontId="0" fillId="0" borderId="8" xfId="0" applyNumberFormat="1" applyFont="1" applyBorder="1" applyAlignment="1">
      <alignment horizontal="left" vertical="center"/>
    </xf>
    <xf numFmtId="0" fontId="0" fillId="0" borderId="208" xfId="0" applyNumberFormat="1" applyFont="1" applyBorder="1" applyAlignment="1">
      <alignment horizontal="right" vertical="center"/>
    </xf>
    <xf numFmtId="0" fontId="0" fillId="0" borderId="169" xfId="0" applyNumberFormat="1" applyFont="1" applyBorder="1" applyAlignment="1">
      <alignment horizontal="left" vertical="center"/>
    </xf>
    <xf numFmtId="0" fontId="0" fillId="0" borderId="28" xfId="0" applyNumberFormat="1" applyFont="1" applyFill="1" applyBorder="1" applyAlignment="1">
      <alignment horizontal="center" vertical="center"/>
    </xf>
    <xf numFmtId="0" fontId="2" fillId="0" borderId="209" xfId="0" applyNumberFormat="1" applyFont="1" applyFill="1" applyBorder="1" applyAlignment="1">
      <alignment horizontal="center" vertical="center"/>
    </xf>
    <xf numFmtId="0" fontId="2" fillId="0" borderId="210" xfId="0" applyNumberFormat="1" applyFont="1" applyFill="1" applyBorder="1" applyAlignment="1">
      <alignment horizontal="center" vertical="center"/>
    </xf>
    <xf numFmtId="0" fontId="2" fillId="0" borderId="211" xfId="0" applyNumberFormat="1" applyFont="1" applyFill="1" applyBorder="1" applyAlignment="1">
      <alignment horizontal="center" vertical="center"/>
    </xf>
    <xf numFmtId="0" fontId="2" fillId="0" borderId="212" xfId="0" applyNumberFormat="1" applyFont="1" applyFill="1" applyBorder="1" applyAlignment="1">
      <alignment horizontal="center" vertical="center"/>
    </xf>
    <xf numFmtId="0" fontId="2" fillId="0" borderId="213" xfId="0" applyNumberFormat="1" applyFont="1" applyFill="1" applyBorder="1" applyAlignment="1">
      <alignment horizontal="center" vertical="center"/>
    </xf>
    <xf numFmtId="0" fontId="2" fillId="0" borderId="214" xfId="0" applyNumberFormat="1" applyFont="1" applyFill="1" applyBorder="1" applyAlignment="1">
      <alignment horizontal="center" vertical="center"/>
    </xf>
    <xf numFmtId="0" fontId="15" fillId="0" borderId="16" xfId="0" applyNumberFormat="1" applyFont="1" applyFill="1" applyBorder="1" applyAlignment="1" applyProtection="1">
      <alignment vertical="center"/>
    </xf>
    <xf numFmtId="0" fontId="2" fillId="0" borderId="99" xfId="0" applyNumberFormat="1" applyFont="1" applyBorder="1" applyAlignment="1">
      <alignment horizontal="center" vertical="center"/>
    </xf>
    <xf numFmtId="0" fontId="2" fillId="0" borderId="137" xfId="0" applyNumberFormat="1" applyFont="1" applyBorder="1" applyAlignment="1">
      <alignment horizontal="center" vertical="center"/>
    </xf>
    <xf numFmtId="0" fontId="2" fillId="9" borderId="215" xfId="0" applyNumberFormat="1" applyFont="1" applyFill="1" applyBorder="1" applyAlignment="1">
      <alignment horizontal="center" vertical="center"/>
    </xf>
    <xf numFmtId="0" fontId="2" fillId="9" borderId="146" xfId="0" applyNumberFormat="1" applyFont="1" applyFill="1" applyBorder="1" applyAlignment="1">
      <alignment horizontal="center" vertical="center"/>
    </xf>
    <xf numFmtId="0" fontId="2" fillId="9" borderId="134" xfId="0" applyNumberFormat="1" applyFont="1" applyFill="1" applyBorder="1" applyAlignment="1">
      <alignment horizontal="center" vertical="center"/>
    </xf>
    <xf numFmtId="0" fontId="2" fillId="9" borderId="65" xfId="0" applyNumberFormat="1" applyFont="1" applyFill="1" applyBorder="1" applyAlignment="1">
      <alignment horizontal="center" vertical="center"/>
    </xf>
    <xf numFmtId="0" fontId="2" fillId="9" borderId="11" xfId="0" applyNumberFormat="1" applyFont="1" applyFill="1" applyBorder="1" applyAlignment="1">
      <alignment horizontal="center" vertical="center"/>
    </xf>
    <xf numFmtId="0" fontId="2" fillId="9" borderId="12" xfId="0" applyNumberFormat="1" applyFont="1" applyFill="1" applyBorder="1" applyAlignment="1">
      <alignment horizontal="center" vertical="center"/>
    </xf>
    <xf numFmtId="0" fontId="2" fillId="9" borderId="216" xfId="0" applyNumberFormat="1" applyFont="1" applyFill="1" applyBorder="1" applyAlignment="1">
      <alignment horizontal="center" vertical="center"/>
    </xf>
    <xf numFmtId="0" fontId="2" fillId="9" borderId="217" xfId="0" applyNumberFormat="1" applyFont="1" applyFill="1" applyBorder="1" applyAlignment="1">
      <alignment horizontal="center" vertical="center"/>
    </xf>
    <xf numFmtId="0" fontId="2" fillId="9" borderId="193" xfId="0" applyNumberFormat="1" applyFont="1" applyFill="1" applyBorder="1" applyAlignment="1">
      <alignment horizontal="center" vertical="center"/>
    </xf>
    <xf numFmtId="177" fontId="2" fillId="9" borderId="16" xfId="2" applyNumberFormat="1" applyFont="1" applyFill="1" applyBorder="1" applyAlignment="1" applyProtection="1">
      <alignment horizontal="center" vertical="center"/>
    </xf>
    <xf numFmtId="184" fontId="2" fillId="9" borderId="29" xfId="0" applyNumberFormat="1" applyFont="1" applyFill="1" applyBorder="1" applyAlignment="1">
      <alignment horizontal="center" vertical="center"/>
    </xf>
    <xf numFmtId="0" fontId="2" fillId="0" borderId="164" xfId="0" applyNumberFormat="1" applyFont="1" applyBorder="1" applyAlignment="1">
      <alignment horizontal="center" vertical="center"/>
    </xf>
    <xf numFmtId="0" fontId="2" fillId="0" borderId="31" xfId="0" applyNumberFormat="1" applyFont="1" applyBorder="1" applyAlignment="1">
      <alignment horizontal="center" vertical="center"/>
    </xf>
    <xf numFmtId="0" fontId="2" fillId="0" borderId="30" xfId="0" applyNumberFormat="1" applyFont="1" applyBorder="1" applyAlignment="1">
      <alignment horizontal="center" vertical="center"/>
    </xf>
    <xf numFmtId="0" fontId="2" fillId="12" borderId="109" xfId="0" applyNumberFormat="1" applyFont="1" applyFill="1" applyBorder="1" applyAlignment="1">
      <alignment horizontal="center" vertical="center"/>
    </xf>
    <xf numFmtId="0" fontId="2" fillId="12" borderId="19" xfId="0" applyNumberFormat="1" applyFont="1" applyFill="1" applyBorder="1" applyAlignment="1">
      <alignment horizontal="center" vertical="center"/>
    </xf>
    <xf numFmtId="0" fontId="2" fillId="12" borderId="20" xfId="0" applyNumberFormat="1" applyFont="1" applyFill="1" applyBorder="1" applyAlignment="1">
      <alignment horizontal="center" vertical="center"/>
    </xf>
    <xf numFmtId="0" fontId="2" fillId="13" borderId="152" xfId="0" applyNumberFormat="1" applyFont="1" applyFill="1" applyBorder="1" applyAlignment="1">
      <alignment horizontal="center" vertical="center"/>
    </xf>
    <xf numFmtId="0" fontId="2" fillId="13" borderId="153" xfId="0" applyNumberFormat="1" applyFont="1" applyFill="1" applyBorder="1" applyAlignment="1">
      <alignment horizontal="center" vertical="center"/>
    </xf>
    <xf numFmtId="0" fontId="2" fillId="13" borderId="154" xfId="0" applyNumberFormat="1" applyFont="1" applyFill="1" applyBorder="1" applyAlignment="1">
      <alignment horizontal="center" vertical="center"/>
    </xf>
    <xf numFmtId="0" fontId="2" fillId="0" borderId="90" xfId="0" applyNumberFormat="1" applyFont="1" applyFill="1" applyBorder="1" applyAlignment="1">
      <alignment horizontal="center" vertical="center"/>
    </xf>
    <xf numFmtId="0" fontId="2" fillId="0" borderId="13" xfId="0" applyNumberFormat="1" applyFont="1" applyFill="1" applyBorder="1" applyAlignment="1">
      <alignment horizontal="center" vertical="center"/>
    </xf>
    <xf numFmtId="0" fontId="2" fillId="0" borderId="14" xfId="0" applyNumberFormat="1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horizontal="center" vertical="center"/>
    </xf>
    <xf numFmtId="0" fontId="2" fillId="0" borderId="89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0" borderId="18" xfId="0" applyNumberFormat="1" applyFont="1" applyFill="1" applyBorder="1" applyAlignment="1">
      <alignment horizontal="center" vertical="center"/>
    </xf>
    <xf numFmtId="0" fontId="2" fillId="10" borderId="172" xfId="0" applyNumberFormat="1" applyFont="1" applyFill="1" applyBorder="1" applyAlignment="1">
      <alignment horizontal="center" vertical="center"/>
    </xf>
    <xf numFmtId="0" fontId="2" fillId="10" borderId="218" xfId="0" applyNumberFormat="1" applyFont="1" applyFill="1" applyBorder="1" applyAlignment="1">
      <alignment horizontal="center" vertical="center"/>
    </xf>
    <xf numFmtId="0" fontId="2" fillId="10" borderId="219" xfId="0" applyNumberFormat="1" applyFont="1" applyFill="1" applyBorder="1" applyAlignment="1">
      <alignment horizontal="center" vertical="center"/>
    </xf>
    <xf numFmtId="190" fontId="0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40" xfId="0" applyBorder="1" applyAlignment="1">
      <alignment vertical="center"/>
    </xf>
    <xf numFmtId="0" fontId="2" fillId="14" borderId="4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40" xfId="0" applyFont="1" applyBorder="1" applyAlignment="1">
      <alignment vertical="center"/>
    </xf>
    <xf numFmtId="0" fontId="2" fillId="15" borderId="40" xfId="0" applyFont="1" applyFill="1" applyBorder="1" applyAlignment="1">
      <alignment vertical="center"/>
    </xf>
    <xf numFmtId="0" fontId="2" fillId="16" borderId="40" xfId="0" applyFont="1" applyFill="1" applyBorder="1" applyAlignment="1">
      <alignment horizontal="center" vertical="center"/>
    </xf>
    <xf numFmtId="0" fontId="38" fillId="0" borderId="40" xfId="0" applyFont="1" applyBorder="1" applyAlignment="1">
      <alignment vertical="center"/>
    </xf>
    <xf numFmtId="0" fontId="39" fillId="0" borderId="4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0" fillId="17" borderId="229" xfId="0" applyFont="1" applyFill="1" applyBorder="1" applyAlignment="1">
      <alignment horizontal="center" wrapText="1"/>
    </xf>
    <xf numFmtId="0" fontId="40" fillId="17" borderId="230" xfId="0" applyFont="1" applyFill="1" applyBorder="1" applyAlignment="1">
      <alignment horizontal="center" wrapText="1"/>
    </xf>
    <xf numFmtId="0" fontId="40" fillId="17" borderId="231" xfId="0" applyFont="1" applyFill="1" applyBorder="1" applyAlignment="1">
      <alignment horizontal="center" wrapText="1"/>
    </xf>
    <xf numFmtId="0" fontId="41" fillId="0" borderId="0" xfId="0" applyFont="1" applyFill="1" applyAlignment="1" applyProtection="1">
      <alignment vertical="center"/>
    </xf>
    <xf numFmtId="0" fontId="41" fillId="0" borderId="0" xfId="0" applyFont="1" applyFill="1" applyAlignment="1" applyProtection="1">
      <alignment horizontal="center" vertical="center"/>
    </xf>
    <xf numFmtId="0" fontId="41" fillId="2" borderId="0" xfId="0" applyFont="1" applyFill="1" applyAlignment="1" applyProtection="1">
      <alignment horizontal="center" vertical="center"/>
    </xf>
    <xf numFmtId="0" fontId="41" fillId="0" borderId="0" xfId="0" applyFont="1" applyFill="1" applyAlignment="1" applyProtection="1">
      <alignment horizontal="left" vertical="center"/>
    </xf>
    <xf numFmtId="0" fontId="41" fillId="3" borderId="0" xfId="0" applyFont="1" applyFill="1" applyAlignment="1" applyProtection="1">
      <alignment horizontal="center" vertical="center"/>
    </xf>
    <xf numFmtId="0" fontId="41" fillId="0" borderId="0" xfId="0" applyFont="1" applyFill="1" applyAlignment="1" applyProtection="1">
      <alignment horizontal="right" vertical="center"/>
    </xf>
    <xf numFmtId="0" fontId="41" fillId="0" borderId="0" xfId="0" applyFont="1" applyFill="1" applyAlignment="1">
      <alignment vertical="center"/>
    </xf>
    <xf numFmtId="0" fontId="41" fillId="0" borderId="232" xfId="0" applyFont="1" applyFill="1" applyBorder="1" applyAlignment="1">
      <alignment vertical="center"/>
    </xf>
    <xf numFmtId="0" fontId="41" fillId="0" borderId="146" xfId="0" applyFont="1" applyFill="1" applyBorder="1" applyAlignment="1">
      <alignment vertical="center"/>
    </xf>
    <xf numFmtId="0" fontId="41" fillId="2" borderId="146" xfId="0" applyFont="1" applyFill="1" applyBorder="1" applyAlignment="1">
      <alignment horizontal="center" vertical="center"/>
    </xf>
    <xf numFmtId="0" fontId="41" fillId="0" borderId="146" xfId="0" applyFont="1" applyFill="1" applyBorder="1" applyAlignment="1">
      <alignment horizontal="center" vertical="center"/>
    </xf>
    <xf numFmtId="0" fontId="41" fillId="0" borderId="134" xfId="0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41" fillId="0" borderId="11" xfId="0" applyFont="1" applyFill="1" applyBorder="1" applyAlignment="1">
      <alignment horizontal="center" vertical="center"/>
    </xf>
    <xf numFmtId="0" fontId="28" fillId="0" borderId="63" xfId="0" applyFont="1" applyFill="1" applyBorder="1" applyAlignment="1" applyProtection="1">
      <alignment vertical="center"/>
    </xf>
    <xf numFmtId="0" fontId="28" fillId="0" borderId="148" xfId="0" applyFont="1" applyFill="1" applyBorder="1" applyAlignment="1" applyProtection="1">
      <alignment vertical="center"/>
    </xf>
    <xf numFmtId="0" fontId="28" fillId="0" borderId="19" xfId="0" applyFont="1" applyFill="1" applyBorder="1" applyAlignment="1" applyProtection="1">
      <alignment vertical="center"/>
    </xf>
    <xf numFmtId="0" fontId="28" fillId="0" borderId="20" xfId="0" applyFont="1" applyFill="1" applyBorder="1" applyAlignment="1" applyProtection="1">
      <alignment vertical="center"/>
    </xf>
    <xf numFmtId="0" fontId="28" fillId="0" borderId="27" xfId="0" applyFont="1" applyFill="1" applyBorder="1" applyAlignment="1" applyProtection="1">
      <alignment vertical="center"/>
    </xf>
    <xf numFmtId="0" fontId="28" fillId="0" borderId="89" xfId="0" applyFont="1" applyFill="1" applyBorder="1" applyAlignment="1" applyProtection="1">
      <alignment vertical="center"/>
    </xf>
    <xf numFmtId="0" fontId="28" fillId="0" borderId="17" xfId="0" applyFont="1" applyFill="1" applyBorder="1" applyAlignment="1" applyProtection="1">
      <alignment vertical="center"/>
    </xf>
    <xf numFmtId="0" fontId="28" fillId="0" borderId="28" xfId="0" applyFont="1" applyFill="1" applyBorder="1" applyAlignment="1" applyProtection="1">
      <alignment vertical="center"/>
    </xf>
    <xf numFmtId="0" fontId="28" fillId="0" borderId="33" xfId="0" applyFont="1" applyFill="1" applyBorder="1" applyAlignment="1" applyProtection="1">
      <alignment vertical="center"/>
    </xf>
    <xf numFmtId="0" fontId="28" fillId="0" borderId="18" xfId="0" applyFont="1" applyFill="1" applyBorder="1" applyAlignment="1" applyProtection="1">
      <alignment vertical="center"/>
    </xf>
    <xf numFmtId="0" fontId="41" fillId="0" borderId="27" xfId="0" applyFont="1" applyFill="1" applyBorder="1" applyAlignment="1" applyProtection="1">
      <alignment vertical="center"/>
    </xf>
    <xf numFmtId="1" fontId="41" fillId="0" borderId="17" xfId="0" applyNumberFormat="1" applyFont="1" applyFill="1" applyBorder="1" applyAlignment="1" applyProtection="1">
      <alignment vertical="center"/>
    </xf>
    <xf numFmtId="1" fontId="28" fillId="0" borderId="17" xfId="0" applyNumberFormat="1" applyFont="1" applyFill="1" applyBorder="1" applyAlignment="1" applyProtection="1">
      <alignment vertical="center"/>
    </xf>
    <xf numFmtId="1" fontId="28" fillId="0" borderId="28" xfId="0" applyNumberFormat="1" applyFont="1" applyFill="1" applyBorder="1" applyAlignment="1" applyProtection="1">
      <alignment vertical="center"/>
    </xf>
    <xf numFmtId="1" fontId="28" fillId="0" borderId="33" xfId="0" applyNumberFormat="1" applyFont="1" applyFill="1" applyBorder="1" applyAlignment="1" applyProtection="1">
      <alignment vertical="center"/>
    </xf>
    <xf numFmtId="1" fontId="28" fillId="0" borderId="18" xfId="0" applyNumberFormat="1" applyFont="1" applyFill="1" applyBorder="1" applyAlignment="1" applyProtection="1">
      <alignment vertical="center"/>
    </xf>
    <xf numFmtId="189" fontId="28" fillId="0" borderId="17" xfId="0" applyNumberFormat="1" applyFont="1" applyFill="1" applyBorder="1" applyAlignment="1" applyProtection="1">
      <alignment vertical="center"/>
    </xf>
    <xf numFmtId="189" fontId="28" fillId="0" borderId="28" xfId="0" applyNumberFormat="1" applyFont="1" applyFill="1" applyBorder="1" applyAlignment="1" applyProtection="1">
      <alignment vertical="center"/>
    </xf>
    <xf numFmtId="189" fontId="28" fillId="0" borderId="33" xfId="0" applyNumberFormat="1" applyFont="1" applyFill="1" applyBorder="1" applyAlignment="1" applyProtection="1">
      <alignment vertical="center"/>
    </xf>
    <xf numFmtId="189" fontId="28" fillId="0" borderId="18" xfId="0" applyNumberFormat="1" applyFont="1" applyFill="1" applyBorder="1" applyAlignment="1" applyProtection="1">
      <alignment vertical="center"/>
    </xf>
    <xf numFmtId="0" fontId="41" fillId="0" borderId="17" xfId="0" applyFont="1" applyFill="1" applyBorder="1" applyAlignment="1" applyProtection="1">
      <alignment vertical="center"/>
    </xf>
    <xf numFmtId="0" fontId="41" fillId="0" borderId="28" xfId="0" applyFont="1" applyFill="1" applyBorder="1" applyAlignment="1" applyProtection="1">
      <alignment vertical="center"/>
    </xf>
    <xf numFmtId="0" fontId="41" fillId="0" borderId="33" xfId="0" applyFont="1" applyFill="1" applyBorder="1" applyAlignment="1" applyProtection="1">
      <alignment vertical="center"/>
    </xf>
    <xf numFmtId="0" fontId="41" fillId="0" borderId="18" xfId="0" applyFont="1" applyFill="1" applyBorder="1" applyAlignment="1" applyProtection="1">
      <alignment vertical="center"/>
    </xf>
    <xf numFmtId="183" fontId="41" fillId="0" borderId="17" xfId="0" applyNumberFormat="1" applyFont="1" applyFill="1" applyBorder="1" applyAlignment="1" applyProtection="1">
      <alignment vertical="center"/>
    </xf>
    <xf numFmtId="183" fontId="41" fillId="0" borderId="28" xfId="0" applyNumberFormat="1" applyFont="1" applyFill="1" applyBorder="1" applyAlignment="1" applyProtection="1">
      <alignment vertical="center"/>
    </xf>
    <xf numFmtId="183" fontId="41" fillId="0" borderId="33" xfId="0" applyNumberFormat="1" applyFont="1" applyFill="1" applyBorder="1" applyAlignment="1" applyProtection="1">
      <alignment vertical="center"/>
    </xf>
    <xf numFmtId="183" fontId="41" fillId="0" borderId="18" xfId="0" applyNumberFormat="1" applyFont="1" applyFill="1" applyBorder="1" applyAlignment="1" applyProtection="1">
      <alignment vertical="center"/>
    </xf>
    <xf numFmtId="183" fontId="28" fillId="0" borderId="17" xfId="0" applyNumberFormat="1" applyFont="1" applyFill="1" applyBorder="1" applyAlignment="1" applyProtection="1">
      <alignment vertical="center"/>
    </xf>
    <xf numFmtId="183" fontId="28" fillId="0" borderId="28" xfId="0" applyNumberFormat="1" applyFont="1" applyFill="1" applyBorder="1" applyAlignment="1" applyProtection="1">
      <alignment vertical="center"/>
    </xf>
    <xf numFmtId="183" fontId="28" fillId="0" borderId="33" xfId="0" applyNumberFormat="1" applyFont="1" applyFill="1" applyBorder="1" applyAlignment="1" applyProtection="1">
      <alignment vertical="center"/>
    </xf>
    <xf numFmtId="183" fontId="28" fillId="0" borderId="18" xfId="0" applyNumberFormat="1" applyFont="1" applyFill="1" applyBorder="1" applyAlignment="1" applyProtection="1">
      <alignment vertical="center"/>
    </xf>
    <xf numFmtId="0" fontId="28" fillId="0" borderId="64" xfId="0" applyFont="1" applyFill="1" applyBorder="1" applyAlignment="1" applyProtection="1">
      <alignment vertical="center"/>
    </xf>
    <xf numFmtId="0" fontId="28" fillId="0" borderId="24" xfId="0" applyFont="1" applyFill="1" applyBorder="1" applyAlignment="1" applyProtection="1">
      <alignment vertical="center"/>
    </xf>
    <xf numFmtId="0" fontId="28" fillId="0" borderId="78" xfId="0" applyFont="1" applyFill="1" applyBorder="1" applyAlignment="1" applyProtection="1">
      <alignment vertical="center"/>
    </xf>
    <xf numFmtId="0" fontId="28" fillId="0" borderId="35" xfId="0" applyFont="1" applyFill="1" applyBorder="1" applyAlignment="1" applyProtection="1">
      <alignment vertical="center"/>
    </xf>
    <xf numFmtId="0" fontId="28" fillId="0" borderId="25" xfId="0" applyFont="1" applyFill="1" applyBorder="1" applyAlignment="1" applyProtection="1">
      <alignment vertical="center"/>
    </xf>
    <xf numFmtId="0" fontId="41" fillId="0" borderId="45" xfId="0" applyFont="1" applyFill="1" applyBorder="1" applyAlignment="1" applyProtection="1">
      <alignment vertical="center"/>
    </xf>
    <xf numFmtId="0" fontId="28" fillId="0" borderId="217" xfId="0" applyFont="1" applyFill="1" applyBorder="1" applyAlignment="1" applyProtection="1">
      <alignment vertical="center"/>
    </xf>
    <xf numFmtId="0" fontId="28" fillId="0" borderId="220" xfId="0" applyFont="1" applyFill="1" applyBorder="1" applyAlignment="1" applyProtection="1">
      <alignment vertical="center"/>
    </xf>
    <xf numFmtId="0" fontId="28" fillId="0" borderId="192" xfId="0" applyFont="1" applyFill="1" applyBorder="1" applyAlignment="1" applyProtection="1">
      <alignment vertical="center"/>
    </xf>
    <xf numFmtId="0" fontId="28" fillId="0" borderId="193" xfId="0" applyFont="1" applyFill="1" applyBorder="1" applyAlignment="1" applyProtection="1">
      <alignment vertical="center"/>
    </xf>
    <xf numFmtId="179" fontId="28" fillId="0" borderId="89" xfId="0" applyNumberFormat="1" applyFont="1" applyFill="1" applyBorder="1" applyAlignment="1" applyProtection="1">
      <alignment vertical="center"/>
    </xf>
    <xf numFmtId="179" fontId="28" fillId="0" borderId="17" xfId="0" applyNumberFormat="1" applyFont="1" applyFill="1" applyBorder="1" applyAlignment="1" applyProtection="1">
      <alignment vertical="center"/>
    </xf>
    <xf numFmtId="179" fontId="28" fillId="0" borderId="28" xfId="0" applyNumberFormat="1" applyFont="1" applyFill="1" applyBorder="1" applyAlignment="1" applyProtection="1">
      <alignment vertical="center"/>
    </xf>
    <xf numFmtId="179" fontId="28" fillId="0" borderId="33" xfId="0" applyNumberFormat="1" applyFont="1" applyFill="1" applyBorder="1" applyAlignment="1" applyProtection="1">
      <alignment vertical="center"/>
    </xf>
    <xf numFmtId="179" fontId="28" fillId="0" borderId="18" xfId="0" applyNumberFormat="1" applyFont="1" applyFill="1" applyBorder="1" applyAlignment="1" applyProtection="1">
      <alignment vertical="center"/>
    </xf>
    <xf numFmtId="179" fontId="41" fillId="0" borderId="89" xfId="0" applyNumberFormat="1" applyFont="1" applyFill="1" applyBorder="1" applyAlignment="1" applyProtection="1">
      <alignment vertical="center"/>
    </xf>
    <xf numFmtId="179" fontId="41" fillId="0" borderId="0" xfId="0" applyNumberFormat="1" applyFont="1" applyFill="1" applyBorder="1" applyAlignment="1" applyProtection="1">
      <alignment vertical="center"/>
    </xf>
    <xf numFmtId="179" fontId="41" fillId="0" borderId="17" xfId="0" applyNumberFormat="1" applyFont="1" applyFill="1" applyBorder="1" applyAlignment="1" applyProtection="1">
      <alignment vertical="center"/>
    </xf>
    <xf numFmtId="0" fontId="28" fillId="0" borderId="17" xfId="0" applyFont="1" applyFill="1" applyBorder="1" applyAlignment="1" applyProtection="1">
      <alignment horizontal="right" vertical="center"/>
    </xf>
    <xf numFmtId="0" fontId="28" fillId="0" borderId="28" xfId="0" applyFont="1" applyFill="1" applyBorder="1" applyAlignment="1" applyProtection="1">
      <alignment horizontal="right" vertical="center"/>
    </xf>
    <xf numFmtId="0" fontId="28" fillId="0" borderId="33" xfId="0" applyFont="1" applyFill="1" applyBorder="1" applyAlignment="1" applyProtection="1">
      <alignment horizontal="right" vertical="center"/>
    </xf>
    <xf numFmtId="0" fontId="28" fillId="0" borderId="18" xfId="0" applyFont="1" applyFill="1" applyBorder="1" applyAlignment="1" applyProtection="1">
      <alignment horizontal="right" vertical="center"/>
    </xf>
    <xf numFmtId="0" fontId="28" fillId="0" borderId="17" xfId="0" applyFont="1" applyFill="1" applyBorder="1" applyAlignment="1" applyProtection="1">
      <alignment horizontal="center" vertical="center"/>
    </xf>
    <xf numFmtId="0" fontId="28" fillId="0" borderId="28" xfId="0" applyFont="1" applyFill="1" applyBorder="1" applyAlignment="1" applyProtection="1">
      <alignment horizontal="center" vertical="center"/>
    </xf>
    <xf numFmtId="0" fontId="44" fillId="3" borderId="89" xfId="0" applyFont="1" applyFill="1" applyBorder="1" applyAlignment="1" applyProtection="1">
      <alignment horizontal="center" vertical="center"/>
      <protection locked="0"/>
    </xf>
    <xf numFmtId="0" fontId="28" fillId="0" borderId="33" xfId="0" applyFont="1" applyFill="1" applyBorder="1" applyAlignment="1" applyProtection="1">
      <alignment horizontal="center" vertical="center"/>
    </xf>
    <xf numFmtId="0" fontId="28" fillId="0" borderId="18" xfId="0" applyFont="1" applyFill="1" applyBorder="1" applyAlignment="1" applyProtection="1">
      <alignment horizontal="center" vertical="center"/>
    </xf>
    <xf numFmtId="181" fontId="28" fillId="0" borderId="17" xfId="0" applyNumberFormat="1" applyFont="1" applyFill="1" applyBorder="1" applyAlignment="1" applyProtection="1">
      <alignment horizontal="center" vertical="center"/>
    </xf>
    <xf numFmtId="181" fontId="28" fillId="0" borderId="28" xfId="0" applyNumberFormat="1" applyFont="1" applyFill="1" applyBorder="1" applyAlignment="1" applyProtection="1">
      <alignment horizontal="center" vertical="center"/>
    </xf>
    <xf numFmtId="181" fontId="28" fillId="0" borderId="33" xfId="0" applyNumberFormat="1" applyFont="1" applyFill="1" applyBorder="1" applyAlignment="1" applyProtection="1">
      <alignment horizontal="center" vertical="center"/>
    </xf>
    <xf numFmtId="181" fontId="28" fillId="0" borderId="18" xfId="0" applyNumberFormat="1" applyFont="1" applyFill="1" applyBorder="1" applyAlignment="1" applyProtection="1">
      <alignment horizontal="center" vertical="center"/>
    </xf>
    <xf numFmtId="181" fontId="28" fillId="0" borderId="24" xfId="0" applyNumberFormat="1" applyFont="1" applyFill="1" applyBorder="1" applyAlignment="1" applyProtection="1">
      <alignment horizontal="center" vertical="center"/>
    </xf>
    <xf numFmtId="181" fontId="28" fillId="0" borderId="78" xfId="0" applyNumberFormat="1" applyFont="1" applyFill="1" applyBorder="1" applyAlignment="1" applyProtection="1">
      <alignment horizontal="center" vertical="center"/>
    </xf>
    <xf numFmtId="181" fontId="28" fillId="0" borderId="35" xfId="0" applyNumberFormat="1" applyFont="1" applyFill="1" applyBorder="1" applyAlignment="1" applyProtection="1">
      <alignment horizontal="center" vertical="center"/>
    </xf>
    <xf numFmtId="181" fontId="28" fillId="0" borderId="25" xfId="0" applyNumberFormat="1" applyFont="1" applyFill="1" applyBorder="1" applyAlignment="1" applyProtection="1">
      <alignment horizontal="center" vertical="center"/>
    </xf>
    <xf numFmtId="0" fontId="28" fillId="0" borderId="89" xfId="0" applyFont="1" applyFill="1" applyBorder="1" applyAlignment="1">
      <alignment vertical="center"/>
    </xf>
    <xf numFmtId="0" fontId="28" fillId="0" borderId="217" xfId="0" applyFont="1" applyFill="1" applyBorder="1" applyAlignment="1" applyProtection="1">
      <alignment horizontal="center" vertical="center"/>
    </xf>
    <xf numFmtId="0" fontId="28" fillId="0" borderId="220" xfId="0" applyFont="1" applyFill="1" applyBorder="1" applyAlignment="1" applyProtection="1">
      <alignment horizontal="center" vertical="center"/>
    </xf>
    <xf numFmtId="0" fontId="28" fillId="0" borderId="192" xfId="0" applyFont="1" applyFill="1" applyBorder="1" applyAlignment="1" applyProtection="1">
      <alignment horizontal="center" vertical="center"/>
    </xf>
    <xf numFmtId="0" fontId="28" fillId="0" borderId="193" xfId="0" applyFont="1" applyFill="1" applyBorder="1" applyAlignment="1" applyProtection="1">
      <alignment horizontal="center" vertical="center"/>
    </xf>
    <xf numFmtId="179" fontId="28" fillId="0" borderId="0" xfId="0" applyNumberFormat="1" applyFont="1" applyFill="1" applyBorder="1" applyAlignment="1" applyProtection="1">
      <alignment vertical="center"/>
    </xf>
    <xf numFmtId="1" fontId="41" fillId="3" borderId="17" xfId="0" applyNumberFormat="1" applyFont="1" applyFill="1" applyBorder="1" applyAlignment="1" applyProtection="1">
      <alignment horizontal="center" vertical="center"/>
    </xf>
    <xf numFmtId="179" fontId="28" fillId="0" borderId="17" xfId="0" applyNumberFormat="1" applyFont="1" applyFill="1" applyBorder="1" applyAlignment="1" applyProtection="1">
      <alignment horizontal="center" vertical="center"/>
    </xf>
    <xf numFmtId="0" fontId="44" fillId="3" borderId="17" xfId="0" applyFont="1" applyFill="1" applyBorder="1" applyAlignment="1" applyProtection="1">
      <alignment horizontal="center" vertical="center"/>
    </xf>
    <xf numFmtId="0" fontId="44" fillId="3" borderId="28" xfId="0" applyFont="1" applyFill="1" applyBorder="1" applyAlignment="1" applyProtection="1">
      <alignment horizontal="center" vertical="center"/>
    </xf>
    <xf numFmtId="0" fontId="44" fillId="3" borderId="33" xfId="0" applyFont="1" applyFill="1" applyBorder="1" applyAlignment="1" applyProtection="1">
      <alignment horizontal="center" vertical="center"/>
    </xf>
    <xf numFmtId="0" fontId="44" fillId="3" borderId="18" xfId="0" applyFont="1" applyFill="1" applyBorder="1" applyAlignment="1" applyProtection="1">
      <alignment horizontal="center" vertical="center"/>
    </xf>
    <xf numFmtId="183" fontId="28" fillId="0" borderId="17" xfId="0" applyNumberFormat="1" applyFont="1" applyFill="1" applyBorder="1" applyAlignment="1" applyProtection="1">
      <alignment horizontal="center" vertical="center"/>
    </xf>
    <xf numFmtId="183" fontId="28" fillId="0" borderId="28" xfId="0" applyNumberFormat="1" applyFont="1" applyFill="1" applyBorder="1" applyAlignment="1" applyProtection="1">
      <alignment horizontal="center" vertical="center"/>
    </xf>
    <xf numFmtId="183" fontId="28" fillId="0" borderId="33" xfId="0" applyNumberFormat="1" applyFont="1" applyFill="1" applyBorder="1" applyAlignment="1" applyProtection="1">
      <alignment horizontal="center" vertical="center"/>
    </xf>
    <xf numFmtId="183" fontId="28" fillId="0" borderId="18" xfId="0" applyNumberFormat="1" applyFont="1" applyFill="1" applyBorder="1" applyAlignment="1" applyProtection="1">
      <alignment horizontal="center" vertical="center"/>
    </xf>
    <xf numFmtId="0" fontId="44" fillId="3" borderId="17" xfId="0" applyFont="1" applyFill="1" applyBorder="1" applyAlignment="1" applyProtection="1">
      <alignment horizontal="center" vertical="center"/>
      <protection locked="0"/>
    </xf>
    <xf numFmtId="0" fontId="44" fillId="3" borderId="33" xfId="0" applyFont="1" applyFill="1" applyBorder="1" applyAlignment="1" applyProtection="1">
      <alignment horizontal="center" vertical="center"/>
      <protection locked="0"/>
    </xf>
    <xf numFmtId="0" fontId="44" fillId="3" borderId="18" xfId="0" applyFont="1" applyFill="1" applyBorder="1" applyAlignment="1" applyProtection="1">
      <alignment horizontal="center" vertical="center"/>
      <protection locked="0"/>
    </xf>
    <xf numFmtId="0" fontId="44" fillId="3" borderId="89" xfId="0" applyFont="1" applyFill="1" applyBorder="1" applyAlignment="1" applyProtection="1">
      <alignment horizontal="center" vertical="center"/>
    </xf>
    <xf numFmtId="0" fontId="28" fillId="0" borderId="17" xfId="0" applyFont="1" applyFill="1" applyBorder="1" applyAlignment="1">
      <alignment vertical="center"/>
    </xf>
    <xf numFmtId="0" fontId="28" fillId="0" borderId="17" xfId="0" applyFont="1" applyFill="1" applyBorder="1" applyAlignment="1">
      <alignment horizontal="right" vertical="center"/>
    </xf>
    <xf numFmtId="0" fontId="28" fillId="0" borderId="17" xfId="0" applyFont="1" applyFill="1" applyBorder="1" applyAlignment="1">
      <alignment horizontal="center" vertical="center"/>
    </xf>
    <xf numFmtId="0" fontId="28" fillId="0" borderId="0" xfId="0" applyFont="1" applyFill="1" applyBorder="1" applyAlignment="1" applyProtection="1">
      <alignment vertical="center"/>
    </xf>
    <xf numFmtId="0" fontId="15" fillId="0" borderId="15" xfId="0" applyFont="1" applyBorder="1" applyAlignment="1" applyProtection="1">
      <alignment vertical="center"/>
    </xf>
    <xf numFmtId="180" fontId="22" fillId="3" borderId="17" xfId="0" applyNumberFormat="1" applyFont="1" applyFill="1" applyBorder="1" applyAlignment="1" applyProtection="1">
      <alignment vertical="center"/>
    </xf>
    <xf numFmtId="180" fontId="22" fillId="3" borderId="89" xfId="0" applyNumberFormat="1" applyFont="1" applyFill="1" applyBorder="1" applyAlignment="1" applyProtection="1">
      <alignment vertical="center"/>
    </xf>
    <xf numFmtId="180" fontId="22" fillId="3" borderId="33" xfId="0" applyNumberFormat="1" applyFont="1" applyFill="1" applyBorder="1" applyAlignment="1" applyProtection="1">
      <alignment vertical="center"/>
    </xf>
    <xf numFmtId="180" fontId="22" fillId="3" borderId="18" xfId="0" applyNumberFormat="1" applyFont="1" applyFill="1" applyBorder="1" applyAlignment="1" applyProtection="1">
      <alignment vertical="center"/>
    </xf>
    <xf numFmtId="0" fontId="41" fillId="18" borderId="27" xfId="0" applyFont="1" applyFill="1" applyBorder="1" applyAlignment="1" applyProtection="1">
      <alignment vertical="center"/>
    </xf>
    <xf numFmtId="0" fontId="41" fillId="18" borderId="89" xfId="0" applyFont="1" applyFill="1" applyBorder="1" applyAlignment="1" applyProtection="1">
      <alignment horizontal="center" vertical="center"/>
    </xf>
    <xf numFmtId="0" fontId="41" fillId="18" borderId="0" xfId="0" applyFont="1" applyFill="1" applyBorder="1" applyAlignment="1" applyProtection="1">
      <alignment horizontal="center" vertical="center"/>
    </xf>
    <xf numFmtId="0" fontId="41" fillId="18" borderId="18" xfId="0" applyFont="1" applyFill="1" applyBorder="1" applyAlignment="1" applyProtection="1">
      <alignment horizontal="center" vertical="center"/>
    </xf>
    <xf numFmtId="0" fontId="41" fillId="2" borderId="17" xfId="0" applyFont="1" applyFill="1" applyBorder="1" applyAlignment="1" applyProtection="1">
      <alignment vertical="center"/>
    </xf>
    <xf numFmtId="0" fontId="28" fillId="0" borderId="24" xfId="0" applyFont="1" applyFill="1" applyBorder="1" applyAlignment="1" applyProtection="1">
      <alignment horizontal="center" vertical="center"/>
    </xf>
    <xf numFmtId="0" fontId="28" fillId="0" borderId="78" xfId="0" applyFont="1" applyFill="1" applyBorder="1" applyAlignment="1" applyProtection="1">
      <alignment horizontal="center" vertical="center"/>
    </xf>
    <xf numFmtId="0" fontId="28" fillId="0" borderId="35" xfId="0" applyFont="1" applyFill="1" applyBorder="1" applyAlignment="1" applyProtection="1">
      <alignment horizontal="center" vertical="center"/>
    </xf>
    <xf numFmtId="0" fontId="28" fillId="0" borderId="25" xfId="0" applyFont="1" applyFill="1" applyBorder="1" applyAlignment="1" applyProtection="1">
      <alignment horizontal="center" vertical="center"/>
    </xf>
    <xf numFmtId="179" fontId="28" fillId="0" borderId="17" xfId="0" applyNumberFormat="1" applyFont="1" applyFill="1" applyBorder="1" applyAlignment="1">
      <alignment vertical="center"/>
    </xf>
    <xf numFmtId="179" fontId="28" fillId="0" borderId="28" xfId="0" applyNumberFormat="1" applyFont="1" applyFill="1" applyBorder="1" applyAlignment="1">
      <alignment vertical="center"/>
    </xf>
    <xf numFmtId="179" fontId="28" fillId="0" borderId="33" xfId="0" applyNumberFormat="1" applyFont="1" applyFill="1" applyBorder="1" applyAlignment="1">
      <alignment vertical="center"/>
    </xf>
    <xf numFmtId="179" fontId="28" fillId="0" borderId="18" xfId="0" applyNumberFormat="1" applyFont="1" applyFill="1" applyBorder="1" applyAlignment="1">
      <alignment vertical="center"/>
    </xf>
    <xf numFmtId="0" fontId="28" fillId="0" borderId="27" xfId="0" applyFont="1" applyFill="1" applyBorder="1" applyAlignment="1">
      <alignment vertical="center"/>
    </xf>
    <xf numFmtId="2" fontId="28" fillId="0" borderId="17" xfId="0" applyNumberFormat="1" applyFont="1" applyFill="1" applyBorder="1" applyAlignment="1">
      <alignment vertical="center"/>
    </xf>
    <xf numFmtId="2" fontId="28" fillId="0" borderId="28" xfId="0" applyNumberFormat="1" applyFont="1" applyFill="1" applyBorder="1" applyAlignment="1">
      <alignment vertical="center"/>
    </xf>
    <xf numFmtId="2" fontId="28" fillId="0" borderId="33" xfId="0" applyNumberFormat="1" applyFont="1" applyFill="1" applyBorder="1" applyAlignment="1">
      <alignment vertical="center"/>
    </xf>
    <xf numFmtId="2" fontId="28" fillId="0" borderId="18" xfId="0" applyNumberFormat="1" applyFont="1" applyFill="1" applyBorder="1" applyAlignment="1">
      <alignment vertical="center"/>
    </xf>
    <xf numFmtId="0" fontId="28" fillId="0" borderId="27" xfId="0" applyFont="1" applyFill="1" applyBorder="1" applyAlignment="1">
      <alignment vertical="center" shrinkToFit="1"/>
    </xf>
    <xf numFmtId="1" fontId="41" fillId="2" borderId="17" xfId="0" applyNumberFormat="1" applyFont="1" applyFill="1" applyBorder="1" applyAlignment="1">
      <alignment vertical="center"/>
    </xf>
    <xf numFmtId="1" fontId="41" fillId="2" borderId="28" xfId="0" applyNumberFormat="1" applyFont="1" applyFill="1" applyBorder="1" applyAlignment="1">
      <alignment vertical="center"/>
    </xf>
    <xf numFmtId="1" fontId="41" fillId="2" borderId="33" xfId="0" applyNumberFormat="1" applyFont="1" applyFill="1" applyBorder="1" applyAlignment="1">
      <alignment vertical="center"/>
    </xf>
    <xf numFmtId="1" fontId="41" fillId="2" borderId="18" xfId="0" applyNumberFormat="1" applyFont="1" applyFill="1" applyBorder="1" applyAlignment="1">
      <alignment vertical="center"/>
    </xf>
    <xf numFmtId="0" fontId="41" fillId="0" borderId="27" xfId="0" applyFont="1" applyFill="1" applyBorder="1" applyAlignment="1">
      <alignment vertical="center"/>
    </xf>
    <xf numFmtId="1" fontId="41" fillId="0" borderId="17" xfId="0" applyNumberFormat="1" applyFont="1" applyFill="1" applyBorder="1" applyAlignment="1">
      <alignment vertical="center"/>
    </xf>
    <xf numFmtId="1" fontId="41" fillId="0" borderId="28" xfId="0" applyNumberFormat="1" applyFont="1" applyFill="1" applyBorder="1" applyAlignment="1">
      <alignment vertical="center"/>
    </xf>
    <xf numFmtId="1" fontId="41" fillId="0" borderId="33" xfId="0" applyNumberFormat="1" applyFont="1" applyFill="1" applyBorder="1" applyAlignment="1">
      <alignment vertical="center"/>
    </xf>
    <xf numFmtId="1" fontId="41" fillId="0" borderId="18" xfId="0" applyNumberFormat="1" applyFont="1" applyFill="1" applyBorder="1" applyAlignment="1">
      <alignment vertical="center"/>
    </xf>
    <xf numFmtId="1" fontId="28" fillId="0" borderId="17" xfId="0" applyNumberFormat="1" applyFont="1" applyFill="1" applyBorder="1" applyAlignment="1">
      <alignment vertical="center"/>
    </xf>
    <xf numFmtId="1" fontId="28" fillId="0" borderId="28" xfId="0" applyNumberFormat="1" applyFont="1" applyFill="1" applyBorder="1" applyAlignment="1">
      <alignment vertical="center"/>
    </xf>
    <xf numFmtId="1" fontId="28" fillId="0" borderId="33" xfId="0" applyNumberFormat="1" applyFont="1" applyFill="1" applyBorder="1" applyAlignment="1">
      <alignment vertical="center"/>
    </xf>
    <xf numFmtId="1" fontId="28" fillId="0" borderId="18" xfId="0" applyNumberFormat="1" applyFont="1" applyFill="1" applyBorder="1" applyAlignment="1">
      <alignment vertical="center"/>
    </xf>
    <xf numFmtId="0" fontId="28" fillId="0" borderId="0" xfId="0" applyFont="1" applyFill="1" applyBorder="1" applyAlignment="1">
      <alignment vertical="center"/>
    </xf>
    <xf numFmtId="0" fontId="28" fillId="0" borderId="64" xfId="0" applyFont="1" applyFill="1" applyBorder="1" applyAlignment="1">
      <alignment vertical="center"/>
    </xf>
    <xf numFmtId="1" fontId="28" fillId="0" borderId="24" xfId="0" applyNumberFormat="1" applyFont="1" applyFill="1" applyBorder="1" applyAlignment="1">
      <alignment vertical="center"/>
    </xf>
    <xf numFmtId="1" fontId="28" fillId="0" borderId="78" xfId="0" applyNumberFormat="1" applyFont="1" applyFill="1" applyBorder="1" applyAlignment="1">
      <alignment vertical="center"/>
    </xf>
    <xf numFmtId="1" fontId="28" fillId="0" borderId="35" xfId="0" applyNumberFormat="1" applyFont="1" applyFill="1" applyBorder="1" applyAlignment="1">
      <alignment vertical="center"/>
    </xf>
    <xf numFmtId="1" fontId="28" fillId="0" borderId="25" xfId="0" applyNumberFormat="1" applyFont="1" applyFill="1" applyBorder="1" applyAlignment="1">
      <alignment vertical="center"/>
    </xf>
    <xf numFmtId="0" fontId="28" fillId="0" borderId="15" xfId="0" applyFont="1" applyFill="1" applyBorder="1" applyAlignment="1">
      <alignment vertical="center"/>
    </xf>
    <xf numFmtId="0" fontId="28" fillId="0" borderId="28" xfId="0" applyFont="1" applyFill="1" applyBorder="1" applyAlignment="1">
      <alignment vertical="center"/>
    </xf>
    <xf numFmtId="0" fontId="28" fillId="0" borderId="18" xfId="0" applyFont="1" applyFill="1" applyBorder="1" applyAlignment="1">
      <alignment vertical="center"/>
    </xf>
    <xf numFmtId="0" fontId="41" fillId="0" borderId="0" xfId="0" applyFont="1" applyFill="1" applyBorder="1" applyAlignment="1" applyProtection="1">
      <alignment horizontal="center" vertical="center"/>
    </xf>
    <xf numFmtId="0" fontId="41" fillId="2" borderId="0" xfId="0" applyFont="1" applyFill="1" applyBorder="1" applyAlignment="1" applyProtection="1">
      <alignment horizontal="center" vertical="center"/>
    </xf>
    <xf numFmtId="0" fontId="41" fillId="0" borderId="0" xfId="0" applyFont="1" applyFill="1" applyBorder="1" applyAlignment="1" applyProtection="1">
      <alignment horizontal="left" vertical="center"/>
    </xf>
    <xf numFmtId="0" fontId="41" fillId="0" borderId="0" xfId="0" applyFont="1" applyFill="1" applyBorder="1" applyAlignment="1" applyProtection="1">
      <alignment vertical="center"/>
    </xf>
    <xf numFmtId="0" fontId="41" fillId="0" borderId="89" xfId="0" applyFont="1" applyFill="1" applyBorder="1" applyAlignment="1" applyProtection="1">
      <alignment horizontal="right" vertical="center"/>
    </xf>
    <xf numFmtId="0" fontId="41" fillId="0" borderId="28" xfId="0" applyFont="1" applyFill="1" applyBorder="1" applyAlignment="1" applyProtection="1">
      <alignment horizontal="right" vertical="center"/>
    </xf>
    <xf numFmtId="0" fontId="41" fillId="0" borderId="15" xfId="0" applyFont="1" applyFill="1" applyBorder="1" applyAlignment="1" applyProtection="1">
      <alignment vertical="center"/>
    </xf>
    <xf numFmtId="0" fontId="41" fillId="0" borderId="0" xfId="0" applyFont="1" applyFill="1" applyBorder="1" applyAlignment="1" applyProtection="1">
      <alignment horizontal="right" vertical="center"/>
    </xf>
    <xf numFmtId="0" fontId="41" fillId="0" borderId="18" xfId="0" applyFont="1" applyFill="1" applyBorder="1" applyAlignment="1" applyProtection="1">
      <alignment horizontal="right" vertical="center"/>
    </xf>
    <xf numFmtId="0" fontId="41" fillId="0" borderId="2" xfId="0" applyFont="1" applyFill="1" applyBorder="1" applyAlignment="1">
      <alignment vertical="center"/>
    </xf>
    <xf numFmtId="0" fontId="41" fillId="2" borderId="2" xfId="0" applyFont="1" applyFill="1" applyBorder="1" applyAlignment="1">
      <alignment horizontal="center" vertical="center"/>
    </xf>
    <xf numFmtId="0" fontId="41" fillId="0" borderId="2" xfId="0" applyFont="1" applyFill="1" applyBorder="1" applyAlignment="1">
      <alignment horizontal="center" vertical="center"/>
    </xf>
    <xf numFmtId="0" fontId="41" fillId="0" borderId="232" xfId="0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center"/>
    </xf>
    <xf numFmtId="0" fontId="41" fillId="0" borderId="5" xfId="0" applyFont="1" applyFill="1" applyBorder="1" applyAlignment="1">
      <alignment horizontal="center" vertical="center"/>
    </xf>
    <xf numFmtId="0" fontId="41" fillId="0" borderId="6" xfId="0" applyFont="1" applyFill="1" applyBorder="1" applyAlignment="1">
      <alignment horizontal="center" vertical="center"/>
    </xf>
    <xf numFmtId="0" fontId="41" fillId="0" borderId="123" xfId="0" applyFont="1" applyFill="1" applyBorder="1" applyAlignment="1">
      <alignment horizontal="center" vertical="center"/>
    </xf>
    <xf numFmtId="0" fontId="41" fillId="0" borderId="7" xfId="0" applyFont="1" applyFill="1" applyBorder="1" applyAlignment="1">
      <alignment horizontal="center" vertical="center"/>
    </xf>
    <xf numFmtId="0" fontId="41" fillId="0" borderId="14" xfId="0" applyFont="1" applyFill="1" applyBorder="1" applyAlignment="1">
      <alignment horizontal="center" vertical="center"/>
    </xf>
    <xf numFmtId="0" fontId="28" fillId="0" borderId="9" xfId="0" applyFont="1" applyFill="1" applyBorder="1" applyAlignment="1" applyProtection="1">
      <alignment vertical="center"/>
    </xf>
    <xf numFmtId="0" fontId="28" fillId="0" borderId="11" xfId="0" applyFont="1" applyFill="1" applyBorder="1" applyAlignment="1" applyProtection="1">
      <alignment vertical="center"/>
    </xf>
    <xf numFmtId="0" fontId="28" fillId="0" borderId="8" xfId="0" applyFont="1" applyFill="1" applyBorder="1" applyAlignment="1" applyProtection="1">
      <alignment vertical="center"/>
    </xf>
    <xf numFmtId="0" fontId="28" fillId="0" borderId="234" xfId="0" applyFont="1" applyFill="1" applyBorder="1" applyAlignment="1" applyProtection="1">
      <alignment vertical="center"/>
    </xf>
    <xf numFmtId="0" fontId="28" fillId="0" borderId="12" xfId="0" applyFont="1" applyFill="1" applyBorder="1" applyAlignment="1" applyProtection="1">
      <alignment vertical="center"/>
    </xf>
    <xf numFmtId="195" fontId="28" fillId="0" borderId="17" xfId="0" applyNumberFormat="1" applyFont="1" applyFill="1" applyBorder="1" applyAlignment="1">
      <alignment vertical="center"/>
    </xf>
    <xf numFmtId="195" fontId="28" fillId="0" borderId="28" xfId="0" applyNumberFormat="1" applyFont="1" applyFill="1" applyBorder="1" applyAlignment="1">
      <alignment vertical="center"/>
    </xf>
    <xf numFmtId="195" fontId="28" fillId="0" borderId="33" xfId="0" applyNumberFormat="1" applyFont="1" applyFill="1" applyBorder="1" applyAlignment="1">
      <alignment vertical="center"/>
    </xf>
    <xf numFmtId="195" fontId="28" fillId="0" borderId="18" xfId="0" applyNumberFormat="1" applyFont="1" applyFill="1" applyBorder="1" applyAlignment="1">
      <alignment vertical="center"/>
    </xf>
    <xf numFmtId="181" fontId="28" fillId="0" borderId="17" xfId="0" applyNumberFormat="1" applyFont="1" applyFill="1" applyBorder="1" applyAlignment="1">
      <alignment vertical="center"/>
    </xf>
    <xf numFmtId="181" fontId="28" fillId="0" borderId="28" xfId="0" applyNumberFormat="1" applyFont="1" applyFill="1" applyBorder="1" applyAlignment="1">
      <alignment vertical="center"/>
    </xf>
    <xf numFmtId="181" fontId="28" fillId="0" borderId="33" xfId="0" applyNumberFormat="1" applyFont="1" applyFill="1" applyBorder="1" applyAlignment="1">
      <alignment vertical="center"/>
    </xf>
    <xf numFmtId="181" fontId="28" fillId="0" borderId="18" xfId="0" applyNumberFormat="1" applyFont="1" applyFill="1" applyBorder="1" applyAlignment="1">
      <alignment vertical="center"/>
    </xf>
    <xf numFmtId="187" fontId="28" fillId="0" borderId="17" xfId="0" applyNumberFormat="1" applyFont="1" applyFill="1" applyBorder="1" applyAlignment="1">
      <alignment vertical="center"/>
    </xf>
    <xf numFmtId="187" fontId="28" fillId="0" borderId="28" xfId="0" applyNumberFormat="1" applyFont="1" applyFill="1" applyBorder="1" applyAlignment="1">
      <alignment vertical="center"/>
    </xf>
    <xf numFmtId="187" fontId="28" fillId="0" borderId="33" xfId="0" applyNumberFormat="1" applyFont="1" applyFill="1" applyBorder="1" applyAlignment="1">
      <alignment vertical="center"/>
    </xf>
    <xf numFmtId="187" fontId="28" fillId="0" borderId="18" xfId="0" applyNumberFormat="1" applyFont="1" applyFill="1" applyBorder="1" applyAlignment="1">
      <alignment vertical="center"/>
    </xf>
    <xf numFmtId="0" fontId="28" fillId="0" borderId="22" xfId="0" applyFont="1" applyFill="1" applyBorder="1" applyAlignment="1">
      <alignment vertical="center"/>
    </xf>
    <xf numFmtId="178" fontId="28" fillId="0" borderId="24" xfId="0" applyNumberFormat="1" applyFont="1" applyFill="1" applyBorder="1" applyAlignment="1">
      <alignment vertical="center"/>
    </xf>
    <xf numFmtId="178" fontId="28" fillId="0" borderId="78" xfId="0" applyNumberFormat="1" applyFont="1" applyFill="1" applyBorder="1" applyAlignment="1">
      <alignment vertical="center"/>
    </xf>
    <xf numFmtId="178" fontId="28" fillId="0" borderId="35" xfId="0" applyNumberFormat="1" applyFont="1" applyFill="1" applyBorder="1" applyAlignment="1">
      <alignment vertical="center"/>
    </xf>
    <xf numFmtId="178" fontId="28" fillId="0" borderId="25" xfId="0" applyNumberFormat="1" applyFont="1" applyFill="1" applyBorder="1" applyAlignment="1">
      <alignment vertical="center"/>
    </xf>
    <xf numFmtId="178" fontId="28" fillId="0" borderId="17" xfId="0" applyNumberFormat="1" applyFont="1" applyFill="1" applyBorder="1" applyAlignment="1">
      <alignment vertical="center"/>
    </xf>
    <xf numFmtId="178" fontId="28" fillId="0" borderId="28" xfId="0" applyNumberFormat="1" applyFont="1" applyFill="1" applyBorder="1" applyAlignment="1">
      <alignment vertical="center"/>
    </xf>
    <xf numFmtId="178" fontId="28" fillId="0" borderId="33" xfId="0" applyNumberFormat="1" applyFont="1" applyFill="1" applyBorder="1" applyAlignment="1">
      <alignment vertical="center"/>
    </xf>
    <xf numFmtId="178" fontId="28" fillId="0" borderId="18" xfId="0" applyNumberFormat="1" applyFont="1" applyFill="1" applyBorder="1" applyAlignment="1">
      <alignment vertical="center"/>
    </xf>
    <xf numFmtId="178" fontId="28" fillId="0" borderId="24" xfId="0" quotePrefix="1" applyNumberFormat="1" applyFont="1" applyFill="1" applyBorder="1" applyAlignment="1">
      <alignment vertical="center"/>
    </xf>
    <xf numFmtId="178" fontId="28" fillId="0" borderId="78" xfId="0" quotePrefix="1" applyNumberFormat="1" applyFont="1" applyFill="1" applyBorder="1" applyAlignment="1">
      <alignment vertical="center"/>
    </xf>
    <xf numFmtId="178" fontId="28" fillId="0" borderId="35" xfId="0" quotePrefix="1" applyNumberFormat="1" applyFont="1" applyFill="1" applyBorder="1" applyAlignment="1">
      <alignment vertical="center"/>
    </xf>
    <xf numFmtId="178" fontId="28" fillId="0" borderId="25" xfId="0" quotePrefix="1" applyNumberFormat="1" applyFont="1" applyFill="1" applyBorder="1" applyAlignment="1">
      <alignment vertical="center"/>
    </xf>
    <xf numFmtId="0" fontId="28" fillId="0" borderId="0" xfId="0" applyFont="1" applyFill="1" applyAlignment="1" applyProtection="1">
      <alignment vertical="center"/>
    </xf>
    <xf numFmtId="0" fontId="28" fillId="0" borderId="0" xfId="0" applyFont="1" applyFill="1" applyAlignment="1" applyProtection="1">
      <alignment horizontal="right" vertical="center"/>
    </xf>
    <xf numFmtId="0" fontId="28" fillId="0" borderId="0" xfId="0" applyFont="1" applyFill="1" applyAlignment="1">
      <alignment horizontal="center" vertical="center"/>
    </xf>
    <xf numFmtId="0" fontId="28" fillId="0" borderId="40" xfId="0" applyFont="1" applyFill="1" applyBorder="1" applyAlignment="1">
      <alignment vertical="center"/>
    </xf>
    <xf numFmtId="179" fontId="28" fillId="0" borderId="40" xfId="0" applyNumberFormat="1" applyFont="1" applyFill="1" applyBorder="1" applyAlignment="1">
      <alignment vertical="center"/>
    </xf>
    <xf numFmtId="189" fontId="28" fillId="0" borderId="40" xfId="0" applyNumberFormat="1" applyFont="1" applyFill="1" applyBorder="1" applyAlignment="1">
      <alignment vertical="center"/>
    </xf>
    <xf numFmtId="0" fontId="28" fillId="0" borderId="40" xfId="0" applyFont="1" applyFill="1" applyBorder="1" applyAlignment="1">
      <alignment horizontal="center" vertical="center"/>
    </xf>
    <xf numFmtId="0" fontId="41" fillId="19" borderId="0" xfId="0" applyFont="1" applyFill="1" applyAlignment="1" applyProtection="1">
      <alignment vertical="center"/>
    </xf>
    <xf numFmtId="0" fontId="41" fillId="19" borderId="2" xfId="0" applyFont="1" applyFill="1" applyBorder="1" applyAlignment="1" applyProtection="1">
      <alignment horizontal="center" vertical="center"/>
    </xf>
    <xf numFmtId="0" fontId="41" fillId="19" borderId="163" xfId="0" applyFont="1" applyFill="1" applyBorder="1" applyAlignment="1">
      <alignment horizontal="center" vertical="center"/>
    </xf>
    <xf numFmtId="0" fontId="28" fillId="19" borderId="228" xfId="0" applyFont="1" applyFill="1" applyBorder="1" applyAlignment="1" applyProtection="1">
      <alignment vertical="center"/>
    </xf>
    <xf numFmtId="0" fontId="28" fillId="19" borderId="89" xfId="0" applyFont="1" applyFill="1" applyBorder="1" applyAlignment="1" applyProtection="1">
      <alignment vertical="center"/>
    </xf>
    <xf numFmtId="1" fontId="41" fillId="19" borderId="89" xfId="0" applyNumberFormat="1" applyFont="1" applyFill="1" applyBorder="1" applyAlignment="1" applyProtection="1">
      <alignment vertical="center"/>
    </xf>
    <xf numFmtId="1" fontId="28" fillId="19" borderId="89" xfId="0" applyNumberFormat="1" applyFont="1" applyFill="1" applyBorder="1" applyAlignment="1" applyProtection="1">
      <alignment vertical="center"/>
    </xf>
    <xf numFmtId="189" fontId="28" fillId="19" borderId="89" xfId="0" applyNumberFormat="1" applyFont="1" applyFill="1" applyBorder="1" applyAlignment="1" applyProtection="1">
      <alignment vertical="center"/>
    </xf>
    <xf numFmtId="0" fontId="41" fillId="19" borderId="89" xfId="0" applyFont="1" applyFill="1" applyBorder="1" applyAlignment="1" applyProtection="1">
      <alignment vertical="center"/>
    </xf>
    <xf numFmtId="183" fontId="41" fillId="19" borderId="89" xfId="0" applyNumberFormat="1" applyFont="1" applyFill="1" applyBorder="1" applyAlignment="1" applyProtection="1">
      <alignment vertical="center"/>
    </xf>
    <xf numFmtId="183" fontId="28" fillId="19" borderId="89" xfId="0" applyNumberFormat="1" applyFont="1" applyFill="1" applyBorder="1" applyAlignment="1" applyProtection="1">
      <alignment vertical="center"/>
    </xf>
    <xf numFmtId="0" fontId="28" fillId="19" borderId="124" xfId="0" applyFont="1" applyFill="1" applyBorder="1" applyAlignment="1" applyProtection="1">
      <alignment vertical="center"/>
    </xf>
    <xf numFmtId="0" fontId="28" fillId="19" borderId="233" xfId="0" applyFont="1" applyFill="1" applyBorder="1" applyAlignment="1" applyProtection="1">
      <alignment vertical="center"/>
    </xf>
    <xf numFmtId="179" fontId="28" fillId="19" borderId="89" xfId="0" applyNumberFormat="1" applyFont="1" applyFill="1" applyBorder="1" applyAlignment="1" applyProtection="1">
      <alignment vertical="center"/>
    </xf>
    <xf numFmtId="179" fontId="41" fillId="19" borderId="89" xfId="0" applyNumberFormat="1" applyFont="1" applyFill="1" applyBorder="1" applyAlignment="1" applyProtection="1">
      <alignment vertical="center"/>
    </xf>
    <xf numFmtId="0" fontId="28" fillId="19" borderId="89" xfId="0" applyFont="1" applyFill="1" applyBorder="1" applyAlignment="1" applyProtection="1">
      <alignment horizontal="right" vertical="center"/>
    </xf>
    <xf numFmtId="0" fontId="41" fillId="19" borderId="89" xfId="0" applyFont="1" applyFill="1" applyBorder="1" applyAlignment="1" applyProtection="1">
      <alignment horizontal="center" vertical="center"/>
      <protection locked="0"/>
    </xf>
    <xf numFmtId="0" fontId="28" fillId="19" borderId="89" xfId="0" applyFont="1" applyFill="1" applyBorder="1" applyAlignment="1" applyProtection="1">
      <alignment horizontal="center" vertical="center"/>
      <protection locked="0"/>
    </xf>
    <xf numFmtId="0" fontId="28" fillId="19" borderId="89" xfId="0" applyFont="1" applyFill="1" applyBorder="1" applyAlignment="1" applyProtection="1">
      <alignment horizontal="center" vertical="center"/>
    </xf>
    <xf numFmtId="181" fontId="28" fillId="19" borderId="89" xfId="0" applyNumberFormat="1" applyFont="1" applyFill="1" applyBorder="1" applyAlignment="1" applyProtection="1">
      <alignment horizontal="center" vertical="center"/>
    </xf>
    <xf numFmtId="181" fontId="28" fillId="19" borderId="124" xfId="0" applyNumberFormat="1" applyFont="1" applyFill="1" applyBorder="1" applyAlignment="1" applyProtection="1">
      <alignment horizontal="center" vertical="center"/>
    </xf>
    <xf numFmtId="0" fontId="28" fillId="19" borderId="0" xfId="0" applyFont="1" applyFill="1" applyAlignment="1">
      <alignment vertical="center"/>
    </xf>
    <xf numFmtId="0" fontId="28" fillId="19" borderId="233" xfId="0" applyFont="1" applyFill="1" applyBorder="1" applyAlignment="1" applyProtection="1">
      <alignment horizontal="center" vertical="center"/>
    </xf>
    <xf numFmtId="179" fontId="28" fillId="19" borderId="89" xfId="0" applyNumberFormat="1" applyFont="1" applyFill="1" applyBorder="1" applyAlignment="1" applyProtection="1">
      <alignment horizontal="center" vertical="center"/>
    </xf>
    <xf numFmtId="0" fontId="44" fillId="19" borderId="89" xfId="0" applyFont="1" applyFill="1" applyBorder="1" applyAlignment="1" applyProtection="1">
      <alignment horizontal="center" vertical="center"/>
      <protection locked="0"/>
    </xf>
    <xf numFmtId="183" fontId="41" fillId="19" borderId="89" xfId="0" applyNumberFormat="1" applyFont="1" applyFill="1" applyBorder="1" applyAlignment="1" applyProtection="1">
      <alignment horizontal="center" vertical="center"/>
      <protection locked="0"/>
    </xf>
    <xf numFmtId="183" fontId="28" fillId="19" borderId="89" xfId="0" applyNumberFormat="1" applyFont="1" applyFill="1" applyBorder="1" applyAlignment="1" applyProtection="1">
      <alignment horizontal="center" vertical="center"/>
      <protection locked="0"/>
    </xf>
    <xf numFmtId="0" fontId="44" fillId="19" borderId="89" xfId="0" applyFont="1" applyFill="1" applyBorder="1" applyAlignment="1" applyProtection="1">
      <alignment horizontal="center" vertical="center"/>
    </xf>
    <xf numFmtId="1" fontId="28" fillId="19" borderId="89" xfId="0" applyNumberFormat="1" applyFont="1" applyFill="1" applyBorder="1" applyAlignment="1" applyProtection="1">
      <alignment horizontal="center" vertical="center"/>
      <protection locked="0"/>
    </xf>
    <xf numFmtId="180" fontId="22" fillId="19" borderId="21" xfId="0" applyNumberFormat="1" applyFont="1" applyFill="1" applyBorder="1" applyAlignment="1" applyProtection="1">
      <alignment vertical="center"/>
    </xf>
    <xf numFmtId="0" fontId="41" fillId="19" borderId="89" xfId="0" applyFont="1" applyFill="1" applyBorder="1" applyAlignment="1" applyProtection="1">
      <alignment horizontal="center" vertical="center"/>
    </xf>
    <xf numFmtId="0" fontId="28" fillId="19" borderId="124" xfId="0" applyFont="1" applyFill="1" applyBorder="1" applyAlignment="1" applyProtection="1">
      <alignment horizontal="center" vertical="center"/>
    </xf>
    <xf numFmtId="179" fontId="28" fillId="19" borderId="89" xfId="0" applyNumberFormat="1" applyFont="1" applyFill="1" applyBorder="1" applyAlignment="1">
      <alignment vertical="center"/>
    </xf>
    <xf numFmtId="2" fontId="28" fillId="19" borderId="89" xfId="0" applyNumberFormat="1" applyFont="1" applyFill="1" applyBorder="1" applyAlignment="1">
      <alignment vertical="center"/>
    </xf>
    <xf numFmtId="1" fontId="41" fillId="19" borderId="89" xfId="0" applyNumberFormat="1" applyFont="1" applyFill="1" applyBorder="1" applyAlignment="1">
      <alignment vertical="center"/>
    </xf>
    <xf numFmtId="1" fontId="41" fillId="19" borderId="21" xfId="0" applyNumberFormat="1" applyFont="1" applyFill="1" applyBorder="1" applyAlignment="1">
      <alignment vertical="center"/>
    </xf>
    <xf numFmtId="1" fontId="28" fillId="19" borderId="89" xfId="0" applyNumberFormat="1" applyFont="1" applyFill="1" applyBorder="1" applyAlignment="1">
      <alignment vertical="center"/>
    </xf>
    <xf numFmtId="1" fontId="28" fillId="19" borderId="124" xfId="0" applyNumberFormat="1" applyFont="1" applyFill="1" applyBorder="1" applyAlignment="1">
      <alignment vertical="center"/>
    </xf>
    <xf numFmtId="0" fontId="28" fillId="19" borderId="0" xfId="0" applyFont="1" applyFill="1" applyBorder="1" applyAlignment="1">
      <alignment vertical="center"/>
    </xf>
    <xf numFmtId="0" fontId="41" fillId="19" borderId="0" xfId="0" applyFont="1" applyFill="1" applyBorder="1" applyAlignment="1" applyProtection="1">
      <alignment horizontal="center" vertical="center"/>
    </xf>
    <xf numFmtId="0" fontId="41" fillId="19" borderId="1" xfId="0" applyFont="1" applyFill="1" applyBorder="1" applyAlignment="1">
      <alignment vertical="center"/>
    </xf>
    <xf numFmtId="0" fontId="41" fillId="19" borderId="4" xfId="0" applyFont="1" applyFill="1" applyBorder="1" applyAlignment="1">
      <alignment vertical="center"/>
    </xf>
    <xf numFmtId="0" fontId="28" fillId="19" borderId="65" xfId="0" applyFont="1" applyFill="1" applyBorder="1" applyAlignment="1" applyProtection="1">
      <alignment vertical="center"/>
    </xf>
    <xf numFmtId="179" fontId="28" fillId="19" borderId="16" xfId="0" applyNumberFormat="1" applyFont="1" applyFill="1" applyBorder="1" applyAlignment="1">
      <alignment vertical="center"/>
    </xf>
    <xf numFmtId="179" fontId="28" fillId="19" borderId="21" xfId="0" applyNumberFormat="1" applyFont="1" applyFill="1" applyBorder="1" applyAlignment="1">
      <alignment vertical="center"/>
    </xf>
    <xf numFmtId="195" fontId="28" fillId="19" borderId="21" xfId="0" applyNumberFormat="1" applyFont="1" applyFill="1" applyBorder="1" applyAlignment="1">
      <alignment vertical="center"/>
    </xf>
    <xf numFmtId="181" fontId="28" fillId="19" borderId="21" xfId="0" applyNumberFormat="1" applyFont="1" applyFill="1" applyBorder="1" applyAlignment="1">
      <alignment vertical="center"/>
    </xf>
    <xf numFmtId="187" fontId="28" fillId="19" borderId="21" xfId="0" applyNumberFormat="1" applyFont="1" applyFill="1" applyBorder="1" applyAlignment="1">
      <alignment vertical="center"/>
    </xf>
    <xf numFmtId="187" fontId="44" fillId="19" borderId="21" xfId="0" applyNumberFormat="1" applyFont="1" applyFill="1" applyBorder="1" applyAlignment="1">
      <alignment vertical="center"/>
    </xf>
    <xf numFmtId="178" fontId="28" fillId="19" borderId="39" xfId="0" applyNumberFormat="1" applyFont="1" applyFill="1" applyBorder="1" applyAlignment="1">
      <alignment vertical="center"/>
    </xf>
    <xf numFmtId="178" fontId="28" fillId="19" borderId="21" xfId="0" applyNumberFormat="1" applyFont="1" applyFill="1" applyBorder="1" applyAlignment="1">
      <alignment vertical="center"/>
    </xf>
    <xf numFmtId="178" fontId="28" fillId="19" borderId="39" xfId="0" quotePrefix="1" applyNumberFormat="1" applyFont="1" applyFill="1" applyBorder="1" applyAlignment="1">
      <alignment vertical="center"/>
    </xf>
    <xf numFmtId="0" fontId="28" fillId="19" borderId="0" xfId="0" applyFont="1" applyFill="1" applyAlignment="1">
      <alignment horizontal="center" vertical="center"/>
    </xf>
    <xf numFmtId="179" fontId="28" fillId="19" borderId="40" xfId="0" applyNumberFormat="1" applyFont="1" applyFill="1" applyBorder="1" applyAlignment="1">
      <alignment vertical="center"/>
    </xf>
    <xf numFmtId="189" fontId="28" fillId="19" borderId="40" xfId="0" applyNumberFormat="1" applyFont="1" applyFill="1" applyBorder="1" applyAlignment="1">
      <alignment vertical="center"/>
    </xf>
    <xf numFmtId="0" fontId="28" fillId="19" borderId="40" xfId="0" applyFont="1" applyFill="1" applyBorder="1" applyAlignment="1">
      <alignment horizontal="center" vertical="center"/>
    </xf>
    <xf numFmtId="0" fontId="41" fillId="19" borderId="65" xfId="0" applyFont="1" applyFill="1" applyBorder="1" applyAlignment="1">
      <alignment horizontal="center" vertical="center"/>
    </xf>
    <xf numFmtId="0" fontId="28" fillId="19" borderId="148" xfId="0" applyFont="1" applyFill="1" applyBorder="1" applyAlignment="1" applyProtection="1">
      <alignment vertical="center"/>
    </xf>
    <xf numFmtId="187" fontId="41" fillId="19" borderId="89" xfId="0" applyNumberFormat="1" applyFont="1" applyFill="1" applyBorder="1" applyAlignment="1" applyProtection="1">
      <alignment vertical="center"/>
    </xf>
    <xf numFmtId="0" fontId="28" fillId="19" borderId="21" xfId="0" applyFont="1" applyFill="1" applyBorder="1" applyAlignment="1" applyProtection="1">
      <alignment horizontal="center" vertical="center"/>
    </xf>
    <xf numFmtId="0" fontId="0" fillId="0" borderId="1" xfId="0" applyNumberFormat="1" applyFont="1" applyBorder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0" fontId="0" fillId="0" borderId="74" xfId="0" applyNumberFormat="1" applyFont="1" applyBorder="1" applyAlignment="1" applyProtection="1">
      <alignment horizontal="center" vertical="center"/>
    </xf>
    <xf numFmtId="0" fontId="15" fillId="0" borderId="45" xfId="0" applyNumberFormat="1" applyFont="1" applyBorder="1" applyAlignment="1" applyProtection="1">
      <alignment horizontal="center" vertical="center"/>
    </xf>
    <xf numFmtId="0" fontId="15" fillId="0" borderId="46" xfId="0" applyNumberFormat="1" applyFont="1" applyBorder="1" applyAlignment="1" applyProtection="1">
      <alignment horizontal="center" vertical="center"/>
    </xf>
    <xf numFmtId="0" fontId="15" fillId="0" borderId="5" xfId="0" applyNumberFormat="1" applyFont="1" applyBorder="1" applyAlignment="1" applyProtection="1">
      <alignment horizontal="center" vertical="center"/>
    </xf>
    <xf numFmtId="0" fontId="15" fillId="0" borderId="8" xfId="0" applyNumberFormat="1" applyFont="1" applyBorder="1" applyAlignment="1" applyProtection="1">
      <alignment horizontal="center" vertical="center"/>
    </xf>
    <xf numFmtId="0" fontId="16" fillId="0" borderId="5" xfId="0" applyNumberFormat="1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15" fillId="20" borderId="16" xfId="0" applyNumberFormat="1" applyFont="1" applyFill="1" applyBorder="1" applyAlignment="1" applyProtection="1">
      <alignment vertical="center"/>
    </xf>
    <xf numFmtId="180" fontId="16" fillId="0" borderId="0" xfId="0" applyNumberFormat="1" applyFont="1" applyAlignment="1">
      <alignment vertical="center"/>
    </xf>
    <xf numFmtId="179" fontId="15" fillId="0" borderId="16" xfId="0" applyNumberFormat="1" applyFont="1" applyBorder="1" applyAlignment="1" applyProtection="1">
      <alignment vertical="center"/>
    </xf>
    <xf numFmtId="189" fontId="46" fillId="0" borderId="21" xfId="0" applyNumberFormat="1" applyFont="1" applyBorder="1" applyAlignment="1" applyProtection="1">
      <alignment vertical="center"/>
    </xf>
    <xf numFmtId="179" fontId="19" fillId="0" borderId="17" xfId="0" applyNumberFormat="1" applyFont="1" applyBorder="1" applyAlignment="1" applyProtection="1">
      <alignment vertical="center"/>
    </xf>
    <xf numFmtId="179" fontId="19" fillId="0" borderId="17" xfId="0" applyNumberFormat="1" applyFont="1" applyFill="1" applyBorder="1" applyAlignment="1" applyProtection="1">
      <alignment vertical="center"/>
    </xf>
    <xf numFmtId="179" fontId="19" fillId="0" borderId="18" xfId="0" applyNumberFormat="1" applyFont="1" applyBorder="1" applyAlignment="1" applyProtection="1">
      <alignment vertical="center"/>
    </xf>
    <xf numFmtId="189" fontId="19" fillId="0" borderId="21" xfId="0" applyNumberFormat="1" applyFont="1" applyBorder="1" applyAlignment="1" applyProtection="1">
      <alignment horizontal="right" vertical="center"/>
    </xf>
    <xf numFmtId="0" fontId="47" fillId="0" borderId="0" xfId="0" applyNumberFormat="1" applyFont="1" applyAlignment="1">
      <alignment vertical="center"/>
    </xf>
    <xf numFmtId="0" fontId="16" fillId="20" borderId="0" xfId="0" applyNumberFormat="1" applyFont="1" applyFill="1" applyAlignment="1">
      <alignment vertical="center"/>
    </xf>
    <xf numFmtId="196" fontId="15" fillId="0" borderId="0" xfId="0" applyNumberFormat="1" applyFont="1" applyAlignment="1">
      <alignment vertical="center"/>
    </xf>
    <xf numFmtId="0" fontId="2" fillId="3" borderId="0" xfId="0" applyNumberFormat="1" applyFont="1" applyFill="1" applyAlignment="1" applyProtection="1">
      <alignment horizontal="center" vertical="center"/>
      <protection locked="0"/>
    </xf>
    <xf numFmtId="0" fontId="0" fillId="0" borderId="30" xfId="0" applyNumberFormat="1" applyFont="1" applyBorder="1" applyAlignment="1" applyProtection="1">
      <alignment horizontal="center" vertical="center"/>
    </xf>
    <xf numFmtId="0" fontId="0" fillId="0" borderId="31" xfId="0" applyNumberFormat="1" applyFont="1" applyBorder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0" fontId="0" fillId="0" borderId="46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 applyProtection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7" xfId="0" applyNumberFormat="1" applyFont="1" applyBorder="1" applyAlignment="1">
      <alignment horizontal="center" vertical="center"/>
    </xf>
    <xf numFmtId="0" fontId="0" fillId="0" borderId="74" xfId="0" applyNumberFormat="1" applyFont="1" applyBorder="1" applyAlignment="1" applyProtection="1">
      <alignment horizontal="center" vertical="center"/>
    </xf>
    <xf numFmtId="0" fontId="0" fillId="0" borderId="223" xfId="0" applyNumberFormat="1" applyFont="1" applyBorder="1" applyAlignment="1" applyProtection="1">
      <alignment horizontal="center" vertical="center"/>
    </xf>
    <xf numFmtId="0" fontId="0" fillId="0" borderId="2" xfId="0" applyNumberFormat="1" applyFont="1" applyBorder="1" applyAlignment="1" applyProtection="1">
      <alignment horizontal="center" vertical="center"/>
    </xf>
    <xf numFmtId="0" fontId="0" fillId="0" borderId="27" xfId="0" applyNumberFormat="1" applyFont="1" applyBorder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188" fontId="0" fillId="3" borderId="17" xfId="0" applyNumberFormat="1" applyFont="1" applyFill="1" applyBorder="1" applyAlignment="1" applyProtection="1">
      <alignment horizontal="center" vertical="center"/>
      <protection locked="0"/>
    </xf>
    <xf numFmtId="188" fontId="0" fillId="3" borderId="20" xfId="0" applyNumberFormat="1" applyFont="1" applyFill="1" applyBorder="1" applyAlignment="1" applyProtection="1">
      <alignment horizontal="center" vertical="center"/>
      <protection locked="0"/>
    </xf>
    <xf numFmtId="197" fontId="0" fillId="3" borderId="0" xfId="0" applyNumberFormat="1" applyFill="1" applyBorder="1" applyAlignment="1" applyProtection="1">
      <alignment horizontal="center" vertical="center"/>
      <protection locked="0"/>
    </xf>
    <xf numFmtId="197" fontId="0" fillId="3" borderId="34" xfId="0" applyNumberFormat="1" applyFont="1" applyFill="1" applyBorder="1" applyAlignment="1" applyProtection="1">
      <alignment horizontal="center" vertical="center"/>
      <protection locked="0"/>
    </xf>
    <xf numFmtId="180" fontId="0" fillId="3" borderId="34" xfId="0" applyNumberFormat="1" applyFont="1" applyFill="1" applyBorder="1" applyAlignment="1" applyProtection="1">
      <alignment horizontal="center" vertical="center"/>
      <protection locked="0"/>
    </xf>
    <xf numFmtId="0" fontId="0" fillId="0" borderId="132" xfId="0" applyNumberFormat="1" applyFont="1" applyBorder="1" applyAlignment="1">
      <alignment horizontal="center" vertical="center"/>
    </xf>
    <xf numFmtId="0" fontId="0" fillId="0" borderId="99" xfId="0" applyNumberFormat="1" applyFont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0" borderId="127" xfId="0" applyNumberFormat="1" applyFont="1" applyBorder="1" applyAlignment="1" applyProtection="1">
      <alignment horizontal="center" vertical="center"/>
    </xf>
    <xf numFmtId="0" fontId="2" fillId="21" borderId="0" xfId="0" applyNumberFormat="1" applyFont="1" applyFill="1" applyAlignment="1">
      <alignment horizontal="center" vertical="center"/>
    </xf>
    <xf numFmtId="197" fontId="0" fillId="3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46" xfId="0" applyNumberFormat="1" applyFont="1" applyBorder="1" applyAlignment="1">
      <alignment horizontal="center" vertical="center"/>
    </xf>
    <xf numFmtId="0" fontId="0" fillId="0" borderId="67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99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 applyProtection="1">
      <alignment horizontal="center" vertical="center"/>
    </xf>
    <xf numFmtId="0" fontId="0" fillId="0" borderId="2" xfId="0" applyNumberFormat="1" applyFont="1" applyBorder="1" applyAlignment="1" applyProtection="1">
      <alignment horizontal="center" vertical="center"/>
    </xf>
    <xf numFmtId="0" fontId="0" fillId="0" borderId="74" xfId="0" applyNumberFormat="1" applyFont="1" applyBorder="1" applyAlignment="1" applyProtection="1">
      <alignment horizontal="center" vertical="center"/>
    </xf>
    <xf numFmtId="0" fontId="0" fillId="0" borderId="27" xfId="0" applyNumberFormat="1" applyFont="1" applyBorder="1" applyAlignment="1" applyProtection="1">
      <alignment horizontal="center" vertical="center"/>
    </xf>
    <xf numFmtId="0" fontId="0" fillId="0" borderId="223" xfId="0" applyNumberFormat="1" applyFont="1" applyBorder="1" applyAlignment="1" applyProtection="1">
      <alignment horizontal="center" vertical="center"/>
    </xf>
    <xf numFmtId="0" fontId="2" fillId="0" borderId="0" xfId="0" applyNumberFormat="1" applyFont="1" applyAlignment="1" applyProtection="1">
      <alignment horizontal="center" vertical="center"/>
    </xf>
    <xf numFmtId="0" fontId="0" fillId="0" borderId="31" xfId="0" applyNumberFormat="1" applyFont="1" applyBorder="1" applyAlignment="1" applyProtection="1">
      <alignment horizontal="center" vertical="center"/>
    </xf>
    <xf numFmtId="0" fontId="0" fillId="0" borderId="10" xfId="0" applyNumberFormat="1" applyFont="1" applyBorder="1" applyAlignment="1" applyProtection="1">
      <alignment horizontal="center" vertical="center"/>
    </xf>
    <xf numFmtId="0" fontId="0" fillId="22" borderId="0" xfId="0" applyNumberFormat="1" applyFont="1" applyFill="1" applyAlignment="1" applyProtection="1">
      <alignment horizontal="center" vertical="center"/>
    </xf>
    <xf numFmtId="0" fontId="48" fillId="0" borderId="0" xfId="3" applyFont="1" applyAlignment="1" applyProtection="1">
      <alignment vertical="center" shrinkToFit="1"/>
    </xf>
    <xf numFmtId="0" fontId="48" fillId="0" borderId="0" xfId="3" applyFont="1" applyProtection="1">
      <alignment vertical="center"/>
      <protection locked="0"/>
    </xf>
    <xf numFmtId="0" fontId="49" fillId="0" borderId="0" xfId="3" applyFont="1" applyAlignment="1" applyProtection="1">
      <alignment vertical="center"/>
    </xf>
    <xf numFmtId="0" fontId="51" fillId="0" borderId="0" xfId="3" applyFont="1" applyAlignment="1" applyProtection="1">
      <alignment vertical="center"/>
    </xf>
    <xf numFmtId="0" fontId="48" fillId="23" borderId="0" xfId="3" applyFont="1" applyFill="1" applyAlignment="1" applyProtection="1">
      <alignment vertical="center" shrinkToFit="1"/>
    </xf>
    <xf numFmtId="0" fontId="51" fillId="0" borderId="0" xfId="3" applyFont="1" applyAlignment="1" applyProtection="1">
      <alignment vertical="center" shrinkToFit="1"/>
    </xf>
    <xf numFmtId="0" fontId="48" fillId="23" borderId="0" xfId="3" applyFont="1" applyFill="1" applyAlignment="1" applyProtection="1">
      <alignment horizontal="center" vertical="center" shrinkToFit="1"/>
    </xf>
    <xf numFmtId="183" fontId="52" fillId="23" borderId="0" xfId="3" applyNumberFormat="1" applyFont="1" applyFill="1" applyAlignment="1" applyProtection="1">
      <alignment horizontal="center" vertical="center" shrinkToFit="1"/>
    </xf>
    <xf numFmtId="0" fontId="48" fillId="0" borderId="0" xfId="3" applyFont="1" applyAlignment="1" applyProtection="1">
      <alignment horizontal="center" vertical="center" shrinkToFit="1"/>
    </xf>
    <xf numFmtId="180" fontId="52" fillId="0" borderId="0" xfId="3" applyNumberFormat="1" applyFont="1" applyAlignment="1" applyProtection="1">
      <alignment horizontal="center" vertical="center" shrinkToFit="1"/>
    </xf>
    <xf numFmtId="180" fontId="53" fillId="0" borderId="0" xfId="3" applyNumberFormat="1" applyFont="1" applyAlignment="1" applyProtection="1">
      <alignment horizontal="center" vertical="center" shrinkToFit="1"/>
    </xf>
    <xf numFmtId="2" fontId="48" fillId="20" borderId="0" xfId="3" applyNumberFormat="1" applyFont="1" applyFill="1" applyAlignment="1" applyProtection="1">
      <alignment horizontal="center" vertical="center" shrinkToFit="1"/>
      <protection locked="0"/>
    </xf>
    <xf numFmtId="180" fontId="54" fillId="0" borderId="0" xfId="3" applyNumberFormat="1" applyFont="1" applyAlignment="1" applyProtection="1">
      <alignment horizontal="center" vertical="center" shrinkToFit="1"/>
    </xf>
    <xf numFmtId="0" fontId="48" fillId="0" borderId="0" xfId="3" applyFont="1" applyFill="1" applyAlignment="1" applyProtection="1">
      <alignment vertical="center" shrinkToFit="1"/>
    </xf>
    <xf numFmtId="2" fontId="48" fillId="0" borderId="0" xfId="3" applyNumberFormat="1" applyFont="1" applyFill="1" applyAlignment="1" applyProtection="1">
      <alignment horizontal="center" vertical="center" shrinkToFit="1"/>
    </xf>
    <xf numFmtId="0" fontId="51" fillId="19" borderId="0" xfId="3" applyFont="1" applyFill="1" applyAlignment="1" applyProtection="1">
      <alignment horizontal="center" vertical="center" shrinkToFit="1"/>
    </xf>
    <xf numFmtId="180" fontId="52" fillId="19" borderId="0" xfId="3" applyNumberFormat="1" applyFont="1" applyFill="1" applyAlignment="1" applyProtection="1">
      <alignment horizontal="center" vertical="center" shrinkToFit="1"/>
    </xf>
    <xf numFmtId="180" fontId="53" fillId="19" borderId="0" xfId="3" applyNumberFormat="1" applyFont="1" applyFill="1" applyAlignment="1" applyProtection="1">
      <alignment horizontal="center" vertical="center" shrinkToFit="1"/>
    </xf>
    <xf numFmtId="0" fontId="48" fillId="0" borderId="0" xfId="3" applyFont="1" applyAlignment="1" applyProtection="1">
      <alignment horizontal="right" vertical="center" shrinkToFit="1"/>
    </xf>
    <xf numFmtId="2" fontId="48" fillId="0" borderId="0" xfId="3" applyNumberFormat="1" applyFont="1" applyAlignment="1" applyProtection="1">
      <alignment horizontal="center" vertical="center" shrinkToFit="1"/>
    </xf>
    <xf numFmtId="0" fontId="51" fillId="0" borderId="0" xfId="3" applyFont="1" applyFill="1" applyAlignment="1" applyProtection="1">
      <alignment horizontal="center" vertical="center" shrinkToFit="1"/>
    </xf>
    <xf numFmtId="180" fontId="52" fillId="0" borderId="0" xfId="3" applyNumberFormat="1" applyFont="1" applyFill="1" applyAlignment="1" applyProtection="1">
      <alignment horizontal="center" vertical="center" shrinkToFit="1"/>
    </xf>
    <xf numFmtId="180" fontId="53" fillId="0" borderId="0" xfId="3" applyNumberFormat="1" applyFont="1" applyFill="1" applyAlignment="1" applyProtection="1">
      <alignment horizontal="center" vertical="center" shrinkToFit="1"/>
    </xf>
    <xf numFmtId="180" fontId="55" fillId="0" borderId="0" xfId="3" applyNumberFormat="1" applyFont="1" applyAlignment="1" applyProtection="1">
      <alignment horizontal="center" vertical="center" shrinkToFit="1"/>
    </xf>
    <xf numFmtId="0" fontId="49" fillId="0" borderId="0" xfId="3" applyFont="1" applyAlignment="1" applyProtection="1">
      <alignment horizontal="center" vertical="center" shrinkToFit="1"/>
    </xf>
    <xf numFmtId="188" fontId="0" fillId="2" borderId="16" xfId="0" applyNumberFormat="1" applyFont="1" applyFill="1" applyBorder="1" applyAlignment="1" applyProtection="1">
      <alignment horizontal="center" vertical="center"/>
    </xf>
    <xf numFmtId="188" fontId="0" fillId="2" borderId="33" xfId="0" applyNumberFormat="1" applyFont="1" applyFill="1" applyBorder="1" applyAlignment="1" applyProtection="1">
      <alignment horizontal="center" vertical="center"/>
    </xf>
    <xf numFmtId="188" fontId="0" fillId="2" borderId="18" xfId="0" applyNumberFormat="1" applyFont="1" applyFill="1" applyBorder="1" applyAlignment="1" applyProtection="1">
      <alignment horizontal="center" vertical="center"/>
    </xf>
    <xf numFmtId="180" fontId="0" fillId="2" borderId="16" xfId="0" applyNumberFormat="1" applyFont="1" applyFill="1" applyBorder="1" applyAlignment="1" applyProtection="1">
      <alignment horizontal="center" vertical="center"/>
    </xf>
    <xf numFmtId="180" fontId="0" fillId="2" borderId="33" xfId="0" applyNumberFormat="1" applyFont="1" applyFill="1" applyBorder="1" applyAlignment="1" applyProtection="1">
      <alignment horizontal="center" vertical="center"/>
    </xf>
    <xf numFmtId="180" fontId="0" fillId="2" borderId="18" xfId="0" applyNumberFormat="1" applyFont="1" applyFill="1" applyBorder="1" applyAlignment="1" applyProtection="1">
      <alignment horizontal="center" vertical="center"/>
    </xf>
    <xf numFmtId="180" fontId="0" fillId="2" borderId="17" xfId="0" applyNumberFormat="1" applyFont="1" applyFill="1" applyBorder="1" applyAlignment="1" applyProtection="1">
      <alignment horizontal="center" vertical="center"/>
    </xf>
    <xf numFmtId="188" fontId="0" fillId="2" borderId="223" xfId="0" applyNumberFormat="1" applyFont="1" applyFill="1" applyBorder="1" applyAlignment="1" applyProtection="1">
      <alignment horizontal="center" vertical="center"/>
    </xf>
    <xf numFmtId="188" fontId="0" fillId="2" borderId="235" xfId="0" applyNumberFormat="1" applyFont="1" applyFill="1" applyBorder="1" applyAlignment="1" applyProtection="1">
      <alignment horizontal="center" vertical="center"/>
    </xf>
    <xf numFmtId="188" fontId="0" fillId="2" borderId="19" xfId="0" applyNumberFormat="1" applyFont="1" applyFill="1" applyBorder="1" applyAlignment="1" applyProtection="1">
      <alignment horizontal="center" vertical="center"/>
    </xf>
    <xf numFmtId="188" fontId="0" fillId="2" borderId="20" xfId="0" applyNumberFormat="1" applyFont="1" applyFill="1" applyBorder="1" applyAlignment="1" applyProtection="1">
      <alignment horizontal="center" vertical="center"/>
    </xf>
    <xf numFmtId="188" fontId="0" fillId="2" borderId="17" xfId="0" applyNumberFormat="1" applyFont="1" applyFill="1" applyBorder="1" applyAlignment="1" applyProtection="1">
      <alignment horizontal="center" vertical="center"/>
    </xf>
    <xf numFmtId="188" fontId="0" fillId="2" borderId="28" xfId="0" applyNumberFormat="1" applyFont="1" applyFill="1" applyBorder="1" applyAlignment="1" applyProtection="1">
      <alignment horizontal="center" vertical="center"/>
    </xf>
    <xf numFmtId="188" fontId="0" fillId="2" borderId="23" xfId="0" applyNumberFormat="1" applyFont="1" applyFill="1" applyBorder="1" applyAlignment="1" applyProtection="1">
      <alignment horizontal="center" vertical="center"/>
    </xf>
    <xf numFmtId="188" fontId="0" fillId="2" borderId="35" xfId="0" applyNumberFormat="1" applyFont="1" applyFill="1" applyBorder="1" applyAlignment="1" applyProtection="1">
      <alignment horizontal="center" vertical="center"/>
    </xf>
    <xf numFmtId="198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quotePrefix="1" applyNumberFormat="1" applyFont="1" applyAlignment="1">
      <alignment horizontal="right" vertical="center"/>
    </xf>
    <xf numFmtId="0" fontId="2" fillId="0" borderId="0" xfId="0" quotePrefix="1" applyNumberFormat="1" applyFont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0" fillId="0" borderId="46" xfId="0" applyNumberFormat="1" applyFont="1" applyBorder="1" applyAlignment="1" applyProtection="1">
      <alignment horizontal="center" vertical="center"/>
    </xf>
    <xf numFmtId="0" fontId="0" fillId="0" borderId="1" xfId="0" applyNumberFormat="1" applyFont="1" applyBorder="1" applyAlignment="1" applyProtection="1">
      <alignment horizontal="center" vertical="center"/>
    </xf>
    <xf numFmtId="0" fontId="0" fillId="0" borderId="2" xfId="0" applyNumberFormat="1" applyFont="1" applyBorder="1" applyAlignment="1" applyProtection="1">
      <alignment horizontal="center" vertical="center"/>
    </xf>
    <xf numFmtId="0" fontId="0" fillId="0" borderId="74" xfId="0" applyNumberFormat="1" applyFont="1" applyBorder="1" applyAlignment="1" applyProtection="1">
      <alignment horizontal="center" vertical="center"/>
    </xf>
    <xf numFmtId="0" fontId="0" fillId="0" borderId="27" xfId="0" applyNumberFormat="1" applyFont="1" applyBorder="1" applyAlignment="1" applyProtection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223" xfId="0" applyNumberFormat="1" applyFont="1" applyBorder="1" applyAlignment="1" applyProtection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vertical="center"/>
    </xf>
    <xf numFmtId="0" fontId="0" fillId="0" borderId="0" xfId="0" applyFont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0" fontId="2" fillId="2" borderId="0" xfId="0" applyFont="1" applyFill="1" applyAlignment="1" applyProtection="1">
      <alignment horizontal="center" vertical="center"/>
    </xf>
    <xf numFmtId="0" fontId="0" fillId="0" borderId="74" xfId="0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0" fillId="0" borderId="1" xfId="0" applyFont="1" applyBorder="1" applyAlignment="1" applyProtection="1">
      <alignment horizontal="center" vertical="center"/>
    </xf>
    <xf numFmtId="0" fontId="0" fillId="0" borderId="133" xfId="0" applyFont="1" applyBorder="1" applyAlignment="1" applyProtection="1">
      <alignment horizontal="center" vertical="center"/>
    </xf>
    <xf numFmtId="0" fontId="0" fillId="0" borderId="134" xfId="0" applyFont="1" applyBorder="1" applyAlignment="1" applyProtection="1">
      <alignment horizontal="center" vertical="center"/>
    </xf>
    <xf numFmtId="0" fontId="0" fillId="2" borderId="4" xfId="0" applyFont="1" applyFill="1" applyBorder="1" applyAlignment="1" applyProtection="1">
      <alignment horizontal="center" vertical="center"/>
    </xf>
    <xf numFmtId="0" fontId="0" fillId="2" borderId="92" xfId="0" applyFont="1" applyFill="1" applyBorder="1" applyAlignment="1" applyProtection="1">
      <alignment horizontal="center" vertical="center"/>
    </xf>
    <xf numFmtId="0" fontId="0" fillId="2" borderId="11" xfId="0" applyFont="1" applyFill="1" applyBorder="1" applyAlignment="1" applyProtection="1">
      <alignment horizontal="center" vertical="center"/>
    </xf>
    <xf numFmtId="0" fontId="0" fillId="2" borderId="7" xfId="0" applyFont="1" applyFill="1" applyBorder="1" applyAlignment="1" applyProtection="1">
      <alignment horizontal="center" vertical="center"/>
    </xf>
    <xf numFmtId="0" fontId="0" fillId="0" borderId="15" xfId="0" applyFont="1" applyBorder="1" applyAlignment="1" applyProtection="1">
      <alignment horizontal="center" vertical="center"/>
    </xf>
    <xf numFmtId="0" fontId="0" fillId="0" borderId="149" xfId="0" applyFont="1" applyBorder="1" applyAlignment="1" applyProtection="1">
      <alignment horizontal="center" vertical="center"/>
    </xf>
    <xf numFmtId="0" fontId="0" fillId="0" borderId="152" xfId="0" applyFont="1" applyBorder="1" applyAlignment="1" applyProtection="1">
      <alignment horizontal="center" vertical="center"/>
    </xf>
    <xf numFmtId="0" fontId="0" fillId="0" borderId="153" xfId="0" applyFont="1" applyBorder="1" applyAlignment="1" applyProtection="1">
      <alignment horizontal="center" vertical="center"/>
    </xf>
    <xf numFmtId="0" fontId="0" fillId="0" borderId="179" xfId="0" applyFont="1" applyBorder="1" applyAlignment="1" applyProtection="1">
      <alignment horizontal="center" vertical="center"/>
    </xf>
    <xf numFmtId="0" fontId="0" fillId="0" borderId="0" xfId="0" applyFont="1" applyAlignment="1">
      <alignment vertical="center"/>
    </xf>
    <xf numFmtId="0" fontId="0" fillId="0" borderId="16" xfId="0" applyFont="1" applyBorder="1" applyAlignment="1" applyProtection="1">
      <alignment horizontal="center" vertical="center"/>
    </xf>
    <xf numFmtId="0" fontId="0" fillId="0" borderId="21" xfId="0" applyFont="1" applyBorder="1" applyAlignment="1" applyProtection="1">
      <alignment vertical="center"/>
    </xf>
    <xf numFmtId="0" fontId="0" fillId="0" borderId="17" xfId="0" applyFont="1" applyBorder="1" applyAlignment="1" applyProtection="1">
      <alignment vertical="center"/>
    </xf>
    <xf numFmtId="0" fontId="0" fillId="0" borderId="28" xfId="0" applyFont="1" applyBorder="1" applyAlignment="1" applyProtection="1">
      <alignment vertical="center"/>
    </xf>
    <xf numFmtId="0" fontId="0" fillId="0" borderId="183" xfId="0" applyFont="1" applyBorder="1" applyAlignment="1" applyProtection="1">
      <alignment horizontal="center" vertical="center"/>
    </xf>
    <xf numFmtId="0" fontId="0" fillId="0" borderId="166" xfId="0" applyFont="1" applyBorder="1" applyAlignment="1" applyProtection="1">
      <alignment horizontal="center" vertical="center"/>
    </xf>
    <xf numFmtId="0" fontId="0" fillId="0" borderId="175" xfId="0" applyFont="1" applyBorder="1" applyAlignment="1" applyProtection="1">
      <alignment horizontal="center" vertical="center"/>
    </xf>
    <xf numFmtId="0" fontId="0" fillId="0" borderId="178" xfId="0" applyFont="1" applyBorder="1" applyAlignment="1" applyProtection="1">
      <alignment horizontal="center" vertical="center"/>
    </xf>
    <xf numFmtId="0" fontId="0" fillId="0" borderId="155" xfId="0" applyFont="1" applyBorder="1" applyAlignment="1" applyProtection="1">
      <alignment horizontal="center" vertical="center"/>
    </xf>
    <xf numFmtId="0" fontId="0" fillId="0" borderId="87" xfId="0" applyFont="1" applyBorder="1" applyAlignment="1" applyProtection="1">
      <alignment vertical="center"/>
    </xf>
    <xf numFmtId="0" fontId="0" fillId="0" borderId="88" xfId="0" applyFont="1" applyBorder="1" applyAlignment="1" applyProtection="1">
      <alignment vertical="center"/>
    </xf>
    <xf numFmtId="0" fontId="0" fillId="0" borderId="177" xfId="0" applyFont="1" applyBorder="1" applyAlignment="1" applyProtection="1">
      <alignment vertical="center"/>
    </xf>
    <xf numFmtId="0" fontId="0" fillId="0" borderId="42" xfId="0" applyFont="1" applyBorder="1" applyAlignment="1" applyProtection="1">
      <alignment horizontal="center" vertical="center"/>
    </xf>
    <xf numFmtId="0" fontId="0" fillId="0" borderId="87" xfId="0" applyFont="1" applyBorder="1" applyAlignment="1" applyProtection="1">
      <alignment horizontal="center" vertical="center"/>
    </xf>
    <xf numFmtId="0" fontId="0" fillId="0" borderId="88" xfId="0" applyFont="1" applyBorder="1" applyAlignment="1" applyProtection="1">
      <alignment horizontal="center" vertical="center"/>
    </xf>
    <xf numFmtId="0" fontId="0" fillId="0" borderId="177" xfId="0" applyFont="1" applyBorder="1" applyAlignment="1" applyProtection="1">
      <alignment horizontal="center" vertical="center"/>
    </xf>
    <xf numFmtId="0" fontId="0" fillId="0" borderId="166" xfId="0" applyFont="1" applyBorder="1" applyAlignment="1" applyProtection="1">
      <alignment vertical="center"/>
    </xf>
    <xf numFmtId="0" fontId="0" fillId="0" borderId="156" xfId="0" applyFont="1" applyBorder="1" applyAlignment="1" applyProtection="1">
      <alignment vertical="center"/>
    </xf>
    <xf numFmtId="0" fontId="0" fillId="0" borderId="175" xfId="0" applyFont="1" applyBorder="1" applyAlignment="1" applyProtection="1">
      <alignment vertical="center"/>
    </xf>
    <xf numFmtId="0" fontId="0" fillId="0" borderId="178" xfId="0" applyFont="1" applyBorder="1" applyAlignment="1" applyProtection="1">
      <alignment vertical="center"/>
    </xf>
    <xf numFmtId="0" fontId="0" fillId="0" borderId="26" xfId="0" applyFont="1" applyBorder="1" applyAlignment="1" applyProtection="1">
      <alignment horizontal="center" vertical="center"/>
    </xf>
    <xf numFmtId="0" fontId="0" fillId="0" borderId="4" xfId="0" applyFont="1" applyBorder="1" applyAlignment="1" applyProtection="1">
      <alignment horizontal="center" vertical="center"/>
    </xf>
    <xf numFmtId="0" fontId="13" fillId="2" borderId="83" xfId="0" applyFont="1" applyFill="1" applyBorder="1" applyAlignment="1" applyProtection="1">
      <alignment horizontal="center" vertical="center"/>
    </xf>
    <xf numFmtId="0" fontId="13" fillId="2" borderId="84" xfId="0" applyFont="1" applyFill="1" applyBorder="1" applyAlignment="1" applyProtection="1">
      <alignment horizontal="center" vertical="center"/>
    </xf>
    <xf numFmtId="0" fontId="13" fillId="2" borderId="93" xfId="0" applyFont="1" applyFill="1" applyBorder="1" applyAlignment="1" applyProtection="1">
      <alignment horizontal="center" vertical="center"/>
    </xf>
    <xf numFmtId="0" fontId="0" fillId="0" borderId="22" xfId="0" applyFont="1" applyBorder="1" applyAlignment="1" applyProtection="1">
      <alignment horizontal="center" vertical="center"/>
    </xf>
    <xf numFmtId="0" fontId="0" fillId="0" borderId="23" xfId="0" applyFont="1" applyBorder="1" applyAlignment="1" applyProtection="1">
      <alignment horizontal="center" vertical="center"/>
    </xf>
    <xf numFmtId="0" fontId="13" fillId="2" borderId="85" xfId="0" applyFont="1" applyFill="1" applyBorder="1" applyAlignment="1" applyProtection="1">
      <alignment horizontal="center" vertical="center"/>
    </xf>
    <xf numFmtId="0" fontId="13" fillId="2" borderId="86" xfId="0" applyFont="1" applyFill="1" applyBorder="1" applyAlignment="1" applyProtection="1">
      <alignment horizontal="center" vertical="center"/>
    </xf>
    <xf numFmtId="0" fontId="13" fillId="2" borderId="94" xfId="0" applyFont="1" applyFill="1" applyBorder="1" applyAlignment="1" applyProtection="1">
      <alignment horizontal="center" vertical="center"/>
    </xf>
    <xf numFmtId="184" fontId="0" fillId="0" borderId="0" xfId="0" applyNumberFormat="1" applyFont="1" applyFill="1" applyBorder="1" applyAlignment="1">
      <alignment horizontal="center" vertical="center"/>
    </xf>
    <xf numFmtId="0" fontId="0" fillId="0" borderId="236" xfId="0" applyNumberFormat="1" applyFont="1" applyBorder="1" applyAlignment="1">
      <alignment horizontal="center" vertical="center"/>
    </xf>
    <xf numFmtId="0" fontId="0" fillId="0" borderId="237" xfId="0" applyNumberFormat="1" applyFont="1" applyBorder="1" applyAlignment="1">
      <alignment horizontal="center" vertical="center"/>
    </xf>
    <xf numFmtId="184" fontId="0" fillId="2" borderId="238" xfId="0" applyNumberFormat="1" applyFont="1" applyFill="1" applyBorder="1" applyAlignment="1">
      <alignment horizontal="center" vertical="center"/>
    </xf>
    <xf numFmtId="184" fontId="0" fillId="2" borderId="86" xfId="0" applyNumberFormat="1" applyFont="1" applyFill="1" applyBorder="1" applyAlignment="1">
      <alignment horizontal="center" vertical="center"/>
    </xf>
    <xf numFmtId="184" fontId="0" fillId="2" borderId="182" xfId="0" applyNumberFormat="1" applyFont="1" applyFill="1" applyBorder="1" applyAlignment="1">
      <alignment horizontal="center" vertical="center"/>
    </xf>
    <xf numFmtId="184" fontId="0" fillId="2" borderId="186" xfId="0" applyNumberFormat="1" applyFont="1" applyFill="1" applyBorder="1" applyAlignment="1">
      <alignment horizontal="center" vertical="center"/>
    </xf>
    <xf numFmtId="184" fontId="0" fillId="2" borderId="237" xfId="0" applyNumberFormat="1" applyFont="1" applyFill="1" applyBorder="1" applyAlignment="1">
      <alignment horizontal="center" vertical="center"/>
    </xf>
    <xf numFmtId="182" fontId="0" fillId="0" borderId="0" xfId="0" applyNumberFormat="1" applyFont="1" applyBorder="1" applyAlignment="1">
      <alignment horizontal="center" vertical="center"/>
    </xf>
    <xf numFmtId="181" fontId="0" fillId="0" borderId="0" xfId="0" applyNumberFormat="1" applyFont="1" applyFill="1" applyBorder="1" applyAlignment="1">
      <alignment horizontal="center" vertical="center"/>
    </xf>
    <xf numFmtId="189" fontId="0" fillId="0" borderId="65" xfId="0" applyNumberFormat="1" applyFont="1" applyBorder="1" applyAlignment="1">
      <alignment horizontal="center" vertical="center"/>
    </xf>
    <xf numFmtId="189" fontId="0" fillId="0" borderId="131" xfId="0" applyNumberFormat="1" applyFont="1" applyBorder="1" applyAlignment="1">
      <alignment horizontal="center" vertical="center"/>
    </xf>
    <xf numFmtId="189" fontId="0" fillId="0" borderId="11" xfId="0" applyNumberFormat="1" applyFont="1" applyBorder="1" applyAlignment="1">
      <alignment horizontal="center" vertical="center"/>
    </xf>
    <xf numFmtId="2" fontId="48" fillId="24" borderId="0" xfId="3" applyNumberFormat="1" applyFont="1" applyFill="1" applyAlignment="1" applyProtection="1">
      <alignment horizontal="center" vertical="center" shrinkToFit="1"/>
      <protection locked="0"/>
    </xf>
    <xf numFmtId="181" fontId="0" fillId="0" borderId="151" xfId="0" applyNumberFormat="1" applyFont="1" applyFill="1" applyBorder="1" applyAlignment="1">
      <alignment horizontal="center" vertical="center"/>
    </xf>
    <xf numFmtId="181" fontId="0" fillId="0" borderId="160" xfId="0" applyNumberFormat="1" applyFont="1" applyFill="1" applyBorder="1" applyAlignment="1">
      <alignment horizontal="center" vertical="center"/>
    </xf>
    <xf numFmtId="0" fontId="0" fillId="3" borderId="17" xfId="0" applyNumberFormat="1" applyFill="1" applyBorder="1" applyAlignment="1" applyProtection="1">
      <alignment horizontal="center" vertical="center"/>
      <protection locked="0"/>
    </xf>
    <xf numFmtId="0" fontId="0" fillId="3" borderId="88" xfId="0" applyNumberFormat="1" applyFill="1" applyBorder="1" applyAlignment="1" applyProtection="1">
      <alignment horizontal="center" vertical="center"/>
      <protection locked="0"/>
    </xf>
    <xf numFmtId="184" fontId="0" fillId="3" borderId="17" xfId="0" applyNumberFormat="1" applyFill="1" applyBorder="1" applyAlignment="1" applyProtection="1">
      <alignment horizontal="center" vertical="center"/>
      <protection locked="0"/>
    </xf>
    <xf numFmtId="189" fontId="0" fillId="3" borderId="16" xfId="0" applyNumberFormat="1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2" fontId="0" fillId="3" borderId="16" xfId="0" applyNumberFormat="1" applyFill="1" applyBorder="1" applyAlignment="1" applyProtection="1">
      <alignment horizontal="center" vertical="center"/>
      <protection locked="0"/>
    </xf>
    <xf numFmtId="0" fontId="0" fillId="3" borderId="21" xfId="0" applyNumberFormat="1" applyFill="1" applyBorder="1" applyAlignment="1" applyProtection="1">
      <alignment horizontal="center" vertical="center"/>
      <protection locked="0"/>
    </xf>
    <xf numFmtId="184" fontId="0" fillId="3" borderId="21" xfId="0" applyNumberFormat="1" applyFill="1" applyBorder="1" applyAlignment="1" applyProtection="1">
      <alignment horizontal="center" vertical="center"/>
      <protection locked="0"/>
    </xf>
    <xf numFmtId="0" fontId="0" fillId="3" borderId="90" xfId="0" applyNumberFormat="1" applyFill="1" applyBorder="1" applyAlignment="1" applyProtection="1">
      <alignment horizontal="center" vertical="center"/>
      <protection locked="0"/>
    </xf>
    <xf numFmtId="0" fontId="0" fillId="3" borderId="17" xfId="0" applyNumberFormat="1" applyFill="1" applyBorder="1" applyAlignment="1" applyProtection="1">
      <alignment horizontal="center" vertical="center"/>
      <protection locked="0"/>
    </xf>
    <xf numFmtId="0" fontId="0" fillId="3" borderId="88" xfId="0" applyNumberFormat="1" applyFill="1" applyBorder="1" applyAlignment="1" applyProtection="1">
      <alignment horizontal="center" vertical="center"/>
      <protection locked="0"/>
    </xf>
    <xf numFmtId="184" fontId="0" fillId="3" borderId="17" xfId="0" applyNumberFormat="1" applyFill="1" applyBorder="1" applyAlignment="1" applyProtection="1">
      <alignment horizontal="center" vertical="center"/>
      <protection locked="0"/>
    </xf>
    <xf numFmtId="184" fontId="0" fillId="3" borderId="20" xfId="0" applyNumberFormat="1" applyFill="1" applyBorder="1" applyAlignment="1" applyProtection="1">
      <alignment horizontal="center" vertical="center"/>
      <protection locked="0"/>
    </xf>
    <xf numFmtId="0" fontId="0" fillId="3" borderId="18" xfId="0" applyNumberFormat="1" applyFill="1" applyBorder="1" applyAlignment="1" applyProtection="1">
      <alignment horizontal="center" vertical="center"/>
      <protection locked="0"/>
    </xf>
    <xf numFmtId="0" fontId="0" fillId="3" borderId="14" xfId="0" applyNumberFormat="1" applyFill="1" applyBorder="1" applyAlignment="1" applyProtection="1">
      <alignment horizontal="center" vertical="center"/>
      <protection locked="0"/>
    </xf>
    <xf numFmtId="190" fontId="0" fillId="3" borderId="0" xfId="2" applyNumberFormat="1" applyFont="1" applyFill="1" applyBorder="1" applyAlignment="1" applyProtection="1">
      <alignment horizontal="center" vertical="center"/>
    </xf>
    <xf numFmtId="0" fontId="0" fillId="3" borderId="21" xfId="0" applyNumberFormat="1" applyFill="1" applyBorder="1" applyAlignment="1" applyProtection="1">
      <alignment horizontal="center" vertical="center"/>
      <protection locked="0"/>
    </xf>
    <xf numFmtId="184" fontId="0" fillId="3" borderId="21" xfId="0" applyNumberFormat="1" applyFill="1" applyBorder="1" applyAlignment="1" applyProtection="1">
      <alignment horizontal="center" vertical="center"/>
      <protection locked="0"/>
    </xf>
    <xf numFmtId="0" fontId="0" fillId="3" borderId="90" xfId="0" applyNumberFormat="1" applyFill="1" applyBorder="1" applyAlignment="1" applyProtection="1">
      <alignment horizontal="center" vertical="center"/>
      <protection locked="0"/>
    </xf>
    <xf numFmtId="189" fontId="0" fillId="0" borderId="123" xfId="0" applyNumberFormat="1" applyFont="1" applyBorder="1" applyAlignment="1">
      <alignment horizontal="center" vertical="center"/>
    </xf>
    <xf numFmtId="0" fontId="56" fillId="0" borderId="21" xfId="0" applyNumberFormat="1" applyFont="1" applyFill="1" applyBorder="1" applyAlignment="1" applyProtection="1">
      <alignment vertical="center"/>
    </xf>
    <xf numFmtId="0" fontId="56" fillId="0" borderId="17" xfId="0" applyNumberFormat="1" applyFont="1" applyBorder="1" applyAlignment="1" applyProtection="1">
      <alignment vertical="center"/>
    </xf>
    <xf numFmtId="0" fontId="56" fillId="0" borderId="18" xfId="0" applyNumberFormat="1" applyFont="1" applyBorder="1" applyAlignment="1" applyProtection="1">
      <alignment vertical="center"/>
    </xf>
    <xf numFmtId="0" fontId="0" fillId="4" borderId="0" xfId="0" applyNumberFormat="1" applyFont="1" applyFill="1" applyAlignment="1" applyProtection="1">
      <alignment horizontal="center" vertical="center"/>
      <protection locked="0"/>
    </xf>
    <xf numFmtId="0" fontId="2" fillId="3" borderId="0" xfId="0" applyNumberFormat="1" applyFont="1" applyFill="1" applyAlignment="1" applyProtection="1">
      <alignment horizontal="center" vertical="center"/>
      <protection locked="0"/>
    </xf>
    <xf numFmtId="0" fontId="2" fillId="0" borderId="126" xfId="0" applyNumberFormat="1" applyFont="1" applyBorder="1" applyAlignment="1">
      <alignment horizontal="center" vertical="center"/>
    </xf>
    <xf numFmtId="0" fontId="2" fillId="0" borderId="63" xfId="0" applyNumberFormat="1" applyFont="1" applyBorder="1" applyAlignment="1">
      <alignment horizontal="center" vertical="center"/>
    </xf>
    <xf numFmtId="0" fontId="2" fillId="0" borderId="70" xfId="0" applyNumberFormat="1" applyFont="1" applyBorder="1" applyAlignment="1">
      <alignment horizontal="center" vertical="center"/>
    </xf>
    <xf numFmtId="0" fontId="2" fillId="0" borderId="71" xfId="0" applyNumberFormat="1" applyFont="1" applyBorder="1" applyAlignment="1">
      <alignment horizontal="center" vertical="center"/>
    </xf>
    <xf numFmtId="0" fontId="2" fillId="0" borderId="207" xfId="0" applyNumberFormat="1" applyFont="1" applyBorder="1" applyAlignment="1">
      <alignment horizontal="center" vertical="center"/>
    </xf>
    <xf numFmtId="0" fontId="2" fillId="0" borderId="107" xfId="0" applyNumberFormat="1" applyFont="1" applyBorder="1" applyAlignment="1">
      <alignment horizontal="center" vertical="center"/>
    </xf>
    <xf numFmtId="0" fontId="2" fillId="0" borderId="46" xfId="0" applyNumberFormat="1" applyFont="1" applyBorder="1" applyAlignment="1">
      <alignment horizontal="center" vertical="center"/>
    </xf>
    <xf numFmtId="0" fontId="0" fillId="0" borderId="70" xfId="0" applyNumberFormat="1" applyFont="1" applyBorder="1" applyAlignment="1">
      <alignment horizontal="center" vertical="center"/>
    </xf>
    <xf numFmtId="0" fontId="0" fillId="0" borderId="71" xfId="0" applyNumberFormat="1" applyFont="1" applyBorder="1" applyAlignment="1">
      <alignment horizontal="center" vertical="center"/>
    </xf>
    <xf numFmtId="0" fontId="2" fillId="0" borderId="40" xfId="0" applyNumberFormat="1" applyFont="1" applyBorder="1" applyAlignment="1">
      <alignment horizontal="center" vertical="center"/>
    </xf>
    <xf numFmtId="0" fontId="0" fillId="0" borderId="72" xfId="0" applyNumberFormat="1" applyFont="1" applyBorder="1" applyAlignment="1">
      <alignment horizontal="center" vertical="center"/>
    </xf>
    <xf numFmtId="0" fontId="0" fillId="0" borderId="63" xfId="0" applyNumberFormat="1" applyFont="1" applyFill="1" applyBorder="1" applyAlignment="1">
      <alignment horizontal="center" vertical="center"/>
    </xf>
    <xf numFmtId="0" fontId="0" fillId="0" borderId="27" xfId="0" applyNumberFormat="1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0" fillId="0" borderId="45" xfId="0" applyNumberFormat="1" applyFont="1" applyBorder="1" applyAlignment="1" applyProtection="1">
      <alignment horizontal="center" vertical="center"/>
    </xf>
    <xf numFmtId="0" fontId="0" fillId="0" borderId="46" xfId="0" applyNumberFormat="1" applyFont="1" applyBorder="1" applyAlignment="1" applyProtection="1">
      <alignment horizontal="center" vertical="center"/>
    </xf>
    <xf numFmtId="0" fontId="0" fillId="0" borderId="9" xfId="0" applyNumberFormat="1" applyFont="1" applyBorder="1" applyAlignment="1" applyProtection="1">
      <alignment horizontal="center" vertical="center"/>
    </xf>
    <xf numFmtId="0" fontId="0" fillId="0" borderId="99" xfId="0" applyNumberFormat="1" applyFont="1" applyBorder="1" applyAlignment="1" applyProtection="1">
      <alignment horizontal="center" vertical="center"/>
    </xf>
    <xf numFmtId="0" fontId="0" fillId="0" borderId="103" xfId="0" applyNumberFormat="1" applyFont="1" applyBorder="1" applyAlignment="1" applyProtection="1">
      <alignment horizontal="center" vertical="center"/>
    </xf>
    <xf numFmtId="0" fontId="0" fillId="0" borderId="104" xfId="0" applyNumberFormat="1" applyFont="1" applyBorder="1" applyAlignment="1" applyProtection="1">
      <alignment horizontal="center" vertical="center"/>
    </xf>
    <xf numFmtId="0" fontId="0" fillId="0" borderId="15" xfId="0" applyNumberFormat="1" applyFont="1" applyBorder="1" applyAlignment="1">
      <alignment horizontal="center" vertical="center"/>
    </xf>
    <xf numFmtId="0" fontId="0" fillId="0" borderId="75" xfId="0" applyNumberFormat="1" applyFont="1" applyBorder="1" applyAlignment="1">
      <alignment horizontal="center" vertical="center"/>
    </xf>
    <xf numFmtId="0" fontId="0" fillId="0" borderId="63" xfId="0" applyNumberFormat="1" applyFont="1" applyBorder="1" applyAlignment="1">
      <alignment horizontal="center" vertical="center"/>
    </xf>
    <xf numFmtId="0" fontId="0" fillId="0" borderId="27" xfId="0" applyNumberFormat="1" applyFont="1" applyBorder="1" applyAlignment="1">
      <alignment horizontal="center" vertical="center"/>
    </xf>
    <xf numFmtId="0" fontId="0" fillId="0" borderId="46" xfId="0" applyNumberFormat="1" applyFont="1" applyBorder="1" applyAlignment="1">
      <alignment horizontal="center" vertical="center"/>
    </xf>
    <xf numFmtId="0" fontId="0" fillId="0" borderId="136" xfId="0" applyNumberFormat="1" applyFont="1" applyBorder="1" applyAlignment="1">
      <alignment horizontal="center" vertical="center"/>
    </xf>
    <xf numFmtId="0" fontId="0" fillId="0" borderId="66" xfId="0" applyNumberFormat="1" applyFont="1" applyBorder="1" applyAlignment="1">
      <alignment horizontal="center" vertical="center"/>
    </xf>
    <xf numFmtId="0" fontId="0" fillId="0" borderId="26" xfId="0" applyNumberFormat="1" applyFont="1" applyBorder="1" applyAlignment="1">
      <alignment horizontal="center" vertical="center"/>
    </xf>
    <xf numFmtId="0" fontId="0" fillId="0" borderId="67" xfId="0" applyNumberFormat="1" applyFont="1" applyBorder="1" applyAlignment="1">
      <alignment horizontal="center" vertical="center"/>
    </xf>
    <xf numFmtId="0" fontId="0" fillId="5" borderId="23" xfId="0" applyNumberFormat="1" applyFont="1" applyFill="1" applyBorder="1" applyAlignment="1">
      <alignment horizontal="center" vertical="center"/>
    </xf>
    <xf numFmtId="0" fontId="0" fillId="5" borderId="34" xfId="0" applyNumberFormat="1" applyFont="1" applyFill="1" applyBorder="1" applyAlignment="1">
      <alignment horizontal="center" vertical="center"/>
    </xf>
    <xf numFmtId="0" fontId="0" fillId="5" borderId="78" xfId="0" applyNumberFormat="1" applyFont="1" applyFill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129" xfId="0" applyNumberFormat="1" applyFont="1" applyBorder="1" applyAlignment="1">
      <alignment horizontal="center" vertical="center"/>
    </xf>
    <xf numFmtId="0" fontId="0" fillId="0" borderId="125" xfId="0" applyNumberFormat="1" applyFont="1" applyBorder="1" applyAlignment="1">
      <alignment horizontal="center" vertical="center"/>
    </xf>
    <xf numFmtId="0" fontId="0" fillId="0" borderId="220" xfId="0" applyNumberFormat="1" applyFont="1" applyBorder="1" applyAlignment="1">
      <alignment horizontal="center" vertical="center"/>
    </xf>
    <xf numFmtId="0" fontId="0" fillId="0" borderId="45" xfId="0" applyNumberFormat="1" applyFont="1" applyBorder="1" applyAlignment="1">
      <alignment horizontal="center" vertical="center"/>
    </xf>
    <xf numFmtId="0" fontId="0" fillId="0" borderId="64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77" xfId="0" applyNumberFormat="1" applyFont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0" fillId="0" borderId="74" xfId="0" applyNumberFormat="1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/>
    </xf>
    <xf numFmtId="0" fontId="5" fillId="0" borderId="221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0" fillId="0" borderId="130" xfId="0" applyNumberFormat="1" applyFont="1" applyBorder="1" applyAlignment="1">
      <alignment horizontal="center" vertical="center"/>
    </xf>
    <xf numFmtId="0" fontId="0" fillId="0" borderId="32" xfId="0" applyNumberFormat="1" applyFont="1" applyBorder="1" applyAlignment="1">
      <alignment horizontal="center" vertical="center"/>
    </xf>
    <xf numFmtId="0" fontId="0" fillId="0" borderId="29" xfId="0" applyNumberFormat="1" applyFont="1" applyBorder="1" applyAlignment="1">
      <alignment horizontal="center" vertical="center"/>
    </xf>
    <xf numFmtId="0" fontId="0" fillId="0" borderId="127" xfId="0" applyNumberFormat="1" applyFont="1" applyBorder="1" applyAlignment="1">
      <alignment horizontal="center" vertical="center"/>
    </xf>
    <xf numFmtId="0" fontId="0" fillId="0" borderId="137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0" fontId="0" fillId="0" borderId="99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 applyProtection="1">
      <alignment horizontal="center" vertical="center"/>
    </xf>
    <xf numFmtId="0" fontId="0" fillId="0" borderId="2" xfId="0" applyNumberFormat="1" applyFont="1" applyBorder="1" applyAlignment="1" applyProtection="1">
      <alignment horizontal="center" vertical="center"/>
    </xf>
    <xf numFmtId="0" fontId="0" fillId="0" borderId="77" xfId="0" applyNumberFormat="1" applyFont="1" applyBorder="1" applyAlignment="1" applyProtection="1">
      <alignment horizontal="center" vertical="center"/>
    </xf>
    <xf numFmtId="0" fontId="0" fillId="2" borderId="19" xfId="0" applyNumberFormat="1" applyFont="1" applyFill="1" applyBorder="1" applyAlignment="1" applyProtection="1">
      <alignment horizontal="center" vertical="center"/>
    </xf>
    <xf numFmtId="0" fontId="0" fillId="2" borderId="24" xfId="0" applyNumberFormat="1" applyFont="1" applyFill="1" applyBorder="1" applyAlignment="1" applyProtection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179" fontId="0" fillId="2" borderId="10" xfId="0" applyNumberFormat="1" applyFont="1" applyFill="1" applyBorder="1" applyAlignment="1">
      <alignment horizontal="center" vertical="center"/>
    </xf>
    <xf numFmtId="179" fontId="0" fillId="2" borderId="8" xfId="0" applyNumberFormat="1" applyFont="1" applyFill="1" applyBorder="1" applyAlignment="1">
      <alignment horizontal="center" vertical="center"/>
    </xf>
    <xf numFmtId="178" fontId="0" fillId="2" borderId="109" xfId="0" applyNumberFormat="1" applyFont="1" applyFill="1" applyBorder="1" applyAlignment="1" applyProtection="1">
      <alignment horizontal="center" vertical="center"/>
    </xf>
    <xf numFmtId="178" fontId="0" fillId="2" borderId="39" xfId="0" applyNumberFormat="1" applyFont="1" applyFill="1" applyBorder="1" applyAlignment="1" applyProtection="1">
      <alignment horizontal="center" vertical="center"/>
    </xf>
    <xf numFmtId="0" fontId="0" fillId="0" borderId="129" xfId="0" applyNumberFormat="1" applyFont="1" applyBorder="1" applyAlignment="1" applyProtection="1">
      <alignment horizontal="center" vertical="center"/>
    </xf>
    <xf numFmtId="0" fontId="0" fillId="0" borderId="66" xfId="0" applyNumberFormat="1" applyFont="1" applyBorder="1" applyAlignment="1" applyProtection="1">
      <alignment horizontal="center" vertical="center"/>
    </xf>
    <xf numFmtId="0" fontId="0" fillId="0" borderId="222" xfId="0" applyNumberFormat="1" applyFont="1" applyBorder="1" applyAlignment="1" applyProtection="1">
      <alignment horizontal="center" vertical="center"/>
    </xf>
    <xf numFmtId="0" fontId="0" fillId="0" borderId="30" xfId="0" applyNumberFormat="1" applyFont="1" applyBorder="1" applyAlignment="1" applyProtection="1">
      <alignment horizontal="center" vertical="center"/>
    </xf>
    <xf numFmtId="0" fontId="0" fillId="0" borderId="27" xfId="0" applyNumberFormat="1" applyFont="1" applyBorder="1" applyAlignment="1" applyProtection="1">
      <alignment horizontal="center" vertical="center"/>
    </xf>
    <xf numFmtId="0" fontId="0" fillId="0" borderId="10" xfId="0" applyNumberFormat="1" applyFont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77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0" fontId="0" fillId="0" borderId="3" xfId="0" applyNumberFormat="1" applyFont="1" applyBorder="1" applyAlignment="1" applyProtection="1">
      <alignment horizontal="center" vertical="center"/>
    </xf>
    <xf numFmtId="0" fontId="0" fillId="0" borderId="223" xfId="0" applyNumberFormat="1" applyFont="1" applyBorder="1" applyAlignment="1" applyProtection="1">
      <alignment horizontal="center" vertical="center"/>
    </xf>
    <xf numFmtId="0" fontId="0" fillId="0" borderId="137" xfId="0" applyNumberFormat="1" applyFont="1" applyBorder="1" applyAlignment="1" applyProtection="1">
      <alignment horizontal="center" vertical="center"/>
    </xf>
    <xf numFmtId="0" fontId="2" fillId="0" borderId="0" xfId="0" applyNumberFormat="1" applyFont="1" applyAlignment="1" applyProtection="1">
      <alignment horizontal="center" vertical="center"/>
    </xf>
    <xf numFmtId="0" fontId="2" fillId="5" borderId="208" xfId="0" applyNumberFormat="1" applyFont="1" applyFill="1" applyBorder="1" applyAlignment="1" applyProtection="1">
      <alignment horizontal="center" vertical="center"/>
      <protection locked="0"/>
    </xf>
    <xf numFmtId="0" fontId="2" fillId="5" borderId="104" xfId="0" applyNumberFormat="1" applyFont="1" applyFill="1" applyBorder="1" applyAlignment="1" applyProtection="1">
      <alignment horizontal="center" vertical="center"/>
      <protection locked="0"/>
    </xf>
    <xf numFmtId="0" fontId="0" fillId="2" borderId="20" xfId="0" applyNumberFormat="1" applyFont="1" applyFill="1" applyBorder="1" applyAlignment="1" applyProtection="1">
      <alignment horizontal="center" vertical="center"/>
    </xf>
    <xf numFmtId="0" fontId="0" fillId="2" borderId="25" xfId="0" applyNumberFormat="1" applyFont="1" applyFill="1" applyBorder="1" applyAlignment="1" applyProtection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28" xfId="0" applyFont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0" fillId="0" borderId="31" xfId="0" applyNumberFormat="1" applyFont="1" applyBorder="1" applyAlignment="1" applyProtection="1">
      <alignment horizontal="center" vertical="center"/>
    </xf>
    <xf numFmtId="0" fontId="0" fillId="0" borderId="66" xfId="0" applyNumberFormat="1" applyFont="1" applyFill="1" applyBorder="1" applyAlignment="1" applyProtection="1">
      <alignment horizontal="center" vertical="center"/>
    </xf>
    <xf numFmtId="0" fontId="0" fillId="0" borderId="67" xfId="0" applyNumberFormat="1" applyFont="1" applyFill="1" applyBorder="1" applyAlignment="1" applyProtection="1">
      <alignment horizontal="center" vertical="center"/>
    </xf>
    <xf numFmtId="0" fontId="0" fillId="0" borderId="45" xfId="0" applyNumberFormat="1" applyFont="1" applyFill="1" applyBorder="1" applyAlignment="1" applyProtection="1">
      <alignment horizontal="center" vertical="center"/>
    </xf>
    <xf numFmtId="0" fontId="0" fillId="0" borderId="46" xfId="0" applyNumberFormat="1" applyFont="1" applyFill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74" xfId="0" applyNumberFormat="1" applyFont="1" applyBorder="1" applyAlignment="1" applyProtection="1">
      <alignment horizontal="center" vertical="center"/>
    </xf>
    <xf numFmtId="0" fontId="0" fillId="0" borderId="67" xfId="0" applyNumberFormat="1" applyFont="1" applyBorder="1" applyAlignment="1" applyProtection="1">
      <alignment horizontal="center" vertical="center"/>
    </xf>
    <xf numFmtId="0" fontId="0" fillId="0" borderId="64" xfId="0" applyFont="1" applyBorder="1" applyAlignment="1">
      <alignment horizontal="center" vertical="center"/>
    </xf>
    <xf numFmtId="0" fontId="0" fillId="2" borderId="10" xfId="0" applyNumberFormat="1" applyFont="1" applyFill="1" applyBorder="1" applyAlignment="1">
      <alignment horizontal="center" vertical="center"/>
    </xf>
    <xf numFmtId="0" fontId="0" fillId="2" borderId="8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74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63" xfId="0" applyNumberFormat="1" applyFont="1" applyBorder="1" applyAlignment="1">
      <alignment horizontal="center" vertical="center" wrapText="1"/>
    </xf>
    <xf numFmtId="0" fontId="0" fillId="0" borderId="64" xfId="0" applyNumberFormat="1" applyFont="1" applyBorder="1" applyAlignment="1">
      <alignment horizontal="center" vertical="center" wrapText="1"/>
    </xf>
    <xf numFmtId="0" fontId="0" fillId="5" borderId="30" xfId="0" applyNumberFormat="1" applyFont="1" applyFill="1" applyBorder="1" applyAlignment="1">
      <alignment horizontal="center" vertical="center"/>
    </xf>
    <xf numFmtId="0" fontId="0" fillId="5" borderId="147" xfId="0" applyNumberFormat="1" applyFont="1" applyFill="1" applyBorder="1" applyAlignment="1">
      <alignment horizontal="center" vertical="center"/>
    </xf>
    <xf numFmtId="0" fontId="14" fillId="5" borderId="30" xfId="0" applyNumberFormat="1" applyFont="1" applyFill="1" applyBorder="1" applyAlignment="1">
      <alignment horizontal="center" vertical="center"/>
    </xf>
    <xf numFmtId="0" fontId="14" fillId="5" borderId="147" xfId="0" applyNumberFormat="1" applyFont="1" applyFill="1" applyBorder="1" applyAlignment="1">
      <alignment horizontal="center" vertical="center"/>
    </xf>
    <xf numFmtId="0" fontId="14" fillId="5" borderId="32" xfId="0" applyNumberFormat="1" applyFont="1" applyFill="1" applyBorder="1" applyAlignment="1">
      <alignment horizontal="center" vertical="center"/>
    </xf>
    <xf numFmtId="0" fontId="14" fillId="5" borderId="41" xfId="0" applyNumberFormat="1" applyFont="1" applyFill="1" applyBorder="1" applyAlignment="1">
      <alignment horizontal="center" vertical="center"/>
    </xf>
    <xf numFmtId="0" fontId="0" fillId="0" borderId="9" xfId="0" applyFont="1" applyBorder="1" applyAlignment="1" applyProtection="1">
      <alignment horizontal="center" vertical="center"/>
    </xf>
    <xf numFmtId="0" fontId="0" fillId="0" borderId="99" xfId="0" applyFont="1" applyBorder="1" applyAlignment="1" applyProtection="1">
      <alignment horizontal="center" vertical="center"/>
    </xf>
    <xf numFmtId="0" fontId="48" fillId="23" borderId="0" xfId="3" applyFont="1" applyFill="1" applyAlignment="1" applyProtection="1">
      <alignment horizontal="center" vertical="center" shrinkToFit="1"/>
    </xf>
    <xf numFmtId="0" fontId="15" fillId="0" borderId="45" xfId="0" applyNumberFormat="1" applyFont="1" applyBorder="1" applyAlignment="1" applyProtection="1">
      <alignment horizontal="center" vertical="center"/>
    </xf>
    <xf numFmtId="0" fontId="15" fillId="0" borderId="46" xfId="0" applyNumberFormat="1" applyFont="1" applyBorder="1" applyAlignment="1" applyProtection="1">
      <alignment horizontal="center" vertical="center"/>
    </xf>
    <xf numFmtId="0" fontId="15" fillId="0" borderId="0" xfId="0" applyNumberFormat="1" applyFont="1" applyFill="1" applyAlignment="1">
      <alignment horizontal="left" vertical="center"/>
    </xf>
    <xf numFmtId="0" fontId="15" fillId="0" borderId="10" xfId="0" applyNumberFormat="1" applyFont="1" applyBorder="1" applyAlignment="1" applyProtection="1">
      <alignment horizontal="center" vertical="center"/>
    </xf>
    <xf numFmtId="0" fontId="15" fillId="0" borderId="5" xfId="0" applyNumberFormat="1" applyFont="1" applyBorder="1" applyAlignment="1" applyProtection="1">
      <alignment horizontal="center" vertical="center"/>
    </xf>
    <xf numFmtId="0" fontId="15" fillId="0" borderId="8" xfId="0" applyNumberFormat="1" applyFont="1" applyBorder="1" applyAlignment="1" applyProtection="1">
      <alignment horizontal="center" vertical="center"/>
    </xf>
    <xf numFmtId="0" fontId="16" fillId="0" borderId="10" xfId="0" applyNumberFormat="1" applyFont="1" applyBorder="1" applyAlignment="1" applyProtection="1">
      <alignment horizontal="center" vertical="center"/>
    </xf>
    <xf numFmtId="0" fontId="16" fillId="0" borderId="5" xfId="0" applyNumberFormat="1" applyFont="1" applyBorder="1" applyAlignment="1" applyProtection="1">
      <alignment horizontal="center" vertical="center"/>
    </xf>
    <xf numFmtId="0" fontId="16" fillId="0" borderId="8" xfId="0" applyNumberFormat="1" applyFont="1" applyBorder="1" applyAlignment="1" applyProtection="1">
      <alignment horizontal="center" vertical="center"/>
    </xf>
    <xf numFmtId="193" fontId="0" fillId="0" borderId="97" xfId="0" applyNumberFormat="1" applyBorder="1" applyAlignment="1">
      <alignment horizontal="center" vertical="center"/>
    </xf>
    <xf numFmtId="193" fontId="0" fillId="0" borderId="113" xfId="0" applyNumberFormat="1" applyBorder="1" applyAlignment="1">
      <alignment horizontal="center" vertical="center"/>
    </xf>
    <xf numFmtId="193" fontId="0" fillId="0" borderId="224" xfId="0" applyNumberFormat="1" applyBorder="1" applyAlignment="1">
      <alignment horizontal="center" vertical="center"/>
    </xf>
    <xf numFmtId="0" fontId="2" fillId="6" borderId="130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6" borderId="136" xfId="0" applyFont="1" applyFill="1" applyBorder="1" applyAlignment="1">
      <alignment horizontal="center" vertical="center"/>
    </xf>
    <xf numFmtId="0" fontId="2" fillId="6" borderId="66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128" xfId="0" applyFont="1" applyFill="1" applyBorder="1" applyAlignment="1">
      <alignment horizontal="center" vertical="center"/>
    </xf>
    <xf numFmtId="0" fontId="2" fillId="6" borderId="225" xfId="0" applyFont="1" applyFill="1" applyBorder="1" applyAlignment="1">
      <alignment horizontal="center" vertical="center"/>
    </xf>
    <xf numFmtId="0" fontId="2" fillId="6" borderId="226" xfId="0" applyFont="1" applyFill="1" applyBorder="1" applyAlignment="1">
      <alignment horizontal="center" vertical="center"/>
    </xf>
    <xf numFmtId="0" fontId="2" fillId="6" borderId="227" xfId="0" applyFont="1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207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126" xfId="0" applyBorder="1" applyAlignment="1">
      <alignment horizontal="center" vertical="center" wrapText="1"/>
    </xf>
    <xf numFmtId="0" fontId="0" fillId="0" borderId="20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7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7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28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41" fillId="0" borderId="70" xfId="0" applyFont="1" applyFill="1" applyBorder="1" applyAlignment="1" applyProtection="1">
      <alignment horizontal="center" vertical="center"/>
    </xf>
    <xf numFmtId="0" fontId="41" fillId="0" borderId="126" xfId="0" applyFont="1" applyFill="1" applyBorder="1" applyAlignment="1" applyProtection="1">
      <alignment horizontal="center" vertical="center"/>
    </xf>
    <xf numFmtId="0" fontId="41" fillId="0" borderId="45" xfId="0" applyFont="1" applyFill="1" applyBorder="1" applyAlignment="1" applyProtection="1">
      <alignment horizontal="center" vertical="center"/>
    </xf>
    <xf numFmtId="0" fontId="41" fillId="0" borderId="46" xfId="0" applyFont="1" applyFill="1" applyBorder="1" applyAlignment="1" applyProtection="1">
      <alignment horizontal="center" vertical="center"/>
    </xf>
  </cellXfs>
  <cellStyles count="4">
    <cellStyle name="백분율" xfId="1" builtinId="5"/>
    <cellStyle name="쉼표 [0]" xfId="2" builtinId="6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2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styles" Target="style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externalLink" Target="externalLinks/externalLink3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341261633919338E-2"/>
          <c:y val="1.6949152542372881E-2"/>
          <c:w val="0.9793174767321613"/>
          <c:h val="0.9661016949152542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304320"/>
        <c:axId val="177305856"/>
      </c:barChart>
      <c:catAx>
        <c:axId val="177304320"/>
        <c:scaling>
          <c:orientation val="minMax"/>
        </c:scaling>
        <c:delete val="0"/>
        <c:axPos val="b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77305856"/>
        <c:crosses val="autoZero"/>
        <c:auto val="1"/>
        <c:lblAlgn val="ctr"/>
        <c:lblOffset val="100"/>
        <c:tickMarkSkip val="1"/>
        <c:noMultiLvlLbl val="0"/>
      </c:catAx>
      <c:valAx>
        <c:axId val="177305856"/>
        <c:scaling>
          <c:orientation val="minMax"/>
        </c:scaling>
        <c:delete val="0"/>
        <c:axPos val="l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177304320"/>
        <c:crosses val="autoZero"/>
        <c:crossBetween val="between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880431612715074"/>
          <c:y val="3.395061728395061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title>
    <c:autoTitleDeleted val="0"/>
    <c:view3D>
      <c:rotX val="15"/>
      <c:hPercent val="64"/>
      <c:rotY val="20"/>
      <c:depthPercent val="100"/>
      <c:rAngAx val="1"/>
    </c:view3D>
    <c:floor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floor>
    <c:sideWall>
      <c:thickness val="0"/>
      <c:spPr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sideWall>
    <c:backWall>
      <c:thickness val="0"/>
      <c:spPr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2222268592808062"/>
          <c:y val="0.10802501695426117"/>
          <c:w val="0.7478648084118098"/>
          <c:h val="0.7932122673498606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교통량추이그래프!$A$2</c:f>
              <c:strCache>
                <c:ptCount val="1"/>
                <c:pt idx="0">
                  <c:v>추정교통량</c:v>
                </c:pt>
              </c:strCache>
            </c:strRef>
          </c:tx>
          <c:spPr>
            <a:gradFill rotWithShape="0">
              <a:gsLst>
                <a:gs pos="0">
                  <a:srgbClr val="D8D8FF">
                    <a:gamma/>
                    <a:tint val="38039"/>
                    <a:invGamma/>
                  </a:srgbClr>
                </a:gs>
                <a:gs pos="100000">
                  <a:srgbClr val="9999FF"/>
                </a:gs>
              </a:gsLst>
              <a:lin ang="189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교통량추이그래프!$B$1:$F$1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2222</c:v>
                </c:pt>
              </c:numCache>
            </c:numRef>
          </c:cat>
          <c:val>
            <c:numRef>
              <c:f>교통량추이그래프!$B$2:$F$2</c:f>
              <c:numCache>
                <c:formatCode>_(* #,##0_);_(* \(#,##0\);_(* "-"_);_(@_)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102367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7-4887-AE38-BC02092B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442944"/>
        <c:axId val="235444480"/>
        <c:axId val="0"/>
      </c:bar3DChart>
      <c:catAx>
        <c:axId val="235442944"/>
        <c:scaling>
          <c:orientation val="minMax"/>
        </c:scaling>
        <c:delete val="0"/>
        <c:axPos val="b"/>
        <c:numFmt formatCode="#&quot;년&quot;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35444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54444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&quot;대/일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35442944"/>
        <c:crosses val="autoZero"/>
        <c:crossBetween val="between"/>
        <c:majorUnit val="5000"/>
        <c:minorUnit val="4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585817986140854"/>
          <c:y val="3.384615384615384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75" b="0" i="0" u="none" strike="noStrike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title>
    <c:autoTitleDeleted val="0"/>
    <c:view3D>
      <c:rotX val="15"/>
      <c:hPercent val="55"/>
      <c:rotY val="20"/>
      <c:depthPercent val="100"/>
      <c:rAngAx val="1"/>
    </c:view3D>
    <c:floor>
      <c:thickness val="0"/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floor>
    <c:sideWall>
      <c:thickness val="0"/>
      <c:spPr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sideWall>
    <c:backWall>
      <c:thickness val="0"/>
      <c:spPr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0041851262024448"/>
          <c:y val="0.14769252958613219"/>
          <c:w val="0.85355735727207815"/>
          <c:h val="0.6738471662367281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교통량추이그래프!$A$3</c:f>
              <c:strCache>
                <c:ptCount val="1"/>
                <c:pt idx="0">
                  <c:v>대형차혼입율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교통량추이그래프!$B$1:$F$1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2222</c:v>
                </c:pt>
              </c:numCache>
            </c:numRef>
          </c:cat>
          <c:val>
            <c:numRef>
              <c:f>교통량추이그래프!$B$3:$F$3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71C-A7AE-A46168866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7922560"/>
        <c:axId val="237924352"/>
        <c:axId val="0"/>
      </c:bar3DChart>
      <c:catAx>
        <c:axId val="237922560"/>
        <c:scaling>
          <c:orientation val="minMax"/>
        </c:scaling>
        <c:delete val="0"/>
        <c:axPos val="b"/>
        <c:numFmt formatCode="#&quot;년&quot;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379243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7924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&quot;%&quot;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379225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022894481469045"/>
          <c:y val="0.1884061780339715"/>
          <c:w val="0.62128181162501095"/>
          <c:h val="0.70186477311556417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A5D-4EF1-8C69-7725BA1196C9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3A5D-4EF1-8C69-7725BA1196C9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3A5D-4EF1-8C69-7725BA1196C9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3A5D-4EF1-8C69-7725BA1196C9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3A5D-4EF1-8C69-7725BA1196C9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3A5D-4EF1-8C69-7725BA1196C9}"/>
              </c:ext>
            </c:extLst>
          </c:dPt>
          <c:dPt>
            <c:idx val="6"/>
            <c:bubble3D val="0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A5D-4EF1-8C69-7725BA1196C9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A5D-4EF1-8C69-7725BA1196C9}"/>
              </c:ext>
            </c:extLst>
          </c:dPt>
          <c:dLbls>
            <c:dLbl>
              <c:idx val="0"/>
              <c:layout>
                <c:manualLayout>
                  <c:x val="-3.0068058052255483E-2"/>
                  <c:y val="-0.17551881931976246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3000" baseline="0"/>
                      <a:t>휘발유 승용차
</a:t>
                    </a:r>
                    <a:r>
                      <a:rPr lang="en-US" altLang="ko-KR" sz="3000" baseline="0"/>
                      <a:t>40.15%</a:t>
                    </a:r>
                    <a:endParaRPr lang="ko-KR" alt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3A5D-4EF1-8C69-7725BA1196C9}"/>
                </c:ext>
              </c:extLst>
            </c:dLbl>
            <c:dLbl>
              <c:idx val="1"/>
              <c:layout>
                <c:manualLayout>
                  <c:x val="0.49425371471328544"/>
                  <c:y val="-7.3300254312435101E-3"/>
                </c:manualLayout>
              </c:layout>
              <c:tx>
                <c:rich>
                  <a:bodyPr/>
                  <a:lstStyle/>
                  <a:p>
                    <a:r>
                      <a:rPr lang="ko-KR" altLang="en-US" sz="3000" baseline="0"/>
                      <a:t>디젤 승용차
</a:t>
                    </a:r>
                    <a:r>
                      <a:rPr lang="en-US" altLang="ko-KR" sz="3000" baseline="0"/>
                      <a:t>26.77%</a:t>
                    </a:r>
                    <a:endParaRPr lang="ko-KR" altLang="en-US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A5D-4EF1-8C69-7725BA1196C9}"/>
                </c:ext>
              </c:extLst>
            </c:dLbl>
            <c:dLbl>
              <c:idx val="2"/>
              <c:layout>
                <c:manualLayout>
                  <c:x val="6.0284517333407617E-2"/>
                  <c:y val="0.122866898738682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5D-4EF1-8C69-7725BA1196C9}"/>
                </c:ext>
              </c:extLst>
            </c:dLbl>
            <c:dLbl>
              <c:idx val="3"/>
              <c:layout>
                <c:manualLayout>
                  <c:x val="6.5130302648095761E-4"/>
                  <c:y val="-3.54403525646250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A5D-4EF1-8C69-7725BA1196C9}"/>
                </c:ext>
              </c:extLst>
            </c:dLbl>
            <c:dLbl>
              <c:idx val="4"/>
              <c:layout>
                <c:manualLayout>
                  <c:x val="-2.6647986041639753E-2"/>
                  <c:y val="1.75712619187472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A5D-4EF1-8C69-7725BA1196C9}"/>
                </c:ext>
              </c:extLst>
            </c:dLbl>
            <c:dLbl>
              <c:idx val="5"/>
              <c:layout>
                <c:manualLayout>
                  <c:x val="-0.10534314062145056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A5D-4EF1-8C69-7725BA1196C9}"/>
                </c:ext>
              </c:extLst>
            </c:dLbl>
            <c:dLbl>
              <c:idx val="6"/>
              <c:layout>
                <c:manualLayout>
                  <c:x val="-2.2889688900116313E-2"/>
                  <c:y val="-3.424226358245485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A5D-4EF1-8C69-7725BA1196C9}"/>
                </c:ext>
              </c:extLst>
            </c:dLbl>
            <c:dLbl>
              <c:idx val="7"/>
              <c:layout>
                <c:manualLayout>
                  <c:x val="0.1310346831441658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A5D-4EF1-8C69-7725BA1196C9}"/>
                </c:ext>
              </c:extLst>
            </c:dLbl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3000" b="0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교통량추이그래프!$B$28:$I$28</c:f>
              <c:strCache>
                <c:ptCount val="8"/>
                <c:pt idx="0">
                  <c:v>휘발유승용차</c:v>
                </c:pt>
                <c:pt idx="1">
                  <c:v>디젤승용차</c:v>
                </c:pt>
                <c:pt idx="2">
                  <c:v>소형버스</c:v>
                </c:pt>
                <c:pt idx="3">
                  <c:v>보통버스</c:v>
                </c:pt>
                <c:pt idx="4">
                  <c:v>소형트럭</c:v>
                </c:pt>
                <c:pt idx="5">
                  <c:v>보통트럭</c:v>
                </c:pt>
                <c:pt idx="6">
                  <c:v>대형트럭</c:v>
                </c:pt>
                <c:pt idx="7">
                  <c:v>특수트럭</c:v>
                </c:pt>
              </c:strCache>
            </c:strRef>
          </c:cat>
          <c:val>
            <c:numRef>
              <c:f>교통량추이그래프!$B$29:$I$29</c:f>
              <c:numCache>
                <c:formatCode>General</c:formatCode>
                <c:ptCount val="8"/>
                <c:pt idx="0">
                  <c:v>48.65</c:v>
                </c:pt>
                <c:pt idx="1">
                  <c:v>32.44</c:v>
                </c:pt>
                <c:pt idx="2">
                  <c:v>0</c:v>
                </c:pt>
                <c:pt idx="3">
                  <c:v>0.8</c:v>
                </c:pt>
                <c:pt idx="4">
                  <c:v>14</c:v>
                </c:pt>
                <c:pt idx="5">
                  <c:v>2.95</c:v>
                </c:pt>
                <c:pt idx="6">
                  <c:v>0.32</c:v>
                </c:pt>
                <c:pt idx="7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A5D-4EF1-8C69-7725BA119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9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01681759379043"/>
          <c:y val="0.11695928697476352"/>
          <c:w val="0.86287192755498054"/>
          <c:h val="0.713451650546057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교통량추이그래프!$B$74</c:f>
              <c:strCache>
                <c:ptCount val="1"/>
                <c:pt idx="0">
                  <c:v>광명방향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-5.3256732300441777E-3"/>
                  <c:y val="-2.76164882876394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5C-4DE0-9303-EAF2830F19D8}"/>
                </c:ext>
              </c:extLst>
            </c:dLbl>
            <c:dLbl>
              <c:idx val="1"/>
              <c:layout>
                <c:manualLayout>
                  <c:x val="-1.0985457348232508E-2"/>
                  <c:y val="-4.71094857305818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5C-4DE0-9303-EAF2830F19D8}"/>
                </c:ext>
              </c:extLst>
            </c:dLbl>
            <c:dLbl>
              <c:idx val="2"/>
              <c:layout>
                <c:manualLayout>
                  <c:x val="-1.0176936162410485E-2"/>
                  <c:y val="-1.65062710761313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5C-4DE0-9303-EAF2830F19D8}"/>
                </c:ext>
              </c:extLst>
            </c:dLbl>
            <c:dLbl>
              <c:idx val="3"/>
              <c:layout>
                <c:manualLayout>
                  <c:x val="-9.3684149765884614E-3"/>
                  <c:y val="3.767486888532379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5C-4DE0-9303-EAF2830F19D8}"/>
                </c:ext>
              </c:extLst>
            </c:dLbl>
            <c:dLbl>
              <c:idx val="4"/>
              <c:layout>
                <c:manualLayout>
                  <c:x val="-7.2662327299642965E-3"/>
                  <c:y val="-3.46343717126325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5C-4DE0-9303-EAF2830F19D8}"/>
                </c:ext>
              </c:extLst>
            </c:dLbl>
            <c:dLbl>
              <c:idx val="5"/>
              <c:layout>
                <c:manualLayout>
                  <c:x val="-1.0338694726548536E-2"/>
                  <c:y val="-2.00154298414792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5C-4DE0-9303-EAF2830F19D8}"/>
                </c:ext>
              </c:extLst>
            </c:dLbl>
            <c:dLbl>
              <c:idx val="6"/>
              <c:layout>
                <c:manualLayout>
                  <c:x val="-4.355529297518276E-3"/>
                  <c:y val="-6.7597723546601281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5C-4DE0-9303-EAF2830F19D8}"/>
                </c:ext>
              </c:extLst>
            </c:dLbl>
            <c:dLbl>
              <c:idx val="7"/>
              <c:layout>
                <c:manualLayout>
                  <c:x val="-4.8405333550640244E-3"/>
                  <c:y val="-3.268425335721412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5C-4DE0-9303-EAF2830F19D8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교통량추이그래프!$C$73:$J$73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교통량추이그래프!$C$74:$J$74</c:f>
              <c:numCache>
                <c:formatCode>General</c:formatCode>
                <c:ptCount val="8"/>
                <c:pt idx="0">
                  <c:v>485</c:v>
                </c:pt>
                <c:pt idx="1">
                  <c:v>385</c:v>
                </c:pt>
                <c:pt idx="2">
                  <c:v>322</c:v>
                </c:pt>
                <c:pt idx="3">
                  <c:v>286</c:v>
                </c:pt>
                <c:pt idx="4">
                  <c:v>409</c:v>
                </c:pt>
                <c:pt idx="5">
                  <c:v>384</c:v>
                </c:pt>
                <c:pt idx="6">
                  <c:v>372</c:v>
                </c:pt>
                <c:pt idx="7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5C-4DE0-9303-EAF2830F19D8}"/>
            </c:ext>
          </c:extLst>
        </c:ser>
        <c:ser>
          <c:idx val="1"/>
          <c:order val="1"/>
          <c:tx>
            <c:strRef>
              <c:f>교통량추이그래프!$B$75</c:f>
              <c:strCache>
                <c:ptCount val="1"/>
                <c:pt idx="0">
                  <c:v>서울방향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교통량추이그래프!$C$73:$J$73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교통량추이그래프!$C$75:$J$75</c:f>
              <c:numCache>
                <c:formatCode>General</c:formatCode>
                <c:ptCount val="8"/>
                <c:pt idx="0">
                  <c:v>511</c:v>
                </c:pt>
                <c:pt idx="1">
                  <c:v>406</c:v>
                </c:pt>
                <c:pt idx="2">
                  <c:v>340</c:v>
                </c:pt>
                <c:pt idx="3">
                  <c:v>338</c:v>
                </c:pt>
                <c:pt idx="4">
                  <c:v>496</c:v>
                </c:pt>
                <c:pt idx="5">
                  <c:v>456</c:v>
                </c:pt>
                <c:pt idx="6">
                  <c:v>455</c:v>
                </c:pt>
                <c:pt idx="7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05C-4DE0-9303-EAF2830F1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672896"/>
        <c:axId val="238683264"/>
      </c:barChart>
      <c:catAx>
        <c:axId val="23867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600" b="0" i="0" u="none" strike="noStrike" baseline="0">
                    <a:solidFill>
                      <a:srgbClr val="000000"/>
                    </a:solidFill>
                    <a:latin typeface="돋움"/>
                    <a:ea typeface="돋움"/>
                  </a:rPr>
                  <a:t>주행속도[km/h]</a:t>
                </a:r>
              </a:p>
            </c:rich>
          </c:tx>
          <c:layout>
            <c:manualLayout>
              <c:xMode val="edge"/>
              <c:yMode val="edge"/>
              <c:x val="0.4514877102199224"/>
              <c:y val="0.92031189083820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386832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86832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600" b="0" i="0" u="none" strike="noStrike" baseline="0">
                    <a:solidFill>
                      <a:srgbClr val="000000"/>
                    </a:solidFill>
                    <a:latin typeface="돋움"/>
                    <a:ea typeface="돋움"/>
                  </a:rPr>
                  <a:t>소요환기량[m</a:t>
                </a:r>
                <a:r>
                  <a:rPr lang="ko-KR" altLang="en-US" sz="1600" b="0" i="0" u="none" strike="noStrike" baseline="30000">
                    <a:solidFill>
                      <a:srgbClr val="000000"/>
                    </a:solidFill>
                    <a:latin typeface="돋움"/>
                    <a:ea typeface="돋움"/>
                  </a:rPr>
                  <a:t>3</a:t>
                </a:r>
                <a:r>
                  <a:rPr lang="ko-KR" altLang="en-US" sz="1600" b="0" i="0" u="none" strike="noStrike" baseline="0">
                    <a:solidFill>
                      <a:srgbClr val="000000"/>
                    </a:solidFill>
                    <a:latin typeface="돋움"/>
                    <a:ea typeface="돋움"/>
                  </a:rPr>
                  <a:t>/s]</a:t>
                </a:r>
              </a:p>
            </c:rich>
          </c:tx>
          <c:layout>
            <c:manualLayout>
              <c:xMode val="edge"/>
              <c:yMode val="edge"/>
              <c:x val="6.4683053040103496E-3"/>
              <c:y val="0.304094181209804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3867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7554980595084089"/>
          <c:y val="0.13645244636818057"/>
          <c:w val="0.57697283311772318"/>
          <c:h val="0.20078013640107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70" b="0" i="0" u="none" strike="noStrike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121135606169876E-2"/>
          <c:y val="5.12821680192126E-2"/>
          <c:w val="0.88830942979628269"/>
          <c:h val="0.74825345155305656"/>
        </c:manualLayout>
      </c:layout>
      <c:barChart>
        <c:barDir val="col"/>
        <c:grouping val="clustered"/>
        <c:varyColors val="0"/>
        <c:ser>
          <c:idx val="0"/>
          <c:order val="0"/>
          <c:tx>
            <c:v>매연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'상행-환기기'!$B$2:$I$2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'상행-환기기'!$B$3:$I$3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0-4F20-BA6F-8392E0E3D7C2}"/>
            </c:ext>
          </c:extLst>
        </c:ser>
        <c:ser>
          <c:idx val="1"/>
          <c:order val="1"/>
          <c:tx>
            <c:v>C0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'상행-환기기'!$B$4:$I$4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0-4F20-BA6F-8392E0E3D7C2}"/>
            </c:ext>
          </c:extLst>
        </c:ser>
        <c:ser>
          <c:idx val="2"/>
          <c:order val="2"/>
          <c:tx>
            <c:v>NOx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'상행-환기기'!$B$5:$I$5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0-4F20-BA6F-8392E0E3D7C2}"/>
            </c:ext>
          </c:extLst>
        </c:ser>
        <c:ser>
          <c:idx val="3"/>
          <c:order val="3"/>
          <c:tx>
            <c:v>방재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'상행-환기기'!$B$6:$I$6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0-4F20-BA6F-8392E0E3D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982080"/>
        <c:axId val="237984000"/>
      </c:barChart>
      <c:catAx>
        <c:axId val="237982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속도(km/h)</a:t>
                </a:r>
              </a:p>
            </c:rich>
          </c:tx>
          <c:layout>
            <c:manualLayout>
              <c:xMode val="edge"/>
              <c:yMode val="edge"/>
              <c:x val="0.4916494884903479"/>
              <c:y val="0.892775850571126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2379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7984000"/>
        <c:scaling>
          <c:orientation val="minMax"/>
          <c:max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제트팬 [대]</a:t>
                </a:r>
              </a:p>
            </c:rich>
          </c:tx>
          <c:layout>
            <c:manualLayout>
              <c:xMode val="edge"/>
              <c:yMode val="edge"/>
              <c:x val="1.0438413361169102E-2"/>
              <c:y val="0.293707027880256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237982080"/>
        <c:crosses val="autoZero"/>
        <c:crossBetween val="between"/>
        <c:majorUnit val="50"/>
        <c:minorUnit val="5"/>
      </c:valAx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6116932147573411"/>
          <c:y val="0.10256434728875673"/>
          <c:w val="0.72755784963205272"/>
          <c:h val="0.191142680591499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80" b="0" i="0" u="none" strike="noStrike" baseline="0">
              <a:solidFill>
                <a:srgbClr val="000000"/>
              </a:solidFill>
              <a:latin typeface="-윤고딕120"/>
              <a:ea typeface="-윤고딕120"/>
              <a:cs typeface="-윤고딕12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-윤고딕120"/>
          <a:ea typeface="-윤고딕120"/>
          <a:cs typeface="-윤고딕120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633993743482797E-2"/>
          <c:y val="6.2937206205397278E-2"/>
          <c:w val="0.9051094890510949"/>
          <c:h val="0.74825345155305656"/>
        </c:manualLayout>
      </c:layout>
      <c:barChart>
        <c:barDir val="col"/>
        <c:grouping val="clustered"/>
        <c:varyColors val="0"/>
        <c:ser>
          <c:idx val="0"/>
          <c:order val="0"/>
          <c:tx>
            <c:v>매연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'하행-환기기'!$B$2:$I$2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'하행-환기기'!$B$3:$I$3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8-4C98-BD98-A74C035AF6FC}"/>
            </c:ext>
          </c:extLst>
        </c:ser>
        <c:ser>
          <c:idx val="1"/>
          <c:order val="1"/>
          <c:tx>
            <c:v>C0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'하행-환기기'!$B$4:$I$4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8-4C98-BD98-A74C035AF6FC}"/>
            </c:ext>
          </c:extLst>
        </c:ser>
        <c:ser>
          <c:idx val="2"/>
          <c:order val="2"/>
          <c:tx>
            <c:v>NOx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'하행-환기기'!$B$5:$I$5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8-4C98-BD98-A74C035AF6FC}"/>
            </c:ext>
          </c:extLst>
        </c:ser>
        <c:ser>
          <c:idx val="3"/>
          <c:order val="3"/>
          <c:tx>
            <c:v>방재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'하행-환기기'!$B$6:$I$6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C8-4C98-BD98-A74C035AF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25856"/>
        <c:axId val="235227776"/>
      </c:barChart>
      <c:catAx>
        <c:axId val="235225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속도(km/h)</a:t>
                </a:r>
              </a:p>
            </c:rich>
          </c:tx>
          <c:layout>
            <c:manualLayout>
              <c:xMode val="edge"/>
              <c:yMode val="edge"/>
              <c:x val="0.50990615224191871"/>
              <c:y val="0.885782843578119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235227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5227776"/>
        <c:scaling>
          <c:orientation val="minMax"/>
          <c:max val="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제트팬 [대]</a:t>
                </a:r>
              </a:p>
            </c:rich>
          </c:tx>
          <c:layout>
            <c:manualLayout>
              <c:xMode val="edge"/>
              <c:yMode val="edge"/>
              <c:x val="5.2137643378519288E-3"/>
              <c:y val="0.3053620395352679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235225856"/>
        <c:crosses val="autoZero"/>
        <c:crossBetween val="between"/>
        <c:majorUnit val="30"/>
        <c:minorUnit val="30"/>
      </c:valAx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6496350364963503"/>
          <c:y val="0.10489534961975906"/>
          <c:w val="0.74348279457768507"/>
          <c:h val="0.188811678260497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80" b="0" i="0" u="none" strike="noStrike" baseline="0">
              <a:solidFill>
                <a:srgbClr val="000000"/>
              </a:solidFill>
              <a:latin typeface="-윤고딕120"/>
              <a:ea typeface="-윤고딕120"/>
              <a:cs typeface="-윤고딕12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-윤고딕120"/>
          <a:ea typeface="-윤고딕120"/>
          <a:cs typeface="-윤고딕120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75714526056137"/>
          <c:y val="7.7481840193704604E-2"/>
          <c:w val="0.8582222552447234"/>
          <c:h val="0.70910661217448012"/>
        </c:manualLayout>
      </c:layout>
      <c:barChart>
        <c:barDir val="col"/>
        <c:grouping val="clustered"/>
        <c:varyColors val="0"/>
        <c:ser>
          <c:idx val="0"/>
          <c:order val="0"/>
          <c:tx>
            <c:v>매연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'상행-환기량'!$B$2:$I$2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'상행-환기량'!$B$4:$I$4</c:f>
              <c:numCache>
                <c:formatCode>General</c:formatCode>
                <c:ptCount val="8"/>
                <c:pt idx="0">
                  <c:v>6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4-4107-8FB1-1768D7700475}"/>
            </c:ext>
          </c:extLst>
        </c:ser>
        <c:ser>
          <c:idx val="1"/>
          <c:order val="1"/>
          <c:tx>
            <c:v>CO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'상행-환기량'!$B$5:$I$5</c:f>
              <c:numCache>
                <c:formatCode>General</c:formatCode>
                <c:ptCount val="8"/>
                <c:pt idx="0">
                  <c:v>15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4-4107-8FB1-1768D7700475}"/>
            </c:ext>
          </c:extLst>
        </c:ser>
        <c:ser>
          <c:idx val="2"/>
          <c:order val="2"/>
          <c:tx>
            <c:v>NOx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'상행-환기량'!$B$6:$I$6</c:f>
              <c:numCache>
                <c:formatCode>General</c:formatCode>
                <c:ptCount val="8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84-4107-8FB1-1768D7700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110784"/>
        <c:axId val="140542720"/>
      </c:barChart>
      <c:catAx>
        <c:axId val="23911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속도</a:t>
                </a:r>
                <a:r>
                  <a:rPr lang="en-US"/>
                  <a:t>(km/h)</a:t>
                </a:r>
              </a:p>
            </c:rich>
          </c:tx>
          <c:layout>
            <c:manualLayout>
              <c:xMode val="edge"/>
              <c:yMode val="edge"/>
              <c:x val="0.49548662733455329"/>
              <c:y val="0.891138607674040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40542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542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환기량</a:t>
                </a:r>
                <a:r>
                  <a:rPr lang="en-US"/>
                  <a:t>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layout>
            <c:manualLayout>
              <c:xMode val="edge"/>
              <c:yMode val="edge"/>
              <c:x val="1.8054199348514415E-2"/>
              <c:y val="0.302663471413899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239110784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2427302662384175"/>
          <c:y val="9.4431022209180371E-2"/>
          <c:w val="0.28786368917000132"/>
          <c:h val="9.927346038266957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500" b="0" i="0" u="none" strike="noStrike" baseline="0">
          <a:solidFill>
            <a:srgbClr val="000000"/>
          </a:solidFill>
          <a:latin typeface="-윤고딕120"/>
          <a:ea typeface="-윤고딕120"/>
          <a:cs typeface="-윤고딕120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33104701362241"/>
          <c:y val="7.7481840193704604E-2"/>
          <c:w val="0.88264837610897928"/>
          <c:h val="0.738498789346247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'상행-환기량'!$A$39</c:f>
              <c:strCache>
                <c:ptCount val="1"/>
                <c:pt idx="0">
                  <c:v>소요환기량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'상행-환기량'!$B$38:$I$38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'상행-환기량'!$B$39:$I$39</c:f>
              <c:numCache>
                <c:formatCode>General</c:formatCode>
                <c:ptCount val="8"/>
                <c:pt idx="0">
                  <c:v>50</c:v>
                </c:pt>
                <c:pt idx="1">
                  <c:v>37</c:v>
                </c:pt>
                <c:pt idx="2">
                  <c:v>30</c:v>
                </c:pt>
                <c:pt idx="3">
                  <c:v>25</c:v>
                </c:pt>
                <c:pt idx="4">
                  <c:v>22</c:v>
                </c:pt>
                <c:pt idx="5">
                  <c:v>19</c:v>
                </c:pt>
                <c:pt idx="6">
                  <c:v>17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2-4185-B384-2279A545BE54}"/>
            </c:ext>
          </c:extLst>
        </c:ser>
        <c:ser>
          <c:idx val="1"/>
          <c:order val="1"/>
          <c:tx>
            <c:strRef>
              <c:f>'상행-환기량'!$A$40</c:f>
              <c:strCache>
                <c:ptCount val="1"/>
                <c:pt idx="0">
                  <c:v>자연환기량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'상행-환기량'!$B$38:$I$38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'상행-환기량'!$B$40:$I$40</c:f>
              <c:numCache>
                <c:formatCode>General</c:formatCode>
                <c:ptCount val="8"/>
                <c:pt idx="0">
                  <c:v>18</c:v>
                </c:pt>
                <c:pt idx="1">
                  <c:v>112</c:v>
                </c:pt>
                <c:pt idx="2">
                  <c:v>181</c:v>
                </c:pt>
                <c:pt idx="3">
                  <c:v>238</c:v>
                </c:pt>
                <c:pt idx="4">
                  <c:v>290</c:v>
                </c:pt>
                <c:pt idx="5">
                  <c:v>332</c:v>
                </c:pt>
                <c:pt idx="6">
                  <c:v>372</c:v>
                </c:pt>
                <c:pt idx="7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2-4185-B384-2279A545B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568064"/>
        <c:axId val="140569984"/>
      </c:barChart>
      <c:catAx>
        <c:axId val="14056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속도(km/h)</a:t>
                </a:r>
              </a:p>
            </c:rich>
          </c:tx>
          <c:layout>
            <c:manualLayout>
              <c:xMode val="edge"/>
              <c:yMode val="edge"/>
              <c:x val="0.49548670546616458"/>
              <c:y val="0.90556891685610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140569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569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환기량(m</a:t>
                </a:r>
                <a:r>
                  <a:rPr lang="ko-KR" altLang="en-US" sz="1500" b="0" i="0" u="none" strike="noStrike" baseline="3000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3</a:t>
                </a: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/s)</a:t>
                </a:r>
              </a:p>
            </c:rich>
          </c:tx>
          <c:layout>
            <c:manualLayout>
              <c:xMode val="edge"/>
              <c:yMode val="edge"/>
              <c:x val="2.2928791509756936E-3"/>
              <c:y val="0.305759562481468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140568064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2427293735022253"/>
          <c:y val="9.4431083143895728E-2"/>
          <c:w val="0.28786374529270797"/>
          <c:h val="9.927365773838939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80" b="0" i="0" u="none" strike="noStrike" baseline="0">
              <a:solidFill>
                <a:srgbClr val="000000"/>
              </a:solidFill>
              <a:latin typeface="-윤고딕120"/>
              <a:ea typeface="-윤고딕120"/>
              <a:cs typeface="-윤고딕12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-윤고딕120"/>
          <a:ea typeface="-윤고딕120"/>
          <a:cs typeface="-윤고딕120"/>
        </a:defRPr>
      </a:pPr>
      <a:endParaRPr lang="ko-KR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84177588934709"/>
          <c:y val="7.9710332951985569E-2"/>
          <c:w val="0.85610695194957576"/>
          <c:h val="0.70761164740045956"/>
        </c:manualLayout>
      </c:layout>
      <c:barChart>
        <c:barDir val="col"/>
        <c:grouping val="clustered"/>
        <c:varyColors val="0"/>
        <c:ser>
          <c:idx val="0"/>
          <c:order val="0"/>
          <c:tx>
            <c:v>매연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'하행-환기량'!$B$2:$I$2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'하행-환기량'!$B$4:$I$4</c:f>
              <c:numCache>
                <c:formatCode>General</c:formatCode>
                <c:ptCount val="8"/>
                <c:pt idx="0">
                  <c:v>10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6-4CD8-9D8B-51CC092E5D95}"/>
            </c:ext>
          </c:extLst>
        </c:ser>
        <c:ser>
          <c:idx val="1"/>
          <c:order val="1"/>
          <c:tx>
            <c:v>CO</c:v>
          </c:tx>
          <c:spPr>
            <a:solidFill>
              <a:srgbClr val="96969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'하행-환기량'!$B$5:$I$5</c:f>
              <c:numCache>
                <c:formatCode>General</c:formatCode>
                <c:ptCount val="8"/>
                <c:pt idx="0">
                  <c:v>29</c:v>
                </c:pt>
                <c:pt idx="1">
                  <c:v>28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6-4CD8-9D8B-51CC092E5D95}"/>
            </c:ext>
          </c:extLst>
        </c:ser>
        <c:ser>
          <c:idx val="2"/>
          <c:order val="2"/>
          <c:tx>
            <c:v>NOx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'하행-환기량'!$B$6:$I$6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6-4CD8-9D8B-51CC092E5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961280"/>
        <c:axId val="140963200"/>
      </c:barChart>
      <c:catAx>
        <c:axId val="14096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속도</a:t>
                </a:r>
                <a:r>
                  <a:rPr lang="en-US"/>
                  <a:t>(km/h)</a:t>
                </a:r>
              </a:p>
            </c:rich>
          </c:tx>
          <c:layout>
            <c:manualLayout>
              <c:xMode val="edge"/>
              <c:yMode val="edge"/>
              <c:x val="0.49598440368364355"/>
              <c:y val="0.886475564521376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40963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0963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환기량</a:t>
                </a:r>
                <a:r>
                  <a:rPr lang="en-US"/>
                  <a:t>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layout>
            <c:manualLayout>
              <c:xMode val="edge"/>
              <c:yMode val="edge"/>
              <c:x val="1.8072307435558994E-2"/>
              <c:y val="0.299517580963536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140961280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2168717349637652"/>
          <c:y val="9.4203162621201278E-2"/>
          <c:w val="0.27710871401190462"/>
          <c:h val="9.90340773519012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500" b="0" i="0" u="none" strike="noStrike" baseline="0">
          <a:solidFill>
            <a:srgbClr val="000000"/>
          </a:solidFill>
          <a:latin typeface="-윤고딕120"/>
          <a:ea typeface="-윤고딕120"/>
          <a:cs typeface="-윤고딕120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33104701362242"/>
          <c:y val="7.7481840193704604E-2"/>
          <c:w val="0.88264837610897973"/>
          <c:h val="0.73849878934624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'하행-환기량'!$A$48</c:f>
              <c:strCache>
                <c:ptCount val="1"/>
                <c:pt idx="0">
                  <c:v>소요환기량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'하행-환기량'!$B$47:$I$47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'하행-환기량'!$B$48:$I$48</c:f>
              <c:numCache>
                <c:formatCode>General</c:formatCode>
                <c:ptCount val="8"/>
                <c:pt idx="0">
                  <c:v>180</c:v>
                </c:pt>
                <c:pt idx="1">
                  <c:v>141</c:v>
                </c:pt>
                <c:pt idx="2">
                  <c:v>116</c:v>
                </c:pt>
                <c:pt idx="3">
                  <c:v>109</c:v>
                </c:pt>
                <c:pt idx="4">
                  <c:v>109</c:v>
                </c:pt>
                <c:pt idx="5">
                  <c:v>109</c:v>
                </c:pt>
                <c:pt idx="6">
                  <c:v>128</c:v>
                </c:pt>
                <c:pt idx="7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A-44A7-9687-7317C401EDEB}"/>
            </c:ext>
          </c:extLst>
        </c:ser>
        <c:ser>
          <c:idx val="1"/>
          <c:order val="1"/>
          <c:tx>
            <c:strRef>
              <c:f>'하행-환기량'!$A$49</c:f>
              <c:strCache>
                <c:ptCount val="1"/>
                <c:pt idx="0">
                  <c:v>자연환기량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'하행-환기량'!$B$47:$I$47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cat>
          <c:val>
            <c:numRef>
              <c:f>'하행-환기량'!$B$49:$I$49</c:f>
              <c:numCache>
                <c:formatCode>General</c:formatCode>
                <c:ptCount val="8"/>
                <c:pt idx="0">
                  <c:v>44</c:v>
                </c:pt>
                <c:pt idx="1">
                  <c:v>165</c:v>
                </c:pt>
                <c:pt idx="2">
                  <c:v>258</c:v>
                </c:pt>
                <c:pt idx="3">
                  <c:v>338</c:v>
                </c:pt>
                <c:pt idx="4">
                  <c:v>410</c:v>
                </c:pt>
                <c:pt idx="5">
                  <c:v>473</c:v>
                </c:pt>
                <c:pt idx="6">
                  <c:v>526</c:v>
                </c:pt>
                <c:pt idx="7">
                  <c:v>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A-44A7-9687-7317C401E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01088"/>
        <c:axId val="141003008"/>
      </c:barChart>
      <c:catAx>
        <c:axId val="14100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속도(km/h)</a:t>
                </a:r>
              </a:p>
            </c:rich>
          </c:tx>
          <c:layout>
            <c:manualLayout>
              <c:xMode val="edge"/>
              <c:yMode val="edge"/>
              <c:x val="0.49548670546616458"/>
              <c:y val="0.905569016816530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141003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1003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맑은 고딕"/>
                    <a:ea typeface="맑은 고딕"/>
                    <a:cs typeface="맑은 고딕"/>
                  </a:defRPr>
                </a:pP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환기량(m</a:t>
                </a:r>
                <a:r>
                  <a:rPr lang="ko-KR" altLang="en-US" sz="1500" b="0" i="0" u="none" strike="noStrike" baseline="3000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3</a:t>
                </a:r>
                <a:r>
                  <a:rPr lang="ko-KR" altLang="en-US" sz="1500" b="0" i="0" u="none" strike="noStrike" baseline="0">
                    <a:solidFill>
                      <a:srgbClr val="000000"/>
                    </a:solidFill>
                    <a:latin typeface="-윤고딕120"/>
                    <a:ea typeface="-윤고딕120"/>
                  </a:rPr>
                  <a:t>/s)</a:t>
                </a:r>
              </a:p>
            </c:rich>
          </c:tx>
          <c:layout>
            <c:manualLayout>
              <c:xMode val="edge"/>
              <c:yMode val="edge"/>
              <c:x val="2.2928791509756936E-3"/>
              <c:y val="0.305759483613608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-윤고딕120"/>
                <a:ea typeface="-윤고딕120"/>
                <a:cs typeface="-윤고딕120"/>
              </a:defRPr>
            </a:pPr>
            <a:endParaRPr lang="ko-KR"/>
          </a:p>
        </c:txPr>
        <c:crossAx val="141001088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100000">
              <a:srgbClr val="C0C0C0"/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2427293735022253"/>
          <c:y val="9.4430983183469486E-2"/>
          <c:w val="0.28786374529270797"/>
          <c:h val="9.927374944520245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80" b="0" i="0" u="none" strike="noStrike" baseline="0">
              <a:solidFill>
                <a:srgbClr val="000000"/>
              </a:solidFill>
              <a:latin typeface="-윤고딕120"/>
              <a:ea typeface="-윤고딕120"/>
              <a:cs typeface="-윤고딕12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-윤고딕120"/>
          <a:ea typeface="-윤고딕120"/>
          <a:cs typeface="-윤고딕120"/>
        </a:defRPr>
      </a:pPr>
      <a:endParaRPr lang="ko-KR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7</xdr:row>
      <xdr:rowOff>38100</xdr:rowOff>
    </xdr:from>
    <xdr:to>
      <xdr:col>5</xdr:col>
      <xdr:colOff>457200</xdr:colOff>
      <xdr:row>25</xdr:row>
      <xdr:rowOff>38100</xdr:rowOff>
    </xdr:to>
    <xdr:graphicFrame macro="">
      <xdr:nvGraphicFramePr>
        <xdr:cNvPr id="2651305" name="차트 1">
          <a:extLst>
            <a:ext uri="{FF2B5EF4-FFF2-40B4-BE49-F238E27FC236}">
              <a16:creationId xmlns:a16="http://schemas.microsoft.com/office/drawing/2014/main" id="{00000000-0008-0000-0600-0000A974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7</xdr:row>
      <xdr:rowOff>66675</xdr:rowOff>
    </xdr:from>
    <xdr:to>
      <xdr:col>11</xdr:col>
      <xdr:colOff>466725</xdr:colOff>
      <xdr:row>25</xdr:row>
      <xdr:rowOff>76200</xdr:rowOff>
    </xdr:to>
    <xdr:graphicFrame macro="">
      <xdr:nvGraphicFramePr>
        <xdr:cNvPr id="2651306" name="차트 2">
          <a:extLst>
            <a:ext uri="{FF2B5EF4-FFF2-40B4-BE49-F238E27FC236}">
              <a16:creationId xmlns:a16="http://schemas.microsoft.com/office/drawing/2014/main" id="{00000000-0008-0000-0600-0000AA74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30</xdr:row>
      <xdr:rowOff>28575</xdr:rowOff>
    </xdr:from>
    <xdr:to>
      <xdr:col>11</xdr:col>
      <xdr:colOff>628650</xdr:colOff>
      <xdr:row>57</xdr:row>
      <xdr:rowOff>0</xdr:rowOff>
    </xdr:to>
    <xdr:graphicFrame macro="">
      <xdr:nvGraphicFramePr>
        <xdr:cNvPr id="2651307" name="차트 3">
          <a:extLst>
            <a:ext uri="{FF2B5EF4-FFF2-40B4-BE49-F238E27FC236}">
              <a16:creationId xmlns:a16="http://schemas.microsoft.com/office/drawing/2014/main" id="{00000000-0008-0000-0600-0000AB74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447675</xdr:colOff>
      <xdr:row>76</xdr:row>
      <xdr:rowOff>133350</xdr:rowOff>
    </xdr:from>
    <xdr:to>
      <xdr:col>11</xdr:col>
      <xdr:colOff>104775</xdr:colOff>
      <xdr:row>105</xdr:row>
      <xdr:rowOff>47625</xdr:rowOff>
    </xdr:to>
    <xdr:graphicFrame macro="">
      <xdr:nvGraphicFramePr>
        <xdr:cNvPr id="2651308" name="차트 4">
          <a:extLst>
            <a:ext uri="{FF2B5EF4-FFF2-40B4-BE49-F238E27FC236}">
              <a16:creationId xmlns:a16="http://schemas.microsoft.com/office/drawing/2014/main" id="{00000000-0008-0000-0600-0000AC74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12</xdr:col>
      <xdr:colOff>742950</xdr:colOff>
      <xdr:row>30</xdr:row>
      <xdr:rowOff>161925</xdr:rowOff>
    </xdr:to>
    <xdr:graphicFrame macro="">
      <xdr:nvGraphicFramePr>
        <xdr:cNvPr id="18731" name="차트 1">
          <a:extLst>
            <a:ext uri="{FF2B5EF4-FFF2-40B4-BE49-F238E27FC236}">
              <a16:creationId xmlns:a16="http://schemas.microsoft.com/office/drawing/2014/main" id="{00000000-0008-0000-0700-00002B4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9525</xdr:rowOff>
    </xdr:from>
    <xdr:to>
      <xdr:col>13</xdr:col>
      <xdr:colOff>0</xdr:colOff>
      <xdr:row>30</xdr:row>
      <xdr:rowOff>152400</xdr:rowOff>
    </xdr:to>
    <xdr:graphicFrame macro="">
      <xdr:nvGraphicFramePr>
        <xdr:cNvPr id="24875" name="차트 1">
          <a:extLst>
            <a:ext uri="{FF2B5EF4-FFF2-40B4-BE49-F238E27FC236}">
              <a16:creationId xmlns:a16="http://schemas.microsoft.com/office/drawing/2014/main" id="{00000000-0008-0000-0800-00002B6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7</xdr:row>
      <xdr:rowOff>152400</xdr:rowOff>
    </xdr:from>
    <xdr:to>
      <xdr:col>13</xdr:col>
      <xdr:colOff>133350</xdr:colOff>
      <xdr:row>34</xdr:row>
      <xdr:rowOff>123825</xdr:rowOff>
    </xdr:to>
    <xdr:graphicFrame macro="">
      <xdr:nvGraphicFramePr>
        <xdr:cNvPr id="14933" name="차트 1">
          <a:extLst>
            <a:ext uri="{FF2B5EF4-FFF2-40B4-BE49-F238E27FC236}">
              <a16:creationId xmlns:a16="http://schemas.microsoft.com/office/drawing/2014/main" id="{00000000-0008-0000-1000-0000553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41</xdr:row>
      <xdr:rowOff>104775</xdr:rowOff>
    </xdr:from>
    <xdr:to>
      <xdr:col>9</xdr:col>
      <xdr:colOff>371475</xdr:colOff>
      <xdr:row>68</xdr:row>
      <xdr:rowOff>28575</xdr:rowOff>
    </xdr:to>
    <xdr:graphicFrame macro="">
      <xdr:nvGraphicFramePr>
        <xdr:cNvPr id="14934" name="차트 2">
          <a:extLst>
            <a:ext uri="{FF2B5EF4-FFF2-40B4-BE49-F238E27FC236}">
              <a16:creationId xmlns:a16="http://schemas.microsoft.com/office/drawing/2014/main" id="{00000000-0008-0000-1000-0000563A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</xdr:row>
      <xdr:rowOff>180975</xdr:rowOff>
    </xdr:from>
    <xdr:to>
      <xdr:col>13</xdr:col>
      <xdr:colOff>752475</xdr:colOff>
      <xdr:row>34</xdr:row>
      <xdr:rowOff>152400</xdr:rowOff>
    </xdr:to>
    <xdr:graphicFrame macro="">
      <xdr:nvGraphicFramePr>
        <xdr:cNvPr id="16981" name="차트 1">
          <a:extLst>
            <a:ext uri="{FF2B5EF4-FFF2-40B4-BE49-F238E27FC236}">
              <a16:creationId xmlns:a16="http://schemas.microsoft.com/office/drawing/2014/main" id="{00000000-0008-0000-1100-0000554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50</xdr:row>
      <xdr:rowOff>47625</xdr:rowOff>
    </xdr:from>
    <xdr:to>
      <xdr:col>9</xdr:col>
      <xdr:colOff>495300</xdr:colOff>
      <xdr:row>76</xdr:row>
      <xdr:rowOff>152400</xdr:rowOff>
    </xdr:to>
    <xdr:graphicFrame macro="">
      <xdr:nvGraphicFramePr>
        <xdr:cNvPr id="16982" name="차트 2">
          <a:extLst>
            <a:ext uri="{FF2B5EF4-FFF2-40B4-BE49-F238E27FC236}">
              <a16:creationId xmlns:a16="http://schemas.microsoft.com/office/drawing/2014/main" id="{00000000-0008-0000-1100-0000564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333;&#53468;_pc\DRIVER-3%20(E)\d-driver\&#51089;&#50629;&#48169;\2003&#45380;%20&#51089;&#50629;\&#46020;&#47196;&#53552;&#45328;\&#44221;&#51452;-&#44048;&#54252;%20TK(&#53468;&#51312;)\&#54872;&#44592;&#44228;&#49328;\031013(1250-&#50896;&#50504;&#44368;&#53685;&#47049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116;&#54861;_pc\DRIVER-2%20(D)\&#44277;&#51089;&#50773;\2005&#45380;\&#46020;&#47196;\11%20&#46041;&#53444;~&#48337;&#51216;%20&#51648;&#54616;&#52264;&#46020;(&#49892;&#49884;&#49444;&#44228;)\&#51089;&#50629;\&#54872;&#44592;&#44228;&#49328;\0307\&#51068;&#48169;&#53685;&#54665;\01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8260;pc\Project%202011~\&#44305;&#47749;~&#49436;&#50872;\&#49688;&#49888;\&#46020;&#47196;%20&#51333;&#45800;%20&#44160;&#53664;\07-&#44228;&#49328;&#51088;&#47308;\20080611\0612%20&#47560;&#44257;&#53552;&#45328;(&#54620;&#44053;&#54616;&#5120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교통량분석"/>
      <sheetName val="환기량그래프"/>
      <sheetName val="젯트팬대수비교"/>
      <sheetName val="환기량"/>
      <sheetName val="젯트팬"/>
      <sheetName val="집진기"/>
      <sheetName val="수직갱"/>
      <sheetName val="임계풍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K13">
            <v>-0.5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교통량"/>
      <sheetName val="환기량"/>
      <sheetName val="제트팬"/>
      <sheetName val="집중배기소(만드는중)"/>
      <sheetName val="집진기"/>
      <sheetName val="수직갱"/>
      <sheetName val="집진기+수직갱"/>
      <sheetName val="상행임계풍속"/>
      <sheetName val="하행임계풍속"/>
      <sheetName val="chart1"/>
    </sheetNames>
    <sheetDataSet>
      <sheetData sheetId="0" refreshError="1"/>
      <sheetData sheetId="1" refreshError="1"/>
      <sheetData sheetId="2">
        <row r="7">
          <cell r="B7" t="str">
            <v>젯트팬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교통량"/>
      <sheetName val="환기보정계수"/>
      <sheetName val="환기량(광명방향)"/>
      <sheetName val="환기량(서울방향)"/>
      <sheetName val="환기력"/>
      <sheetName val="제트팬(광명방향)"/>
      <sheetName val="제트팬(서울방향)"/>
      <sheetName val="임계속도 산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I1592"/>
  <sheetViews>
    <sheetView tabSelected="1" view="pageBreakPreview" topLeftCell="A1025" zoomScale="85" zoomScaleNormal="85" zoomScaleSheetLayoutView="85" workbookViewId="0">
      <selection activeCell="K1051" sqref="K1051"/>
    </sheetView>
  </sheetViews>
  <sheetFormatPr defaultRowHeight="13.5"/>
  <cols>
    <col min="1" max="1" width="18.109375" style="392" customWidth="1"/>
    <col min="2" max="2" width="11" style="392" customWidth="1"/>
    <col min="3" max="3" width="9.77734375" style="392" customWidth="1"/>
    <col min="4" max="4" width="9" style="392" bestFit="1" customWidth="1"/>
    <col min="5" max="5" width="9.6640625" style="392" customWidth="1"/>
    <col min="6" max="6" width="10" style="392" customWidth="1"/>
    <col min="7" max="7" width="11.6640625" style="392" bestFit="1" customWidth="1"/>
    <col min="8" max="8" width="10.21875" style="392" bestFit="1" customWidth="1"/>
    <col min="9" max="9" width="10.109375" style="392" customWidth="1"/>
    <col min="10" max="10" width="9.44140625" style="392" customWidth="1"/>
    <col min="11" max="11" width="10.44140625" style="392" customWidth="1"/>
    <col min="12" max="12" width="9.6640625" style="392" customWidth="1"/>
    <col min="13" max="13" width="9.5546875" style="392" customWidth="1"/>
    <col min="14" max="14" width="8.88671875" style="392"/>
    <col min="15" max="15" width="11.6640625" style="392" bestFit="1" customWidth="1"/>
    <col min="16" max="16384" width="8.88671875" style="392"/>
  </cols>
  <sheetData>
    <row r="1" spans="1:12" ht="20.25" customHeight="1">
      <c r="A1" s="389" t="s">
        <v>128</v>
      </c>
      <c r="B1" s="390"/>
      <c r="C1" s="390"/>
      <c r="D1" s="390"/>
      <c r="E1" s="390"/>
      <c r="F1" s="391" t="s">
        <v>208</v>
      </c>
      <c r="G1" s="390" t="s">
        <v>209</v>
      </c>
      <c r="H1" s="390"/>
      <c r="I1" s="390"/>
      <c r="J1" s="390"/>
      <c r="K1" s="390"/>
      <c r="L1" s="390"/>
    </row>
    <row r="2" spans="1:12" ht="17.100000000000001" customHeight="1">
      <c r="A2" s="390"/>
      <c r="B2" s="390"/>
      <c r="C2" s="390"/>
      <c r="D2" s="390"/>
      <c r="E2" s="390"/>
      <c r="F2" s="390"/>
      <c r="G2" s="390"/>
      <c r="H2" s="70"/>
      <c r="I2" s="390"/>
      <c r="J2" s="390"/>
      <c r="K2" s="390"/>
      <c r="L2" s="390"/>
    </row>
    <row r="3" spans="1:12" ht="17.100000000000001" customHeight="1">
      <c r="A3" s="390" t="s">
        <v>834</v>
      </c>
      <c r="B3" s="1410" t="s">
        <v>982</v>
      </c>
      <c r="C3" s="1410"/>
      <c r="D3" s="1410"/>
      <c r="E3" s="390"/>
      <c r="F3" s="390"/>
      <c r="G3" s="390"/>
      <c r="H3" s="71"/>
      <c r="J3" s="390"/>
      <c r="K3" s="390"/>
      <c r="L3" s="390"/>
    </row>
    <row r="4" spans="1:12" ht="17.100000000000001" customHeight="1">
      <c r="A4" s="390" t="s">
        <v>835</v>
      </c>
      <c r="B4" s="1409" t="s">
        <v>980</v>
      </c>
      <c r="C4" s="1409"/>
      <c r="D4" s="394"/>
      <c r="E4" s="395"/>
      <c r="F4" s="395"/>
      <c r="G4" s="390"/>
      <c r="H4" s="390"/>
      <c r="I4" s="70"/>
      <c r="J4" s="390"/>
      <c r="K4" s="390"/>
      <c r="L4" s="390"/>
    </row>
    <row r="5" spans="1:12" ht="17.100000000000001" customHeight="1" thickBot="1">
      <c r="A5" s="390"/>
      <c r="B5" s="390"/>
      <c r="C5" s="396"/>
      <c r="D5" s="390"/>
      <c r="E5" s="396"/>
      <c r="F5" s="396"/>
      <c r="G5" s="396"/>
      <c r="H5" s="396"/>
      <c r="I5" s="396"/>
      <c r="J5" s="396"/>
      <c r="K5" s="396"/>
      <c r="L5" s="390"/>
    </row>
    <row r="6" spans="1:12" ht="17.100000000000001" customHeight="1">
      <c r="A6" s="1426" t="s">
        <v>836</v>
      </c>
      <c r="B6" s="815" t="s">
        <v>983</v>
      </c>
      <c r="C6" s="397" t="s">
        <v>837</v>
      </c>
      <c r="D6" s="1249" t="s">
        <v>0</v>
      </c>
      <c r="E6" s="214" t="s">
        <v>984</v>
      </c>
      <c r="F6" s="397" t="s">
        <v>837</v>
      </c>
      <c r="G6" s="815" t="str">
        <f>E6</f>
        <v>진주</v>
      </c>
      <c r="H6" s="397" t="s">
        <v>838</v>
      </c>
      <c r="I6" s="1249" t="str">
        <f>D6</f>
        <v>⇒</v>
      </c>
      <c r="J6" s="214" t="str">
        <f>B6</f>
        <v>마산</v>
      </c>
      <c r="K6" s="398" t="s">
        <v>838</v>
      </c>
      <c r="L6" s="390"/>
    </row>
    <row r="7" spans="1:12" ht="17.100000000000001" customHeight="1">
      <c r="A7" s="1427"/>
      <c r="B7" s="400" t="s">
        <v>2</v>
      </c>
      <c r="C7" s="401" t="s">
        <v>3</v>
      </c>
      <c r="D7" s="401" t="s">
        <v>839</v>
      </c>
      <c r="E7" s="402" t="s">
        <v>840</v>
      </c>
      <c r="F7" s="1248" t="s">
        <v>841</v>
      </c>
      <c r="G7" s="400" t="s">
        <v>2</v>
      </c>
      <c r="H7" s="401" t="s">
        <v>3</v>
      </c>
      <c r="I7" s="401" t="s">
        <v>839</v>
      </c>
      <c r="J7" s="402" t="s">
        <v>840</v>
      </c>
      <c r="K7" s="1250" t="s">
        <v>841</v>
      </c>
      <c r="L7" s="390"/>
    </row>
    <row r="8" spans="1:12" ht="17.100000000000001" customHeight="1">
      <c r="A8" s="404" t="s">
        <v>842</v>
      </c>
      <c r="B8" s="1388">
        <v>0</v>
      </c>
      <c r="C8" s="1387"/>
      <c r="D8" s="1387"/>
      <c r="E8" s="1387"/>
      <c r="F8" s="1387"/>
      <c r="G8" s="1388">
        <v>1.784</v>
      </c>
      <c r="H8" s="1397"/>
      <c r="I8" s="1397"/>
      <c r="J8" s="1397"/>
      <c r="K8" s="1398"/>
      <c r="L8" s="390"/>
    </row>
    <row r="9" spans="1:12" ht="17.100000000000001" customHeight="1">
      <c r="A9" s="404" t="s">
        <v>843</v>
      </c>
      <c r="B9" s="1391">
        <v>1000</v>
      </c>
      <c r="C9" s="1385"/>
      <c r="D9" s="1385"/>
      <c r="E9" s="1385"/>
      <c r="F9" s="1385"/>
      <c r="G9" s="1391">
        <v>904.56</v>
      </c>
      <c r="H9" s="1395"/>
      <c r="I9" s="1395"/>
      <c r="J9" s="1395"/>
      <c r="K9" s="1399"/>
      <c r="L9" s="390"/>
    </row>
    <row r="10" spans="1:12" ht="17.100000000000001" customHeight="1">
      <c r="A10" s="404" t="s">
        <v>844</v>
      </c>
      <c r="B10" s="1389">
        <v>0</v>
      </c>
      <c r="C10" s="1395"/>
      <c r="D10" s="1395"/>
      <c r="E10" s="1385"/>
      <c r="F10" s="1385"/>
      <c r="G10" s="1389">
        <v>0</v>
      </c>
      <c r="H10" s="1395"/>
      <c r="I10" s="1395"/>
      <c r="J10" s="1395"/>
      <c r="K10" s="1399"/>
      <c r="L10" s="390"/>
    </row>
    <row r="11" spans="1:12" ht="17.100000000000001" customHeight="1">
      <c r="A11" s="409" t="s">
        <v>845</v>
      </c>
      <c r="B11" s="1390">
        <v>1</v>
      </c>
      <c r="C11" s="1386"/>
      <c r="D11" s="1386"/>
      <c r="E11" s="1386"/>
      <c r="F11" s="1386"/>
      <c r="G11" s="1390">
        <v>2</v>
      </c>
      <c r="H11" s="1396"/>
      <c r="I11" s="1396"/>
      <c r="J11" s="1396"/>
      <c r="K11" s="1400"/>
      <c r="L11" s="390"/>
    </row>
    <row r="12" spans="1:12" ht="17.100000000000001" customHeight="1">
      <c r="A12" s="411" t="s">
        <v>846</v>
      </c>
      <c r="B12" s="400" t="s">
        <v>847</v>
      </c>
      <c r="C12" s="401" t="s">
        <v>848</v>
      </c>
      <c r="D12" s="401" t="s">
        <v>849</v>
      </c>
      <c r="E12" s="402" t="s">
        <v>850</v>
      </c>
      <c r="F12" s="1248" t="s">
        <v>851</v>
      </c>
      <c r="G12" s="400" t="s">
        <v>852</v>
      </c>
      <c r="H12" s="401" t="s">
        <v>853</v>
      </c>
      <c r="I12" s="401" t="s">
        <v>978</v>
      </c>
      <c r="J12" s="402" t="s">
        <v>850</v>
      </c>
      <c r="K12" s="1250" t="s">
        <v>851</v>
      </c>
      <c r="L12" s="390"/>
    </row>
    <row r="13" spans="1:12" ht="17.100000000000001" customHeight="1">
      <c r="A13" s="404" t="s">
        <v>854</v>
      </c>
      <c r="B13" s="1393"/>
      <c r="C13" s="1242"/>
      <c r="D13" s="1242"/>
      <c r="E13" s="1242"/>
      <c r="F13" s="1242"/>
      <c r="G13" s="1403"/>
      <c r="H13" s="1242"/>
      <c r="I13" s="1242"/>
      <c r="J13" s="1242"/>
      <c r="K13" s="1243"/>
      <c r="L13" s="390"/>
    </row>
    <row r="14" spans="1:12" ht="17.100000000000001" customHeight="1">
      <c r="A14" s="404" t="s">
        <v>855</v>
      </c>
      <c r="B14" s="1392"/>
      <c r="C14" s="405"/>
      <c r="D14" s="405"/>
      <c r="E14" s="405"/>
      <c r="F14" s="406"/>
      <c r="G14" s="1402"/>
      <c r="H14" s="405"/>
      <c r="I14" s="405"/>
      <c r="J14" s="405"/>
      <c r="K14" s="407"/>
      <c r="L14" s="390"/>
    </row>
    <row r="15" spans="1:12" ht="17.100000000000001" customHeight="1">
      <c r="A15" s="404" t="s">
        <v>856</v>
      </c>
      <c r="B15" s="1392"/>
      <c r="C15" s="405"/>
      <c r="D15" s="405"/>
      <c r="E15" s="405"/>
      <c r="F15" s="406"/>
      <c r="G15" s="1402"/>
      <c r="H15" s="405"/>
      <c r="I15" s="405"/>
      <c r="J15" s="405"/>
      <c r="K15" s="408"/>
      <c r="L15" s="390"/>
    </row>
    <row r="16" spans="1:12" ht="17.100000000000001" customHeight="1">
      <c r="A16" s="409" t="s">
        <v>857</v>
      </c>
      <c r="B16" s="1394"/>
      <c r="C16" s="412"/>
      <c r="D16" s="412"/>
      <c r="E16" s="412"/>
      <c r="F16" s="412"/>
      <c r="G16" s="1404"/>
      <c r="H16" s="412"/>
      <c r="I16" s="412"/>
      <c r="J16" s="412"/>
      <c r="K16" s="410"/>
      <c r="L16" s="390"/>
    </row>
    <row r="17" spans="1:16" ht="17.100000000000001" customHeight="1">
      <c r="A17" s="409" t="s">
        <v>858</v>
      </c>
      <c r="B17" s="413"/>
      <c r="C17" s="1307">
        <f>B9+C9+D9+E9+F9+B14+C14+D14+E14+F14</f>
        <v>1000</v>
      </c>
      <c r="D17" s="414"/>
      <c r="E17" s="415"/>
      <c r="F17" s="416"/>
      <c r="G17" s="413"/>
      <c r="H17" s="1307">
        <f>G9+H9+I9+J9+K9+G14+H14+I14+J14+K14</f>
        <v>904.56</v>
      </c>
      <c r="I17" s="417"/>
      <c r="J17" s="415"/>
      <c r="K17" s="418"/>
      <c r="L17" s="390"/>
    </row>
    <row r="18" spans="1:16" ht="17.100000000000001" customHeight="1">
      <c r="A18" s="419" t="s">
        <v>859</v>
      </c>
      <c r="B18" s="420"/>
      <c r="C18" s="1244">
        <v>58.672159999999998</v>
      </c>
      <c r="D18" s="421" t="s">
        <v>860</v>
      </c>
      <c r="E18" s="421"/>
      <c r="F18" s="422"/>
      <c r="G18" s="420"/>
      <c r="H18" s="1253">
        <f>C18</f>
        <v>58.672159999999998</v>
      </c>
      <c r="I18" s="421" t="s">
        <v>861</v>
      </c>
      <c r="J18" s="421"/>
      <c r="K18" s="423"/>
      <c r="L18" s="390"/>
    </row>
    <row r="19" spans="1:16" ht="17.100000000000001" customHeight="1">
      <c r="A19" s="404" t="s">
        <v>862</v>
      </c>
      <c r="B19" s="420"/>
      <c r="C19" s="1244">
        <v>29.728000000000002</v>
      </c>
      <c r="D19" s="421" t="s">
        <v>863</v>
      </c>
      <c r="E19" s="421"/>
      <c r="F19" s="422"/>
      <c r="G19" s="424"/>
      <c r="H19" s="1253">
        <f>C19</f>
        <v>29.728000000000002</v>
      </c>
      <c r="I19" s="421" t="s">
        <v>864</v>
      </c>
      <c r="J19" s="421"/>
      <c r="K19" s="423"/>
      <c r="L19" s="420"/>
    </row>
    <row r="20" spans="1:16" ht="17.100000000000001" customHeight="1" thickBot="1">
      <c r="A20" s="425" t="s">
        <v>5</v>
      </c>
      <c r="B20" s="396"/>
      <c r="C20" s="1246">
        <v>7.8945309999999997</v>
      </c>
      <c r="D20" s="426" t="s">
        <v>864</v>
      </c>
      <c r="E20" s="426"/>
      <c r="F20" s="427"/>
      <c r="G20" s="396"/>
      <c r="H20" s="1245">
        <f>ROUND(4*H18/H19,3)</f>
        <v>7.8949999999999996</v>
      </c>
      <c r="I20" s="426" t="s">
        <v>864</v>
      </c>
      <c r="J20" s="426"/>
      <c r="K20" s="428"/>
      <c r="L20" s="390"/>
    </row>
    <row r="21" spans="1:16" ht="17.100000000000001" customHeight="1">
      <c r="A21" s="390"/>
      <c r="B21" s="390"/>
      <c r="C21" s="390"/>
      <c r="D21" s="390"/>
      <c r="E21" s="395"/>
      <c r="F21" s="395"/>
      <c r="G21" s="390"/>
      <c r="H21" s="390"/>
      <c r="I21" s="390"/>
      <c r="J21" s="420"/>
      <c r="K21" s="390"/>
      <c r="L21" s="390"/>
      <c r="M21" s="421"/>
    </row>
    <row r="22" spans="1:16" ht="17.100000000000001" customHeight="1">
      <c r="A22" s="390"/>
      <c r="B22" s="390"/>
      <c r="C22" s="390"/>
      <c r="D22" s="390"/>
      <c r="E22" s="390"/>
      <c r="F22" s="390"/>
      <c r="G22" s="390"/>
      <c r="H22" s="429"/>
      <c r="I22" s="429"/>
      <c r="J22" s="430"/>
      <c r="K22" s="429"/>
      <c r="L22" s="429"/>
      <c r="M22" s="430"/>
      <c r="N22" s="431"/>
      <c r="O22" s="431"/>
      <c r="P22" s="431"/>
    </row>
    <row r="23" spans="1:16" ht="17.100000000000001" customHeight="1">
      <c r="A23" s="390" t="s">
        <v>205</v>
      </c>
      <c r="B23" s="390"/>
      <c r="C23" s="390" t="s">
        <v>6</v>
      </c>
      <c r="D23" s="115">
        <f>IF(D24=120,0.1,IF(D24=100,0.2,IF(D24=80,0.3)))</f>
        <v>0.3</v>
      </c>
      <c r="E23" s="393" t="s">
        <v>1</v>
      </c>
      <c r="F23" s="432" t="s">
        <v>201</v>
      </c>
      <c r="G23" s="432" t="s">
        <v>202</v>
      </c>
      <c r="H23" s="432" t="s">
        <v>203</v>
      </c>
      <c r="I23" s="429"/>
      <c r="J23" s="433"/>
      <c r="K23" s="429"/>
      <c r="L23" s="429"/>
      <c r="M23" s="430"/>
      <c r="N23" s="431"/>
      <c r="O23" s="431"/>
      <c r="P23" s="431"/>
    </row>
    <row r="24" spans="1:16" ht="17.100000000000001" customHeight="1">
      <c r="A24" s="390" t="s">
        <v>1</v>
      </c>
      <c r="B24" s="390" t="s">
        <v>7</v>
      </c>
      <c r="C24" s="390"/>
      <c r="D24" s="73">
        <v>80</v>
      </c>
      <c r="E24" s="390" t="s">
        <v>338</v>
      </c>
      <c r="H24" s="390"/>
      <c r="I24" s="390"/>
      <c r="J24" s="390"/>
      <c r="K24" s="390"/>
      <c r="L24" s="390"/>
      <c r="M24" s="421"/>
      <c r="N24" s="421"/>
    </row>
    <row r="25" spans="1:16" ht="17.100000000000001" customHeight="1">
      <c r="A25" s="390" t="s">
        <v>162</v>
      </c>
      <c r="C25" s="390" t="s">
        <v>6</v>
      </c>
      <c r="D25" s="115">
        <f>IF(D26="A",1,IF(D26="B",2,IF(D26="C",3,IF(D26="D",4,IF(D26="E",5,6)))))</f>
        <v>4</v>
      </c>
      <c r="E25" s="394">
        <v>1</v>
      </c>
      <c r="F25" s="432">
        <v>2</v>
      </c>
      <c r="G25" s="432">
        <v>3</v>
      </c>
      <c r="H25" s="432">
        <v>4</v>
      </c>
      <c r="I25" s="432">
        <v>5</v>
      </c>
      <c r="J25" s="432">
        <v>6</v>
      </c>
      <c r="K25" s="432"/>
      <c r="L25" s="390"/>
      <c r="M25" s="421"/>
    </row>
    <row r="26" spans="1:16" ht="17.100000000000001" customHeight="1">
      <c r="A26" s="390" t="s">
        <v>1</v>
      </c>
      <c r="C26" s="390" t="s">
        <v>204</v>
      </c>
      <c r="D26" s="114" t="s">
        <v>833</v>
      </c>
      <c r="E26" s="432" t="s">
        <v>332</v>
      </c>
      <c r="F26" s="395" t="s">
        <v>333</v>
      </c>
      <c r="G26" s="395" t="s">
        <v>334</v>
      </c>
      <c r="H26" s="432" t="s">
        <v>335</v>
      </c>
      <c r="I26" s="432" t="s">
        <v>336</v>
      </c>
      <c r="J26" s="432" t="s">
        <v>337</v>
      </c>
      <c r="K26" s="390"/>
      <c r="L26" s="390"/>
      <c r="M26" s="421"/>
    </row>
    <row r="27" spans="1:16" ht="17.100000000000001" customHeight="1">
      <c r="A27" s="390" t="s">
        <v>1</v>
      </c>
      <c r="C27" s="390"/>
      <c r="D27" s="74"/>
      <c r="E27" s="390"/>
      <c r="H27" s="390"/>
      <c r="I27" s="390"/>
      <c r="J27" s="390"/>
      <c r="K27" s="390"/>
      <c r="L27" s="390"/>
    </row>
    <row r="28" spans="1:16" ht="17.100000000000001" customHeight="1">
      <c r="A28" s="390"/>
      <c r="C28" s="390"/>
      <c r="D28" s="74"/>
      <c r="E28" s="390"/>
      <c r="F28" s="390"/>
      <c r="G28" s="390"/>
      <c r="H28" s="390"/>
      <c r="I28" s="390"/>
      <c r="J28" s="390"/>
      <c r="K28" s="390"/>
      <c r="L28" s="390"/>
    </row>
    <row r="29" spans="1:16" ht="17.100000000000001" customHeight="1">
      <c r="A29" s="390" t="s">
        <v>168</v>
      </c>
      <c r="B29" s="116" t="str">
        <f>IF(D25&lt;=3,"첨두시교통량을 입력하세요","최대용량사용")</f>
        <v>최대용량사용</v>
      </c>
      <c r="D29" s="75"/>
      <c r="F29" s="390"/>
      <c r="G29" s="390"/>
      <c r="H29" s="390"/>
      <c r="I29" s="390"/>
      <c r="J29" s="390"/>
      <c r="K29" s="390"/>
      <c r="L29" s="390"/>
    </row>
    <row r="30" spans="1:16" ht="17.100000000000001" customHeight="1">
      <c r="A30" s="390" t="s">
        <v>490</v>
      </c>
      <c r="B30" s="395" t="str">
        <f>E6</f>
        <v>진주</v>
      </c>
      <c r="C30" s="114">
        <v>2200</v>
      </c>
      <c r="D30" s="432" t="s">
        <v>206</v>
      </c>
      <c r="F30" s="390"/>
      <c r="G30" s="390"/>
      <c r="H30" s="390"/>
      <c r="I30" s="390">
        <f>1.4536*1.2</f>
        <v>1.7443199999999999</v>
      </c>
      <c r="J30" s="390">
        <f>1.2*60+I30</f>
        <v>73.744320000000002</v>
      </c>
      <c r="K30" s="390"/>
      <c r="L30" s="390"/>
    </row>
    <row r="31" spans="1:16" ht="17.100000000000001" customHeight="1">
      <c r="A31" s="390"/>
      <c r="B31" s="395" t="str">
        <f>J6</f>
        <v>마산</v>
      </c>
      <c r="C31" s="114">
        <v>2200</v>
      </c>
      <c r="D31" s="432" t="s">
        <v>206</v>
      </c>
      <c r="G31" s="390"/>
      <c r="H31" s="390"/>
      <c r="I31" s="390"/>
      <c r="J31" s="434"/>
      <c r="K31" s="390"/>
      <c r="L31" s="390"/>
    </row>
    <row r="32" spans="1:16" ht="17.100000000000001" customHeight="1">
      <c r="A32" s="390"/>
      <c r="B32" s="435"/>
      <c r="D32" s="75"/>
      <c r="E32" s="432"/>
      <c r="F32" s="390"/>
      <c r="G32" s="390"/>
      <c r="H32" s="390"/>
      <c r="I32" s="390"/>
      <c r="J32" s="390"/>
      <c r="K32" s="390"/>
      <c r="L32" s="390"/>
    </row>
    <row r="33" spans="1:18" ht="17.100000000000001" customHeight="1">
      <c r="A33" s="390"/>
      <c r="B33" s="390"/>
      <c r="C33" s="390"/>
      <c r="D33" s="75"/>
      <c r="E33" s="432"/>
      <c r="F33" s="390"/>
      <c r="G33" s="390"/>
      <c r="H33" s="390"/>
      <c r="I33" s="390"/>
      <c r="J33" s="390"/>
      <c r="K33" s="390"/>
      <c r="L33" s="390"/>
      <c r="M33" s="392" t="s">
        <v>421</v>
      </c>
    </row>
    <row r="34" spans="1:18" ht="17.100000000000001" customHeight="1" thickBot="1">
      <c r="A34" s="70" t="s">
        <v>8</v>
      </c>
      <c r="B34" s="76" t="str">
        <f>B6</f>
        <v>마산</v>
      </c>
      <c r="C34" s="1232" t="str">
        <f>D6</f>
        <v>⇒</v>
      </c>
      <c r="D34" s="76" t="str">
        <f>E6</f>
        <v>진주</v>
      </c>
      <c r="E34" s="395" t="s">
        <v>9</v>
      </c>
      <c r="G34" s="390" t="s">
        <v>10</v>
      </c>
      <c r="H34" s="1229">
        <v>2222</v>
      </c>
      <c r="I34" s="70" t="s">
        <v>816</v>
      </c>
      <c r="J34" s="436" t="s">
        <v>817</v>
      </c>
      <c r="K34" s="436"/>
      <c r="L34" s="390"/>
      <c r="M34" s="437">
        <f>H38+I38+J38</f>
        <v>4214</v>
      </c>
      <c r="N34" s="926">
        <f>H46+I46+J46</f>
        <v>0</v>
      </c>
      <c r="O34" s="926">
        <f>H46+I46+J46</f>
        <v>0</v>
      </c>
    </row>
    <row r="35" spans="1:18" ht="17.100000000000001" customHeight="1">
      <c r="A35" s="1426" t="s">
        <v>14</v>
      </c>
      <c r="B35" s="438"/>
      <c r="C35" s="1466" t="s">
        <v>11</v>
      </c>
      <c r="D35" s="1467"/>
      <c r="E35" s="1467"/>
      <c r="F35" s="1467"/>
      <c r="G35" s="1467"/>
      <c r="H35" s="1467"/>
      <c r="I35" s="1467"/>
      <c r="J35" s="1468"/>
      <c r="K35" s="1478" t="s">
        <v>12</v>
      </c>
      <c r="L35" s="440" t="s">
        <v>818</v>
      </c>
      <c r="M35" s="441" t="s">
        <v>13</v>
      </c>
      <c r="R35" s="392">
        <v>17079</v>
      </c>
    </row>
    <row r="36" spans="1:18" ht="17.100000000000001" customHeight="1">
      <c r="A36" s="1480"/>
      <c r="B36" s="442"/>
      <c r="C36" s="1481" t="s">
        <v>15</v>
      </c>
      <c r="D36" s="1429"/>
      <c r="E36" s="445" t="s">
        <v>16</v>
      </c>
      <c r="F36" s="446"/>
      <c r="G36" s="445"/>
      <c r="H36" s="446"/>
      <c r="I36" s="447" t="s">
        <v>17</v>
      </c>
      <c r="J36" s="446"/>
      <c r="K36" s="1479"/>
      <c r="L36" s="449" t="s">
        <v>819</v>
      </c>
      <c r="M36" s="1230" t="s">
        <v>18</v>
      </c>
      <c r="R36" s="392">
        <v>11386</v>
      </c>
    </row>
    <row r="37" spans="1:18" ht="17.100000000000001" customHeight="1">
      <c r="A37" s="1427"/>
      <c r="B37" s="450"/>
      <c r="C37" s="400" t="s">
        <v>820</v>
      </c>
      <c r="D37" s="451" t="s">
        <v>821</v>
      </c>
      <c r="E37" s="452" t="s">
        <v>19</v>
      </c>
      <c r="F37" s="453" t="s">
        <v>20</v>
      </c>
      <c r="G37" s="452" t="s">
        <v>19</v>
      </c>
      <c r="H37" s="453" t="s">
        <v>21</v>
      </c>
      <c r="I37" s="453" t="s">
        <v>20</v>
      </c>
      <c r="J37" s="453" t="s">
        <v>22</v>
      </c>
      <c r="K37" s="452" t="s">
        <v>23</v>
      </c>
      <c r="L37" s="77" t="s">
        <v>822</v>
      </c>
      <c r="M37" s="1231" t="s">
        <v>24</v>
      </c>
      <c r="R37" s="392">
        <f>R35+R36</f>
        <v>28465</v>
      </c>
    </row>
    <row r="38" spans="1:18" ht="17.100000000000001" customHeight="1">
      <c r="A38" s="455">
        <v>2222</v>
      </c>
      <c r="B38" s="456"/>
      <c r="C38" s="457">
        <f>I48*0.6</f>
        <v>49804.2</v>
      </c>
      <c r="D38" s="457">
        <f>I48*0.4</f>
        <v>33202.800000000003</v>
      </c>
      <c r="E38" s="217">
        <v>0</v>
      </c>
      <c r="F38" s="218">
        <v>815</v>
      </c>
      <c r="G38" s="217">
        <v>14331</v>
      </c>
      <c r="H38" s="218">
        <v>3020</v>
      </c>
      <c r="I38" s="218">
        <v>332</v>
      </c>
      <c r="J38" s="218">
        <v>862</v>
      </c>
      <c r="K38" s="905">
        <f t="shared" ref="K38:K47" si="0">SUM(C38:J38)</f>
        <v>102367</v>
      </c>
      <c r="L38" s="244"/>
      <c r="M38" s="78">
        <f>K38/K38</f>
        <v>1</v>
      </c>
    </row>
    <row r="39" spans="1:18" ht="17.100000000000001" customHeight="1">
      <c r="A39" s="458"/>
      <c r="B39" s="450" t="s">
        <v>25</v>
      </c>
      <c r="C39" s="246">
        <f>ROUND($C38/$K38*100,2)</f>
        <v>48.65</v>
      </c>
      <c r="D39" s="247">
        <f>ROUND($D38/$K38*100,2)</f>
        <v>32.44</v>
      </c>
      <c r="E39" s="248">
        <f>ROUND($E38/$K38*100,2)</f>
        <v>0</v>
      </c>
      <c r="F39" s="249">
        <f>ROUND($F38/$K38*100,2)</f>
        <v>0.8</v>
      </c>
      <c r="G39" s="248">
        <f>ROUND($G38/$K38*100,2)</f>
        <v>14</v>
      </c>
      <c r="H39" s="249">
        <f>ROUND($H38/$K38*100,2)</f>
        <v>2.95</v>
      </c>
      <c r="I39" s="249">
        <f>ROUND($I38/$K38*100,2)</f>
        <v>0.32</v>
      </c>
      <c r="J39" s="249">
        <f>ROUND($J38/K38*100,2)</f>
        <v>0.84</v>
      </c>
      <c r="K39" s="313">
        <f t="shared" si="0"/>
        <v>100</v>
      </c>
      <c r="L39" s="906">
        <f>ROUND(F39+H39+I39+J39,2)</f>
        <v>4.91</v>
      </c>
      <c r="M39" s="79"/>
    </row>
    <row r="40" spans="1:18" ht="17.100000000000001" customHeight="1">
      <c r="A40" s="460"/>
      <c r="B40" s="424"/>
      <c r="C40" s="306"/>
      <c r="D40" s="461"/>
      <c r="E40" s="307"/>
      <c r="F40" s="308"/>
      <c r="G40" s="307"/>
      <c r="H40" s="308"/>
      <c r="I40" s="308"/>
      <c r="J40" s="308"/>
      <c r="K40" s="243">
        <f t="shared" si="0"/>
        <v>0</v>
      </c>
      <c r="L40" s="245"/>
      <c r="M40" s="78">
        <f>K40/K38</f>
        <v>0</v>
      </c>
    </row>
    <row r="41" spans="1:18" ht="17.100000000000001" customHeight="1">
      <c r="A41" s="458"/>
      <c r="B41" s="450" t="s">
        <v>25</v>
      </c>
      <c r="C41" s="246" t="e">
        <f>ROUND($C40/$K40*100,2)</f>
        <v>#DIV/0!</v>
      </c>
      <c r="D41" s="247" t="e">
        <f>ROUND($D40/$K40*100,2)</f>
        <v>#DIV/0!</v>
      </c>
      <c r="E41" s="248" t="e">
        <f>ROUND($E40/$K40*100,2)</f>
        <v>#DIV/0!</v>
      </c>
      <c r="F41" s="249" t="e">
        <f>ROUND($F40/$K40*100,2)</f>
        <v>#DIV/0!</v>
      </c>
      <c r="G41" s="248" t="e">
        <f>ROUND($G40/$K40*100,2)</f>
        <v>#DIV/0!</v>
      </c>
      <c r="H41" s="249" t="e">
        <f>ROUND($H40/$K40*100,2)</f>
        <v>#DIV/0!</v>
      </c>
      <c r="I41" s="249" t="e">
        <f>ROUND($I40/$K40*100,2)</f>
        <v>#DIV/0!</v>
      </c>
      <c r="J41" s="249" t="e">
        <f>ROUND($J40/K40*100,2)</f>
        <v>#DIV/0!</v>
      </c>
      <c r="K41" s="87" t="e">
        <f t="shared" si="0"/>
        <v>#DIV/0!</v>
      </c>
      <c r="L41" s="459" t="e">
        <f>ROUND(F41+H41+I41+J41,2)</f>
        <v>#DIV/0!</v>
      </c>
      <c r="M41" s="79"/>
    </row>
    <row r="42" spans="1:18" ht="17.100000000000001" customHeight="1">
      <c r="A42" s="460"/>
      <c r="B42" s="424"/>
      <c r="C42" s="306"/>
      <c r="D42" s="461"/>
      <c r="E42" s="307"/>
      <c r="F42" s="308"/>
      <c r="G42" s="307"/>
      <c r="H42" s="308"/>
      <c r="I42" s="308"/>
      <c r="J42" s="308"/>
      <c r="K42" s="243">
        <f t="shared" si="0"/>
        <v>0</v>
      </c>
      <c r="L42" s="245"/>
      <c r="M42" s="78">
        <f>K42/K38</f>
        <v>0</v>
      </c>
    </row>
    <row r="43" spans="1:18" ht="17.100000000000001" customHeight="1">
      <c r="A43" s="458"/>
      <c r="B43" s="450" t="s">
        <v>25</v>
      </c>
      <c r="C43" s="246" t="e">
        <f>ROUND($C42/$K42*100,2)</f>
        <v>#DIV/0!</v>
      </c>
      <c r="D43" s="247" t="e">
        <f>ROUND($D42/$K42*100,2)</f>
        <v>#DIV/0!</v>
      </c>
      <c r="E43" s="248" t="e">
        <f>ROUND($E42/$K42*100,2)</f>
        <v>#DIV/0!</v>
      </c>
      <c r="F43" s="249" t="e">
        <f>ROUND($F42/$K42*100,2)</f>
        <v>#DIV/0!</v>
      </c>
      <c r="G43" s="248" t="e">
        <f>ROUND($G42/$K42*100,2)</f>
        <v>#DIV/0!</v>
      </c>
      <c r="H43" s="249" t="e">
        <f>ROUND($H42/$K42*100,2)</f>
        <v>#DIV/0!</v>
      </c>
      <c r="I43" s="249" t="e">
        <f>ROUND($I42/$K42*100,2)</f>
        <v>#DIV/0!</v>
      </c>
      <c r="J43" s="249" t="e">
        <f>ROUND($J42/K42*100,2)</f>
        <v>#DIV/0!</v>
      </c>
      <c r="K43" s="87" t="e">
        <f t="shared" si="0"/>
        <v>#DIV/0!</v>
      </c>
      <c r="L43" s="459" t="e">
        <f>ROUND(F43+H43+I43+J43,2)</f>
        <v>#DIV/0!</v>
      </c>
      <c r="M43" s="79"/>
    </row>
    <row r="44" spans="1:18" ht="17.100000000000001" customHeight="1">
      <c r="A44" s="460"/>
      <c r="B44" s="424"/>
      <c r="C44" s="306"/>
      <c r="D44" s="461"/>
      <c r="E44" s="307"/>
      <c r="F44" s="308"/>
      <c r="G44" s="307"/>
      <c r="H44" s="308"/>
      <c r="I44" s="308"/>
      <c r="J44" s="308"/>
      <c r="K44" s="243">
        <f t="shared" si="0"/>
        <v>0</v>
      </c>
      <c r="L44" s="245"/>
      <c r="M44" s="78">
        <f>K44/K38</f>
        <v>0</v>
      </c>
    </row>
    <row r="45" spans="1:18" ht="17.100000000000001" customHeight="1">
      <c r="A45" s="458"/>
      <c r="B45" s="450" t="s">
        <v>823</v>
      </c>
      <c r="C45" s="246" t="e">
        <f>ROUND($C44/$K44*100,2)</f>
        <v>#DIV/0!</v>
      </c>
      <c r="D45" s="247" t="e">
        <f>ROUND($D44/$K44*100,2)</f>
        <v>#DIV/0!</v>
      </c>
      <c r="E45" s="248" t="e">
        <f>ROUND($E44/$K44*100,2)</f>
        <v>#DIV/0!</v>
      </c>
      <c r="F45" s="249" t="e">
        <f>ROUND($F44/$K44*100,2)</f>
        <v>#DIV/0!</v>
      </c>
      <c r="G45" s="248" t="e">
        <f>ROUND($G44/$K44*100,2)</f>
        <v>#DIV/0!</v>
      </c>
      <c r="H45" s="249" t="e">
        <f>ROUND($H44/$K44*100,2)</f>
        <v>#DIV/0!</v>
      </c>
      <c r="I45" s="249" t="e">
        <f>ROUND($I44/$K44*100,2)</f>
        <v>#DIV/0!</v>
      </c>
      <c r="J45" s="249" t="e">
        <f>ROUND($J44/K44*100,2)</f>
        <v>#DIV/0!</v>
      </c>
      <c r="K45" s="313" t="e">
        <f t="shared" si="0"/>
        <v>#DIV/0!</v>
      </c>
      <c r="L45" s="459" t="e">
        <f>ROUND(F45+H45+I45+J45,2)</f>
        <v>#DIV/0!</v>
      </c>
      <c r="M45" s="79"/>
    </row>
    <row r="46" spans="1:18" ht="17.100000000000001" customHeight="1">
      <c r="A46" s="460"/>
      <c r="B46" s="424"/>
      <c r="C46" s="306"/>
      <c r="D46" s="461"/>
      <c r="E46" s="307"/>
      <c r="F46" s="308"/>
      <c r="G46" s="307"/>
      <c r="H46" s="308"/>
      <c r="I46" s="308"/>
      <c r="J46" s="308"/>
      <c r="K46" s="243">
        <f t="shared" si="0"/>
        <v>0</v>
      </c>
      <c r="L46" s="1247"/>
      <c r="M46" s="78">
        <f>K46/K38</f>
        <v>0</v>
      </c>
    </row>
    <row r="47" spans="1:18" ht="17.100000000000001" customHeight="1" thickBot="1">
      <c r="A47" s="462"/>
      <c r="B47" s="463" t="s">
        <v>823</v>
      </c>
      <c r="C47" s="309" t="e">
        <f>ROUND($C46/$K46*100,2)</f>
        <v>#DIV/0!</v>
      </c>
      <c r="D47" s="310" t="e">
        <f>ROUND($D46/$K46*100,2)</f>
        <v>#DIV/0!</v>
      </c>
      <c r="E47" s="311" t="e">
        <f>ROUND($E46/$K46*100,2)</f>
        <v>#DIV/0!</v>
      </c>
      <c r="F47" s="312" t="e">
        <f>ROUND($F46/$K46*100,2)</f>
        <v>#DIV/0!</v>
      </c>
      <c r="G47" s="311" t="e">
        <f>ROUND($G46/$K46*100,2)</f>
        <v>#DIV/0!</v>
      </c>
      <c r="H47" s="312" t="e">
        <f>ROUND($H46/$K46*100,2)</f>
        <v>#DIV/0!</v>
      </c>
      <c r="I47" s="312" t="e">
        <f>ROUND($I46/$K46*100,2)</f>
        <v>#DIV/0!</v>
      </c>
      <c r="J47" s="312" t="e">
        <f>ROUND($J46/K46*100,2)</f>
        <v>#DIV/0!</v>
      </c>
      <c r="K47" s="314" t="e">
        <f t="shared" si="0"/>
        <v>#DIV/0!</v>
      </c>
      <c r="L47" s="464" t="e">
        <f>ROUND(F47+H47+I47+J47,2)</f>
        <v>#DIV/0!</v>
      </c>
      <c r="M47" s="79"/>
    </row>
    <row r="48" spans="1:18" ht="17.100000000000001" customHeight="1">
      <c r="A48" s="433"/>
      <c r="B48" s="420"/>
      <c r="C48" s="81" t="s">
        <v>808</v>
      </c>
      <c r="D48" s="81"/>
      <c r="E48" s="81"/>
      <c r="F48" s="81"/>
      <c r="G48" s="81"/>
      <c r="H48" s="89" t="s">
        <v>276</v>
      </c>
      <c r="I48" s="219">
        <v>83007</v>
      </c>
      <c r="J48" s="81"/>
      <c r="K48" s="82"/>
      <c r="L48" s="82"/>
    </row>
    <row r="49" spans="1:13" ht="17.100000000000001" customHeight="1">
      <c r="A49" s="433"/>
      <c r="B49" s="420"/>
      <c r="C49" s="81"/>
      <c r="D49" s="81"/>
      <c r="F49" s="81"/>
      <c r="G49" s="81"/>
      <c r="H49" s="81"/>
      <c r="I49" s="81"/>
      <c r="J49" s="81"/>
      <c r="K49" s="82"/>
      <c r="L49" s="82"/>
    </row>
    <row r="50" spans="1:13" ht="17.100000000000001" customHeight="1">
      <c r="A50" s="433"/>
      <c r="B50" s="420"/>
      <c r="C50" s="81"/>
      <c r="D50" s="81"/>
      <c r="E50" s="81"/>
      <c r="F50" s="81"/>
      <c r="G50" s="81"/>
      <c r="H50" s="81"/>
      <c r="I50" s="81"/>
      <c r="J50" s="81"/>
      <c r="K50" s="82"/>
      <c r="L50" s="82"/>
    </row>
    <row r="51" spans="1:13" ht="17.100000000000001" customHeight="1" thickBot="1">
      <c r="A51" s="70" t="s">
        <v>26</v>
      </c>
      <c r="B51" s="76" t="str">
        <f>G6</f>
        <v>진주</v>
      </c>
      <c r="C51" s="1232" t="str">
        <f>I6</f>
        <v>⇒</v>
      </c>
      <c r="D51" s="76" t="str">
        <f>J6</f>
        <v>마산</v>
      </c>
      <c r="E51" s="1232" t="s">
        <v>9</v>
      </c>
      <c r="F51" s="390" t="s">
        <v>1</v>
      </c>
      <c r="G51" s="390" t="s">
        <v>10</v>
      </c>
      <c r="H51" s="76">
        <f>H34</f>
        <v>2222</v>
      </c>
      <c r="I51" s="70" t="s">
        <v>824</v>
      </c>
      <c r="J51" s="436" t="s">
        <v>825</v>
      </c>
      <c r="K51" s="436"/>
      <c r="L51" s="390"/>
    </row>
    <row r="52" spans="1:13" ht="17.100000000000001" customHeight="1">
      <c r="A52" s="1426" t="s">
        <v>14</v>
      </c>
      <c r="B52" s="438"/>
      <c r="C52" s="1466" t="s">
        <v>11</v>
      </c>
      <c r="D52" s="1467"/>
      <c r="E52" s="1467"/>
      <c r="F52" s="1467"/>
      <c r="G52" s="1467"/>
      <c r="H52" s="1467"/>
      <c r="I52" s="1467"/>
      <c r="J52" s="1468"/>
      <c r="K52" s="1478" t="s">
        <v>12</v>
      </c>
      <c r="L52" s="440" t="s">
        <v>826</v>
      </c>
      <c r="M52" s="441" t="s">
        <v>13</v>
      </c>
    </row>
    <row r="53" spans="1:13" ht="17.100000000000001" customHeight="1">
      <c r="A53" s="1480"/>
      <c r="B53" s="442"/>
      <c r="C53" s="1481" t="s">
        <v>15</v>
      </c>
      <c r="D53" s="1429"/>
      <c r="E53" s="445" t="s">
        <v>16</v>
      </c>
      <c r="F53" s="446"/>
      <c r="G53" s="445"/>
      <c r="H53" s="446"/>
      <c r="I53" s="447" t="s">
        <v>17</v>
      </c>
      <c r="J53" s="446"/>
      <c r="K53" s="1479"/>
      <c r="L53" s="449" t="s">
        <v>827</v>
      </c>
      <c r="M53" s="1230" t="s">
        <v>18</v>
      </c>
    </row>
    <row r="54" spans="1:13" ht="17.100000000000001" customHeight="1">
      <c r="A54" s="1427"/>
      <c r="B54" s="450"/>
      <c r="C54" s="471" t="s">
        <v>828</v>
      </c>
      <c r="D54" s="472" t="s">
        <v>829</v>
      </c>
      <c r="E54" s="452" t="s">
        <v>19</v>
      </c>
      <c r="F54" s="453" t="s">
        <v>20</v>
      </c>
      <c r="G54" s="400" t="s">
        <v>19</v>
      </c>
      <c r="H54" s="401" t="s">
        <v>21</v>
      </c>
      <c r="I54" s="401" t="s">
        <v>20</v>
      </c>
      <c r="J54" s="473" t="s">
        <v>22</v>
      </c>
      <c r="K54" s="452" t="s">
        <v>23</v>
      </c>
      <c r="L54" s="77" t="s">
        <v>830</v>
      </c>
      <c r="M54" s="1231" t="s">
        <v>24</v>
      </c>
    </row>
    <row r="55" spans="1:13" ht="17.100000000000001" customHeight="1">
      <c r="A55" s="460">
        <f>A38</f>
        <v>2222</v>
      </c>
      <c r="B55" s="424"/>
      <c r="C55" s="457">
        <f>I65*0.6</f>
        <v>49804.2</v>
      </c>
      <c r="D55" s="457">
        <f>I65*0.4</f>
        <v>33202.800000000003</v>
      </c>
      <c r="E55" s="217">
        <v>0</v>
      </c>
      <c r="F55" s="218">
        <v>815</v>
      </c>
      <c r="G55" s="217">
        <v>14331</v>
      </c>
      <c r="H55" s="218">
        <v>3020</v>
      </c>
      <c r="I55" s="218">
        <v>332</v>
      </c>
      <c r="J55" s="218">
        <v>862</v>
      </c>
      <c r="K55" s="905">
        <f t="shared" ref="K55:K64" si="1">SUM(C55:J55)</f>
        <v>102367</v>
      </c>
      <c r="L55" s="244"/>
      <c r="M55" s="78">
        <f>K55/K55</f>
        <v>1</v>
      </c>
    </row>
    <row r="56" spans="1:13" ht="17.100000000000001" customHeight="1">
      <c r="A56" s="458"/>
      <c r="B56" s="450" t="s">
        <v>25</v>
      </c>
      <c r="C56" s="246">
        <f>ROUND($C55/$K55*100,2)</f>
        <v>48.65</v>
      </c>
      <c r="D56" s="247">
        <f>ROUND($D55/$K55*100,2)</f>
        <v>32.44</v>
      </c>
      <c r="E56" s="246">
        <f>ROUND($E55/$K55*100,2)</f>
        <v>0</v>
      </c>
      <c r="F56" s="247">
        <f>ROUND($F55/$K55*100,2)</f>
        <v>0.8</v>
      </c>
      <c r="G56" s="246">
        <f>ROUND($G55/$K55*100,2)</f>
        <v>14</v>
      </c>
      <c r="H56" s="382">
        <f>ROUND($H55/$K55*100,2)</f>
        <v>2.95</v>
      </c>
      <c r="I56" s="320">
        <f>ROUND($I55/$K55*100,2)</f>
        <v>0.32</v>
      </c>
      <c r="J56" s="247">
        <f>ROUND($J55/K55*100,2)</f>
        <v>0.84</v>
      </c>
      <c r="K56" s="313">
        <f t="shared" si="1"/>
        <v>100</v>
      </c>
      <c r="L56" s="906">
        <f>ROUND(F56+H56+I56+J56,2)</f>
        <v>4.91</v>
      </c>
      <c r="M56" s="79"/>
    </row>
    <row r="57" spans="1:13" ht="17.100000000000001" customHeight="1">
      <c r="A57" s="460"/>
      <c r="B57" s="424"/>
      <c r="C57" s="316">
        <f t="shared" ref="C57:J57" si="2">C40</f>
        <v>0</v>
      </c>
      <c r="D57" s="317">
        <f t="shared" si="2"/>
        <v>0</v>
      </c>
      <c r="E57" s="315">
        <f t="shared" si="2"/>
        <v>0</v>
      </c>
      <c r="F57" s="318">
        <f t="shared" si="2"/>
        <v>0</v>
      </c>
      <c r="G57" s="315">
        <f t="shared" si="2"/>
        <v>0</v>
      </c>
      <c r="H57" s="383">
        <f t="shared" si="2"/>
        <v>0</v>
      </c>
      <c r="I57" s="380">
        <f t="shared" si="2"/>
        <v>0</v>
      </c>
      <c r="J57" s="318">
        <f t="shared" si="2"/>
        <v>0</v>
      </c>
      <c r="K57" s="243">
        <f t="shared" si="1"/>
        <v>0</v>
      </c>
      <c r="L57" s="80"/>
      <c r="M57" s="78">
        <f>K57/K55</f>
        <v>0</v>
      </c>
    </row>
    <row r="58" spans="1:13" ht="17.100000000000001" customHeight="1">
      <c r="A58" s="458"/>
      <c r="B58" s="450" t="s">
        <v>25</v>
      </c>
      <c r="C58" s="246" t="e">
        <f>ROUND($C57/$K57*100,2)</f>
        <v>#DIV/0!</v>
      </c>
      <c r="D58" s="247" t="e">
        <f>ROUND($D57/$K57*100,2)</f>
        <v>#DIV/0!</v>
      </c>
      <c r="E58" s="246" t="e">
        <f>ROUND($E57/$K57*100,2)</f>
        <v>#DIV/0!</v>
      </c>
      <c r="F58" s="247" t="e">
        <f>ROUND($F57/$K57*100,2)</f>
        <v>#DIV/0!</v>
      </c>
      <c r="G58" s="246" t="e">
        <f>ROUND($G57/$K57*100,2)</f>
        <v>#DIV/0!</v>
      </c>
      <c r="H58" s="382" t="e">
        <f>ROUND($H57/$K57*100,2)</f>
        <v>#DIV/0!</v>
      </c>
      <c r="I58" s="320" t="e">
        <f>ROUND($I57/$K57*100,2)</f>
        <v>#DIV/0!</v>
      </c>
      <c r="J58" s="247" t="e">
        <f>ROUND($J57/K57*100,2)</f>
        <v>#DIV/0!</v>
      </c>
      <c r="K58" s="313" t="e">
        <f t="shared" si="1"/>
        <v>#DIV/0!</v>
      </c>
      <c r="L58" s="459" t="e">
        <f>ROUND(F58+H58+I58+J58,2)</f>
        <v>#DIV/0!</v>
      </c>
      <c r="M58" s="79"/>
    </row>
    <row r="59" spans="1:13" ht="17.100000000000001" customHeight="1">
      <c r="A59" s="460"/>
      <c r="B59" s="424" t="s">
        <v>1</v>
      </c>
      <c r="C59" s="315">
        <f t="shared" ref="C59:J59" si="3">C42</f>
        <v>0</v>
      </c>
      <c r="D59" s="318">
        <f t="shared" si="3"/>
        <v>0</v>
      </c>
      <c r="E59" s="315">
        <f t="shared" si="3"/>
        <v>0</v>
      </c>
      <c r="F59" s="318">
        <f t="shared" si="3"/>
        <v>0</v>
      </c>
      <c r="G59" s="315">
        <f t="shared" si="3"/>
        <v>0</v>
      </c>
      <c r="H59" s="383">
        <f t="shared" si="3"/>
        <v>0</v>
      </c>
      <c r="I59" s="380">
        <f t="shared" si="3"/>
        <v>0</v>
      </c>
      <c r="J59" s="318">
        <f t="shared" si="3"/>
        <v>0</v>
      </c>
      <c r="K59" s="243">
        <f t="shared" si="1"/>
        <v>0</v>
      </c>
      <c r="L59" s="80"/>
      <c r="M59" s="78">
        <f>K59/K55</f>
        <v>0</v>
      </c>
    </row>
    <row r="60" spans="1:13" ht="17.100000000000001" customHeight="1">
      <c r="A60" s="458"/>
      <c r="B60" s="450" t="s">
        <v>25</v>
      </c>
      <c r="C60" s="246" t="e">
        <f>ROUND($C59/$K59*100,2)</f>
        <v>#DIV/0!</v>
      </c>
      <c r="D60" s="247" t="e">
        <f>ROUND($D59/$K59*100,2)</f>
        <v>#DIV/0!</v>
      </c>
      <c r="E60" s="246" t="e">
        <f>ROUND($E59/$K59*100,2)</f>
        <v>#DIV/0!</v>
      </c>
      <c r="F60" s="247" t="e">
        <f>ROUND($F59/$K59*100,2)</f>
        <v>#DIV/0!</v>
      </c>
      <c r="G60" s="246" t="e">
        <f>ROUND($G59/$K59*100,2)</f>
        <v>#DIV/0!</v>
      </c>
      <c r="H60" s="382" t="e">
        <f>ROUND($H59/$K59*100,2)</f>
        <v>#DIV/0!</v>
      </c>
      <c r="I60" s="320" t="e">
        <f>ROUND($I59/$K59*100,2)</f>
        <v>#DIV/0!</v>
      </c>
      <c r="J60" s="247" t="e">
        <f>ROUND($J59/K59*100,2)</f>
        <v>#DIV/0!</v>
      </c>
      <c r="K60" s="87" t="e">
        <f t="shared" si="1"/>
        <v>#DIV/0!</v>
      </c>
      <c r="L60" s="459" t="e">
        <f>ROUND(F60+H60+I60+J60,2)</f>
        <v>#DIV/0!</v>
      </c>
      <c r="M60" s="79"/>
    </row>
    <row r="61" spans="1:13" ht="17.100000000000001" customHeight="1">
      <c r="A61" s="460"/>
      <c r="B61" s="424" t="s">
        <v>1</v>
      </c>
      <c r="C61" s="306">
        <f t="shared" ref="C61:J61" si="4">C44</f>
        <v>0</v>
      </c>
      <c r="D61" s="319">
        <f t="shared" si="4"/>
        <v>0</v>
      </c>
      <c r="E61" s="306">
        <f t="shared" si="4"/>
        <v>0</v>
      </c>
      <c r="F61" s="319">
        <f t="shared" si="4"/>
        <v>0</v>
      </c>
      <c r="G61" s="306">
        <f t="shared" si="4"/>
        <v>0</v>
      </c>
      <c r="H61" s="384">
        <f t="shared" si="4"/>
        <v>0</v>
      </c>
      <c r="I61" s="381">
        <f t="shared" si="4"/>
        <v>0</v>
      </c>
      <c r="J61" s="319">
        <f t="shared" si="4"/>
        <v>0</v>
      </c>
      <c r="K61" s="243">
        <f t="shared" si="1"/>
        <v>0</v>
      </c>
      <c r="L61" s="474"/>
      <c r="M61" s="78">
        <f>K61/K55</f>
        <v>0</v>
      </c>
    </row>
    <row r="62" spans="1:13" ht="17.100000000000001" customHeight="1">
      <c r="A62" s="458"/>
      <c r="B62" s="450" t="s">
        <v>25</v>
      </c>
      <c r="C62" s="246" t="e">
        <f>ROUND($C61/$K61*100,2)</f>
        <v>#DIV/0!</v>
      </c>
      <c r="D62" s="247" t="e">
        <f>ROUND($D61/$K61*100,2)</f>
        <v>#DIV/0!</v>
      </c>
      <c r="E62" s="246" t="e">
        <f>ROUND($E61/$K61*100,2)</f>
        <v>#DIV/0!</v>
      </c>
      <c r="F62" s="247" t="e">
        <f>ROUND($F61/$K61*100,2)</f>
        <v>#DIV/0!</v>
      </c>
      <c r="G62" s="246" t="e">
        <f>ROUND($G61/$K61*100,2)</f>
        <v>#DIV/0!</v>
      </c>
      <c r="H62" s="382" t="e">
        <f>ROUND($H61/$K61*100,2)</f>
        <v>#DIV/0!</v>
      </c>
      <c r="I62" s="320" t="e">
        <f>ROUND($I61/$K61*100,2)</f>
        <v>#DIV/0!</v>
      </c>
      <c r="J62" s="247" t="e">
        <f>ROUND($J61/K61*100,2)</f>
        <v>#DIV/0!</v>
      </c>
      <c r="K62" s="313" t="e">
        <f t="shared" si="1"/>
        <v>#DIV/0!</v>
      </c>
      <c r="L62" s="459" t="e">
        <f>ROUND(F62+H62+I62+J62,2)</f>
        <v>#DIV/0!</v>
      </c>
      <c r="M62" s="79"/>
    </row>
    <row r="63" spans="1:13" ht="17.100000000000001" customHeight="1">
      <c r="A63" s="460"/>
      <c r="B63" s="424" t="s">
        <v>1</v>
      </c>
      <c r="C63" s="306">
        <f t="shared" ref="C63:J63" si="5">C46</f>
        <v>0</v>
      </c>
      <c r="D63" s="319">
        <f t="shared" si="5"/>
        <v>0</v>
      </c>
      <c r="E63" s="306">
        <f t="shared" si="5"/>
        <v>0</v>
      </c>
      <c r="F63" s="319">
        <f t="shared" si="5"/>
        <v>0</v>
      </c>
      <c r="G63" s="306">
        <f t="shared" si="5"/>
        <v>0</v>
      </c>
      <c r="H63" s="384">
        <f t="shared" si="5"/>
        <v>0</v>
      </c>
      <c r="I63" s="381">
        <f t="shared" si="5"/>
        <v>0</v>
      </c>
      <c r="J63" s="319">
        <f t="shared" si="5"/>
        <v>0</v>
      </c>
      <c r="K63" s="243">
        <f t="shared" si="1"/>
        <v>0</v>
      </c>
      <c r="L63" s="80"/>
      <c r="M63" s="78">
        <f>K63/K55</f>
        <v>0</v>
      </c>
    </row>
    <row r="64" spans="1:13" ht="17.100000000000001" customHeight="1" thickBot="1">
      <c r="A64" s="462"/>
      <c r="B64" s="463" t="s">
        <v>25</v>
      </c>
      <c r="C64" s="309" t="e">
        <f>ROUND($C63/$K63*100,2)</f>
        <v>#DIV/0!</v>
      </c>
      <c r="D64" s="310" t="e">
        <f>ROUND($D63/$K63*100,2)</f>
        <v>#DIV/0!</v>
      </c>
      <c r="E64" s="309" t="e">
        <f>ROUND($E63/$K63*100,2)</f>
        <v>#DIV/0!</v>
      </c>
      <c r="F64" s="310" t="e">
        <f>ROUND($F63/$K63*100,2)</f>
        <v>#DIV/0!</v>
      </c>
      <c r="G64" s="309" t="e">
        <f>ROUND($G63/$K63*100,2)</f>
        <v>#DIV/0!</v>
      </c>
      <c r="H64" s="385" t="e">
        <f>ROUND($H63/$K63*100,2)</f>
        <v>#DIV/0!</v>
      </c>
      <c r="I64" s="321" t="e">
        <f>ROUND($I63/$K63*100,2)</f>
        <v>#DIV/0!</v>
      </c>
      <c r="J64" s="310" t="e">
        <f>ROUND($J63/K63*100,2)</f>
        <v>#DIV/0!</v>
      </c>
      <c r="K64" s="314" t="e">
        <f t="shared" si="1"/>
        <v>#DIV/0!</v>
      </c>
      <c r="L64" s="464" t="e">
        <f>ROUND(F64+H64+I64+J64,2)</f>
        <v>#DIV/0!</v>
      </c>
      <c r="M64" s="79"/>
    </row>
    <row r="65" spans="1:12" ht="17.100000000000001" customHeight="1">
      <c r="A65" s="433"/>
      <c r="B65" s="420"/>
      <c r="C65" s="81" t="s">
        <v>831</v>
      </c>
      <c r="D65" s="81"/>
      <c r="E65" s="81"/>
      <c r="F65" s="81"/>
      <c r="G65" s="81"/>
      <c r="H65" s="89" t="s">
        <v>832</v>
      </c>
      <c r="I65" s="1401">
        <f>I48</f>
        <v>83007</v>
      </c>
      <c r="J65" s="81"/>
      <c r="K65" s="82"/>
      <c r="L65" s="390"/>
    </row>
    <row r="66" spans="1:12" ht="17.100000000000001" customHeight="1">
      <c r="A66" s="390"/>
      <c r="B66" s="430"/>
      <c r="C66" s="390"/>
      <c r="D66" s="390"/>
      <c r="E66" s="475"/>
      <c r="F66" s="475"/>
      <c r="G66" s="475"/>
      <c r="H66" s="475"/>
      <c r="I66" s="475"/>
      <c r="J66" s="390"/>
      <c r="K66" s="390"/>
      <c r="L66" s="390"/>
    </row>
    <row r="67" spans="1:12" ht="22.5">
      <c r="A67" s="389" t="s">
        <v>491</v>
      </c>
      <c r="B67" s="83"/>
      <c r="C67" s="83"/>
      <c r="D67" s="393"/>
      <c r="E67" s="393"/>
      <c r="F67" s="390"/>
      <c r="G67" s="390"/>
      <c r="H67" s="390"/>
      <c r="I67" s="390"/>
      <c r="J67" s="390"/>
    </row>
    <row r="68" spans="1:12">
      <c r="A68" s="1" t="s">
        <v>27</v>
      </c>
      <c r="B68" s="420"/>
      <c r="C68" s="420"/>
      <c r="D68" s="420"/>
      <c r="F68" s="390"/>
      <c r="G68" s="84"/>
      <c r="H68" s="390"/>
      <c r="I68" s="390"/>
      <c r="J68" s="390"/>
    </row>
    <row r="69" spans="1:12" ht="16.5">
      <c r="A69" s="420" t="s">
        <v>442</v>
      </c>
      <c r="B69" s="420"/>
      <c r="C69" s="82"/>
      <c r="D69" s="420"/>
      <c r="E69" s="420"/>
      <c r="F69" s="390"/>
      <c r="H69" s="390"/>
      <c r="I69" s="390"/>
      <c r="J69" s="390"/>
    </row>
    <row r="70" spans="1:12" ht="16.5">
      <c r="A70" s="420"/>
      <c r="B70" s="420" t="s">
        <v>443</v>
      </c>
      <c r="C70" s="82"/>
      <c r="D70" s="420"/>
      <c r="E70" s="420"/>
      <c r="F70" s="390"/>
      <c r="G70" s="420"/>
      <c r="H70" s="390"/>
      <c r="I70" s="390"/>
      <c r="J70" s="390"/>
    </row>
    <row r="71" spans="1:12" ht="15.75">
      <c r="A71" s="420"/>
      <c r="B71" s="420" t="s">
        <v>444</v>
      </c>
      <c r="C71" s="82"/>
      <c r="D71" s="420"/>
      <c r="E71" s="420"/>
      <c r="F71" s="390"/>
      <c r="H71" s="390"/>
      <c r="I71" s="390"/>
      <c r="J71" s="390"/>
    </row>
    <row r="72" spans="1:12" ht="15.75">
      <c r="A72" s="420"/>
      <c r="B72" s="420" t="s">
        <v>316</v>
      </c>
      <c r="C72" s="82"/>
      <c r="D72" s="420"/>
      <c r="E72" s="420"/>
      <c r="F72" s="390"/>
      <c r="G72" s="420" t="s">
        <v>445</v>
      </c>
      <c r="H72" s="390"/>
      <c r="I72" s="390"/>
      <c r="J72" s="390"/>
    </row>
    <row r="73" spans="1:12" ht="15.75">
      <c r="A73" s="420"/>
      <c r="B73" s="420" t="s">
        <v>317</v>
      </c>
      <c r="C73" s="82"/>
      <c r="D73" s="420"/>
      <c r="E73" s="420"/>
      <c r="F73" s="390"/>
      <c r="G73" s="390" t="s">
        <v>446</v>
      </c>
      <c r="H73" s="390"/>
      <c r="I73" s="390"/>
      <c r="J73" s="390"/>
    </row>
    <row r="74" spans="1:12">
      <c r="A74" s="390"/>
      <c r="B74" s="390"/>
      <c r="C74" s="390"/>
      <c r="D74" s="390"/>
      <c r="E74" s="390"/>
      <c r="F74" s="390"/>
      <c r="G74" s="390"/>
      <c r="H74" s="390"/>
      <c r="I74" s="390"/>
      <c r="J74" s="390"/>
    </row>
    <row r="75" spans="1:12" ht="15.75">
      <c r="A75" s="70" t="s">
        <v>28</v>
      </c>
      <c r="B75" s="390"/>
      <c r="C75" s="390"/>
      <c r="D75" s="390" t="s">
        <v>6</v>
      </c>
      <c r="E75" s="123">
        <v>1</v>
      </c>
      <c r="F75" s="390"/>
      <c r="G75" s="390"/>
      <c r="H75" s="390"/>
      <c r="I75" s="390"/>
      <c r="J75" s="390"/>
    </row>
    <row r="76" spans="1:12">
      <c r="A76" s="390" t="s">
        <v>149</v>
      </c>
      <c r="B76" s="390"/>
      <c r="C76" s="390"/>
      <c r="D76" s="390"/>
      <c r="E76" s="390"/>
      <c r="F76" s="390"/>
      <c r="G76" s="390"/>
      <c r="H76" s="390"/>
      <c r="I76" s="390"/>
      <c r="J76" s="390"/>
    </row>
    <row r="77" spans="1:12" ht="14.25" thickBot="1">
      <c r="A77" s="390" t="s">
        <v>150</v>
      </c>
      <c r="B77" s="390"/>
      <c r="C77" s="390"/>
      <c r="D77" s="390"/>
      <c r="E77" s="390"/>
      <c r="F77" s="390"/>
      <c r="G77" s="390"/>
      <c r="H77" s="390"/>
      <c r="I77" s="390"/>
      <c r="J77" s="390"/>
    </row>
    <row r="78" spans="1:12">
      <c r="A78" s="465"/>
      <c r="B78" s="466" t="s">
        <v>29</v>
      </c>
      <c r="C78" s="466"/>
      <c r="D78" s="466"/>
      <c r="E78" s="466"/>
      <c r="F78" s="476"/>
      <c r="G78" s="84"/>
      <c r="H78" s="390"/>
      <c r="I78" s="390"/>
      <c r="J78" s="390"/>
    </row>
    <row r="79" spans="1:12" ht="15.75">
      <c r="A79" s="404"/>
      <c r="B79" s="424"/>
      <c r="C79" s="450" t="s">
        <v>447</v>
      </c>
      <c r="D79" s="477"/>
      <c r="E79" s="477">
        <v>60</v>
      </c>
      <c r="F79" s="478" t="s">
        <v>30</v>
      </c>
      <c r="G79" s="390"/>
      <c r="H79" s="390"/>
      <c r="I79" s="390"/>
      <c r="J79" s="390"/>
    </row>
    <row r="80" spans="1:12">
      <c r="A80" s="479" t="s">
        <v>31</v>
      </c>
      <c r="B80" s="442" t="s">
        <v>32</v>
      </c>
      <c r="C80" s="450"/>
      <c r="D80" s="477" t="s">
        <v>33</v>
      </c>
      <c r="E80" s="477"/>
      <c r="F80" s="478"/>
      <c r="G80" s="390"/>
      <c r="H80" s="390"/>
      <c r="I80" s="390"/>
      <c r="J80" s="390"/>
    </row>
    <row r="81" spans="1:10">
      <c r="A81" s="480"/>
      <c r="B81" s="450"/>
      <c r="C81" s="452">
        <v>5</v>
      </c>
      <c r="D81" s="453">
        <v>10</v>
      </c>
      <c r="E81" s="453">
        <v>20</v>
      </c>
      <c r="F81" s="481">
        <v>40</v>
      </c>
      <c r="G81" s="390"/>
      <c r="H81" s="390"/>
      <c r="I81" s="390"/>
      <c r="J81" s="390"/>
    </row>
    <row r="82" spans="1:10">
      <c r="A82" s="404"/>
      <c r="B82" s="424"/>
      <c r="C82" s="442" t="s">
        <v>34</v>
      </c>
      <c r="D82" s="469" t="s">
        <v>35</v>
      </c>
      <c r="E82" s="469" t="s">
        <v>36</v>
      </c>
      <c r="F82" s="470" t="s">
        <v>37</v>
      </c>
      <c r="G82" s="390"/>
      <c r="H82" s="390"/>
      <c r="J82" s="390"/>
    </row>
    <row r="83" spans="1:10">
      <c r="A83" s="482" t="s">
        <v>193</v>
      </c>
      <c r="B83" s="483" t="s">
        <v>38</v>
      </c>
      <c r="C83" s="124">
        <v>72</v>
      </c>
      <c r="D83" s="125">
        <v>160</v>
      </c>
      <c r="E83" s="125">
        <v>235</v>
      </c>
      <c r="F83" s="126">
        <v>275</v>
      </c>
      <c r="G83" s="390"/>
      <c r="H83" s="390"/>
      <c r="I83" s="390"/>
      <c r="J83" s="390"/>
    </row>
    <row r="84" spans="1:10">
      <c r="A84" s="482" t="s">
        <v>39</v>
      </c>
      <c r="B84" s="483" t="s">
        <v>38</v>
      </c>
      <c r="C84" s="483">
        <v>80</v>
      </c>
      <c r="D84" s="484">
        <v>160</v>
      </c>
      <c r="E84" s="484">
        <v>240</v>
      </c>
      <c r="F84" s="485">
        <v>280</v>
      </c>
      <c r="G84" s="390"/>
      <c r="H84" s="390"/>
      <c r="I84" s="390"/>
      <c r="J84" s="390"/>
    </row>
    <row r="85" spans="1:10">
      <c r="A85" s="482" t="s">
        <v>40</v>
      </c>
      <c r="B85" s="483" t="s">
        <v>41</v>
      </c>
      <c r="C85" s="483">
        <v>65</v>
      </c>
      <c r="D85" s="484">
        <v>130</v>
      </c>
      <c r="E85" s="484">
        <v>200</v>
      </c>
      <c r="F85" s="485">
        <v>240</v>
      </c>
      <c r="G85" s="390"/>
      <c r="H85" s="390"/>
      <c r="I85" s="390"/>
      <c r="J85" s="390"/>
    </row>
    <row r="86" spans="1:10">
      <c r="A86" s="482" t="s">
        <v>42</v>
      </c>
      <c r="B86" s="483" t="s">
        <v>41</v>
      </c>
      <c r="C86" s="483">
        <v>50</v>
      </c>
      <c r="D86" s="484">
        <v>100</v>
      </c>
      <c r="E86" s="484">
        <v>160</v>
      </c>
      <c r="F86" s="485">
        <v>200</v>
      </c>
      <c r="G86" s="390"/>
      <c r="H86" s="390"/>
      <c r="I86" s="390"/>
      <c r="J86" s="390"/>
    </row>
    <row r="87" spans="1:10">
      <c r="A87" s="482" t="s">
        <v>43</v>
      </c>
      <c r="B87" s="483" t="s">
        <v>41</v>
      </c>
      <c r="C87" s="483">
        <v>50</v>
      </c>
      <c r="D87" s="484">
        <v>100</v>
      </c>
      <c r="E87" s="484">
        <v>160</v>
      </c>
      <c r="F87" s="485">
        <v>200</v>
      </c>
      <c r="G87" s="390"/>
      <c r="H87" s="390"/>
      <c r="I87" s="390"/>
      <c r="J87" s="390"/>
    </row>
    <row r="88" spans="1:10">
      <c r="A88" s="482" t="s">
        <v>44</v>
      </c>
      <c r="B88" s="483" t="s">
        <v>41</v>
      </c>
      <c r="C88" s="483">
        <v>30</v>
      </c>
      <c r="D88" s="484">
        <v>60</v>
      </c>
      <c r="E88" s="484">
        <v>100</v>
      </c>
      <c r="F88" s="485">
        <v>140</v>
      </c>
      <c r="G88" s="390"/>
      <c r="H88" s="390"/>
      <c r="I88" s="390"/>
      <c r="J88" s="390"/>
    </row>
    <row r="89" spans="1:10" ht="14.25" thickBot="1">
      <c r="A89" s="486" t="s">
        <v>45</v>
      </c>
      <c r="B89" s="487" t="s">
        <v>41</v>
      </c>
      <c r="C89" s="487">
        <v>20</v>
      </c>
      <c r="D89" s="488">
        <v>40</v>
      </c>
      <c r="E89" s="488">
        <v>70</v>
      </c>
      <c r="F89" s="489">
        <v>110</v>
      </c>
      <c r="G89" s="390"/>
      <c r="H89" s="390"/>
      <c r="I89" s="390"/>
      <c r="J89" s="390"/>
    </row>
    <row r="90" spans="1:10" ht="14.25" thickBot="1">
      <c r="A90" s="475"/>
      <c r="B90" s="475"/>
      <c r="C90" s="475"/>
      <c r="D90" s="475"/>
      <c r="E90" s="475"/>
      <c r="F90" s="475"/>
      <c r="G90" s="390"/>
      <c r="H90" s="390"/>
      <c r="I90" s="390"/>
      <c r="J90" s="390"/>
    </row>
    <row r="91" spans="1:10" ht="17.45" customHeight="1">
      <c r="A91" s="1437" t="s">
        <v>176</v>
      </c>
      <c r="B91" s="1438"/>
      <c r="C91" s="1446" t="s">
        <v>273</v>
      </c>
      <c r="D91" s="1447"/>
      <c r="E91" s="1438"/>
      <c r="F91" s="1446" t="s">
        <v>280</v>
      </c>
      <c r="G91" s="1448"/>
    </row>
    <row r="92" spans="1:10" ht="17.45" customHeight="1">
      <c r="A92" s="1439"/>
      <c r="B92" s="1440"/>
      <c r="C92" s="1444" t="s">
        <v>325</v>
      </c>
      <c r="D92" s="1445"/>
      <c r="E92" s="1440"/>
      <c r="F92" s="1444" t="s">
        <v>448</v>
      </c>
      <c r="G92" s="1471"/>
    </row>
    <row r="93" spans="1:10" ht="17.45" customHeight="1">
      <c r="A93" s="1434" t="s">
        <v>138</v>
      </c>
      <c r="B93" s="495" t="s">
        <v>268</v>
      </c>
      <c r="C93" s="496" t="s">
        <v>1</v>
      </c>
      <c r="D93" s="497">
        <v>0</v>
      </c>
      <c r="E93" s="498" t="s">
        <v>48</v>
      </c>
      <c r="F93" s="1472">
        <f>ROUND(6.25*D93*($C$101/100)*$E$101,4)</f>
        <v>0</v>
      </c>
      <c r="G93" s="1473"/>
    </row>
    <row r="94" spans="1:10" ht="17.45" customHeight="1">
      <c r="A94" s="1436"/>
      <c r="B94" s="495" t="s">
        <v>269</v>
      </c>
      <c r="C94" s="496"/>
      <c r="D94" s="497">
        <v>4.4999999999999997E-3</v>
      </c>
      <c r="E94" s="498" t="s">
        <v>48</v>
      </c>
      <c r="F94" s="1472">
        <f>ROUND(6.25*D94*($C$101/100)*$E$101,4)</f>
        <v>0.87119999999999997</v>
      </c>
      <c r="G94" s="1473"/>
    </row>
    <row r="95" spans="1:10" ht="17.45" customHeight="1">
      <c r="A95" s="1464" t="s">
        <v>133</v>
      </c>
      <c r="B95" s="1465"/>
      <c r="C95" s="496"/>
      <c r="D95" s="497">
        <v>4.4999999999999997E-3</v>
      </c>
      <c r="E95" s="403" t="s">
        <v>48</v>
      </c>
      <c r="F95" s="1472">
        <f t="shared" ref="F95:F96" si="6">ROUND(6.25*D95*($C$101/100)*$E$101,4)</f>
        <v>0.87119999999999997</v>
      </c>
      <c r="G95" s="1473"/>
    </row>
    <row r="96" spans="1:10" ht="17.45" customHeight="1">
      <c r="A96" s="1464" t="s">
        <v>132</v>
      </c>
      <c r="B96" s="1465"/>
      <c r="C96" s="496" t="s">
        <v>1</v>
      </c>
      <c r="D96" s="497">
        <v>4.4999999999999997E-3</v>
      </c>
      <c r="E96" s="403" t="s">
        <v>48</v>
      </c>
      <c r="F96" s="1472">
        <f t="shared" si="6"/>
        <v>0.87119999999999997</v>
      </c>
      <c r="G96" s="1473"/>
    </row>
    <row r="97" spans="1:10" ht="17.45" customHeight="1">
      <c r="A97" s="1462" t="s">
        <v>134</v>
      </c>
      <c r="B97" s="1463"/>
      <c r="C97" s="502">
        <v>111</v>
      </c>
      <c r="D97" s="503" t="s">
        <v>74</v>
      </c>
      <c r="E97" s="504"/>
      <c r="F97" s="1472">
        <f>ROUND(6.25*$E$98*C97*($C$101/100)*0.7355,4)</f>
        <v>3.8269000000000002</v>
      </c>
      <c r="G97" s="1473"/>
    </row>
    <row r="98" spans="1:10" ht="17.45" customHeight="1">
      <c r="A98" s="1432" t="s">
        <v>135</v>
      </c>
      <c r="B98" s="1433"/>
      <c r="C98" s="502">
        <v>226</v>
      </c>
      <c r="D98" s="503" t="s">
        <v>74</v>
      </c>
      <c r="E98" s="504">
        <v>0.01</v>
      </c>
      <c r="F98" s="1472">
        <f t="shared" ref="F98:F100" si="7">ROUND(6.25*$E$98*C98*($C$101/100)*0.7355,4)</f>
        <v>7.7916999999999996</v>
      </c>
      <c r="G98" s="1473"/>
    </row>
    <row r="99" spans="1:10" ht="17.45" customHeight="1">
      <c r="A99" s="1432" t="s">
        <v>136</v>
      </c>
      <c r="B99" s="1433"/>
      <c r="C99" s="502">
        <v>250</v>
      </c>
      <c r="D99" s="503" t="s">
        <v>74</v>
      </c>
      <c r="E99" s="504" t="s">
        <v>326</v>
      </c>
      <c r="F99" s="1472">
        <f t="shared" si="7"/>
        <v>8.6190999999999995</v>
      </c>
      <c r="G99" s="1473"/>
    </row>
    <row r="100" spans="1:10" ht="17.45" customHeight="1">
      <c r="A100" s="1439" t="s">
        <v>137</v>
      </c>
      <c r="B100" s="1440"/>
      <c r="C100" s="502">
        <v>323.5</v>
      </c>
      <c r="D100" s="503" t="str">
        <f>D98</f>
        <v>PS</v>
      </c>
      <c r="E100" s="493" t="s">
        <v>48</v>
      </c>
      <c r="F100" s="1472">
        <f t="shared" si="7"/>
        <v>11.1532</v>
      </c>
      <c r="G100" s="1473"/>
    </row>
    <row r="101" spans="1:10" ht="17.45" customHeight="1" thickBot="1">
      <c r="A101" s="506"/>
      <c r="B101" s="507" t="s">
        <v>275</v>
      </c>
      <c r="C101" s="508">
        <v>75</v>
      </c>
      <c r="D101" s="426" t="s">
        <v>274</v>
      </c>
      <c r="E101" s="507">
        <v>41.3</v>
      </c>
      <c r="F101" s="426" t="s">
        <v>76</v>
      </c>
      <c r="G101" s="428"/>
    </row>
    <row r="102" spans="1:10" ht="17.45" customHeight="1">
      <c r="A102" s="421"/>
      <c r="B102" s="421"/>
      <c r="C102" s="509"/>
      <c r="D102" s="421"/>
      <c r="E102" s="510"/>
      <c r="F102" s="421"/>
      <c r="G102" s="421"/>
    </row>
    <row r="103" spans="1:10" ht="14.25" thickBot="1">
      <c r="A103" s="70" t="s">
        <v>46</v>
      </c>
      <c r="B103" s="390"/>
      <c r="C103" s="390"/>
      <c r="D103" s="390"/>
      <c r="F103" s="390"/>
      <c r="G103" s="390"/>
      <c r="H103" s="390"/>
      <c r="I103" s="390"/>
      <c r="J103" s="390"/>
    </row>
    <row r="104" spans="1:10">
      <c r="A104" s="1426" t="s">
        <v>47</v>
      </c>
      <c r="B104" s="511" t="s">
        <v>271</v>
      </c>
      <c r="C104" s="1476" t="s">
        <v>319</v>
      </c>
      <c r="D104" s="1477"/>
      <c r="E104" s="440" t="s">
        <v>272</v>
      </c>
      <c r="F104" s="84"/>
      <c r="G104" s="390"/>
      <c r="H104" s="390"/>
      <c r="I104" s="390"/>
      <c r="J104" s="390"/>
    </row>
    <row r="105" spans="1:10">
      <c r="A105" s="1427"/>
      <c r="B105" s="452" t="s">
        <v>48</v>
      </c>
      <c r="C105" s="452"/>
      <c r="D105" s="512"/>
      <c r="E105" s="513" t="s">
        <v>49</v>
      </c>
      <c r="F105" s="442"/>
      <c r="G105" s="390"/>
      <c r="H105" s="390"/>
      <c r="I105" s="390"/>
      <c r="J105" s="390"/>
    </row>
    <row r="106" spans="1:10" ht="17.25" thickBot="1">
      <c r="A106" s="486" t="s">
        <v>472</v>
      </c>
      <c r="B106" s="121">
        <v>8.9999999999999993E-3</v>
      </c>
      <c r="C106" s="1489">
        <v>7.0000000000000001E-3</v>
      </c>
      <c r="D106" s="1490"/>
      <c r="E106" s="122">
        <v>5.0000000000000001E-3</v>
      </c>
      <c r="F106" s="514"/>
      <c r="G106" s="390"/>
      <c r="H106" s="390"/>
      <c r="I106" s="390"/>
      <c r="J106" s="390"/>
    </row>
    <row r="107" spans="1:10">
      <c r="A107" s="475"/>
      <c r="B107" s="433"/>
      <c r="C107" s="433"/>
      <c r="D107" s="433"/>
      <c r="E107" s="433"/>
      <c r="F107" s="433"/>
      <c r="G107" s="390"/>
      <c r="H107" s="390"/>
      <c r="I107" s="390"/>
      <c r="J107" s="390"/>
    </row>
    <row r="108" spans="1:10">
      <c r="A108" s="70" t="s">
        <v>970</v>
      </c>
      <c r="B108" s="390"/>
      <c r="C108" s="390"/>
      <c r="D108" s="390"/>
      <c r="E108" s="390"/>
      <c r="F108" s="390"/>
      <c r="G108" s="390"/>
      <c r="H108" s="390"/>
      <c r="I108" s="85"/>
      <c r="J108" s="86"/>
    </row>
    <row r="109" spans="1:10" ht="14.25" thickBot="1">
      <c r="A109" s="70" t="s">
        <v>960</v>
      </c>
      <c r="B109" s="390"/>
      <c r="C109" s="390"/>
      <c r="D109" s="390"/>
      <c r="E109" s="390"/>
      <c r="F109" s="390"/>
      <c r="G109" s="390"/>
      <c r="H109" s="390"/>
      <c r="I109" s="85"/>
      <c r="J109" s="86"/>
    </row>
    <row r="110" spans="1:10" ht="17.100000000000001" customHeight="1">
      <c r="A110" s="1237" t="s">
        <v>189</v>
      </c>
      <c r="B110" s="1239"/>
      <c r="C110" s="1234">
        <v>10</v>
      </c>
      <c r="D110" s="467">
        <v>20</v>
      </c>
      <c r="E110" s="467">
        <v>30</v>
      </c>
      <c r="F110" s="467">
        <v>40</v>
      </c>
      <c r="G110" s="467">
        <v>50</v>
      </c>
      <c r="H110" s="467">
        <v>60</v>
      </c>
      <c r="I110" s="467">
        <v>70</v>
      </c>
      <c r="J110" s="468">
        <v>80</v>
      </c>
    </row>
    <row r="111" spans="1:10" ht="17.100000000000001" customHeight="1">
      <c r="A111" s="479" t="str">
        <f>E6</f>
        <v>진주</v>
      </c>
      <c r="B111" s="442" t="str">
        <f>B7</f>
        <v>1구간</v>
      </c>
      <c r="C111" s="1292">
        <f>PM보정계수!S7</f>
        <v>0.5</v>
      </c>
      <c r="D111" s="1293">
        <f>PM보정계수!T7</f>
        <v>1</v>
      </c>
      <c r="E111" s="1293">
        <f>PM보정계수!U7</f>
        <v>1</v>
      </c>
      <c r="F111" s="1293">
        <f>PM보정계수!V7</f>
        <v>1</v>
      </c>
      <c r="G111" s="1293">
        <f>PM보정계수!W7</f>
        <v>1</v>
      </c>
      <c r="H111" s="1293">
        <f>PM보정계수!X7</f>
        <v>1.5</v>
      </c>
      <c r="I111" s="1293">
        <f>PM보정계수!Y7</f>
        <v>1.5</v>
      </c>
      <c r="J111" s="1294">
        <f>PM보정계수!Z7</f>
        <v>2.5</v>
      </c>
    </row>
    <row r="112" spans="1:10" ht="17.100000000000001" customHeight="1">
      <c r="A112" s="1240" t="str">
        <f>F6</f>
        <v>방향</v>
      </c>
      <c r="B112" s="215" t="str">
        <f>C7</f>
        <v>2구간</v>
      </c>
      <c r="C112" s="1295">
        <f>PM보정계수!S8</f>
        <v>0.5</v>
      </c>
      <c r="D112" s="1296">
        <f>PM보정계수!T8</f>
        <v>1</v>
      </c>
      <c r="E112" s="1296">
        <f>PM보정계수!U8</f>
        <v>1</v>
      </c>
      <c r="F112" s="1296">
        <f>PM보정계수!V8</f>
        <v>1</v>
      </c>
      <c r="G112" s="1296">
        <f>PM보정계수!W8</f>
        <v>1</v>
      </c>
      <c r="H112" s="1296">
        <f>PM보정계수!X8</f>
        <v>1.5</v>
      </c>
      <c r="I112" s="1296">
        <f>PM보정계수!Y8</f>
        <v>1.5</v>
      </c>
      <c r="J112" s="1297">
        <f>PM보정계수!Z8</f>
        <v>2.5</v>
      </c>
    </row>
    <row r="113" spans="1:10" ht="17.100000000000001" customHeight="1">
      <c r="A113" s="479"/>
      <c r="B113" s="442" t="str">
        <f>D7</f>
        <v>3구간</v>
      </c>
      <c r="C113" s="1295">
        <f>PM보정계수!S9</f>
        <v>0.5</v>
      </c>
      <c r="D113" s="1296">
        <f>PM보정계수!T9</f>
        <v>1</v>
      </c>
      <c r="E113" s="1296">
        <f>PM보정계수!U9</f>
        <v>1</v>
      </c>
      <c r="F113" s="1296">
        <f>PM보정계수!V9</f>
        <v>1</v>
      </c>
      <c r="G113" s="1296">
        <f>PM보정계수!W9</f>
        <v>1</v>
      </c>
      <c r="H113" s="1296">
        <f>PM보정계수!X9</f>
        <v>1.5</v>
      </c>
      <c r="I113" s="1296">
        <f>PM보정계수!Y9</f>
        <v>1.5</v>
      </c>
      <c r="J113" s="1297">
        <f>PM보정계수!Z9</f>
        <v>2.5</v>
      </c>
    </row>
    <row r="114" spans="1:10" ht="17.100000000000001" customHeight="1">
      <c r="A114" s="479"/>
      <c r="B114" s="215" t="str">
        <f>E7</f>
        <v>4구간</v>
      </c>
      <c r="C114" s="1295">
        <f>PM보정계수!S10</f>
        <v>0.5</v>
      </c>
      <c r="D114" s="1296">
        <f>PM보정계수!T10</f>
        <v>1</v>
      </c>
      <c r="E114" s="1296">
        <f>PM보정계수!U10</f>
        <v>1</v>
      </c>
      <c r="F114" s="1296">
        <f>PM보정계수!V10</f>
        <v>1</v>
      </c>
      <c r="G114" s="1296">
        <f>PM보정계수!W10</f>
        <v>1</v>
      </c>
      <c r="H114" s="1296">
        <f>PM보정계수!X10</f>
        <v>1.5</v>
      </c>
      <c r="I114" s="1296">
        <f>PM보정계수!Y10</f>
        <v>1.5</v>
      </c>
      <c r="J114" s="1297">
        <f>PM보정계수!Z10</f>
        <v>2.5</v>
      </c>
    </row>
    <row r="115" spans="1:10" ht="17.100000000000001" customHeight="1">
      <c r="A115" s="1240"/>
      <c r="B115" s="215" t="str">
        <f>F7</f>
        <v>5구간</v>
      </c>
      <c r="C115" s="1295">
        <f>PM보정계수!S11</f>
        <v>0.5</v>
      </c>
      <c r="D115" s="1296">
        <f>PM보정계수!T11</f>
        <v>1</v>
      </c>
      <c r="E115" s="1296">
        <f>PM보정계수!U11</f>
        <v>1</v>
      </c>
      <c r="F115" s="1296">
        <f>PM보정계수!V11</f>
        <v>1</v>
      </c>
      <c r="G115" s="1296">
        <f>PM보정계수!W11</f>
        <v>1</v>
      </c>
      <c r="H115" s="1296">
        <f>PM보정계수!X11</f>
        <v>1.5</v>
      </c>
      <c r="I115" s="1298">
        <f>PM보정계수!Y11</f>
        <v>1.5</v>
      </c>
      <c r="J115" s="1297">
        <f>PM보정계수!Z11</f>
        <v>2.5</v>
      </c>
    </row>
    <row r="116" spans="1:10" ht="17.100000000000001" customHeight="1">
      <c r="A116" s="479"/>
      <c r="B116" s="442" t="str">
        <f>B12</f>
        <v>6구간</v>
      </c>
      <c r="C116" s="1295">
        <f>PM보정계수!S12</f>
        <v>0.5</v>
      </c>
      <c r="D116" s="1296">
        <f>PM보정계수!T12</f>
        <v>1</v>
      </c>
      <c r="E116" s="1296">
        <f>PM보정계수!U12</f>
        <v>1</v>
      </c>
      <c r="F116" s="1296">
        <f>PM보정계수!V12</f>
        <v>1</v>
      </c>
      <c r="G116" s="1296">
        <f>PM보정계수!W12</f>
        <v>1</v>
      </c>
      <c r="H116" s="1296">
        <f>PM보정계수!X12</f>
        <v>1.5</v>
      </c>
      <c r="I116" s="1296">
        <f>PM보정계수!Y12</f>
        <v>1.5</v>
      </c>
      <c r="J116" s="1297">
        <f>PM보정계수!Z12</f>
        <v>2.5</v>
      </c>
    </row>
    <row r="117" spans="1:10" ht="17.100000000000001" customHeight="1">
      <c r="A117" s="1240"/>
      <c r="B117" s="215" t="str">
        <f>C12</f>
        <v>7구간</v>
      </c>
      <c r="C117" s="1295">
        <f>PM보정계수!S13</f>
        <v>0.5</v>
      </c>
      <c r="D117" s="1296">
        <f>PM보정계수!T13</f>
        <v>1</v>
      </c>
      <c r="E117" s="1296">
        <f>PM보정계수!U13</f>
        <v>1</v>
      </c>
      <c r="F117" s="1296">
        <f>PM보정계수!V13</f>
        <v>1</v>
      </c>
      <c r="G117" s="1296">
        <f>PM보정계수!W13</f>
        <v>1</v>
      </c>
      <c r="H117" s="1296">
        <f>PM보정계수!X13</f>
        <v>1.5</v>
      </c>
      <c r="I117" s="1296">
        <f>PM보정계수!Y13</f>
        <v>1.5</v>
      </c>
      <c r="J117" s="1297">
        <f>PM보정계수!Z13</f>
        <v>2.5</v>
      </c>
    </row>
    <row r="118" spans="1:10" ht="17.100000000000001" customHeight="1">
      <c r="A118" s="479"/>
      <c r="B118" s="442" t="str">
        <f>D12</f>
        <v>8구간</v>
      </c>
      <c r="C118" s="1295">
        <f>PM보정계수!S14</f>
        <v>0.5</v>
      </c>
      <c r="D118" s="1296">
        <f>PM보정계수!T14</f>
        <v>1</v>
      </c>
      <c r="E118" s="1296">
        <f>PM보정계수!U14</f>
        <v>1</v>
      </c>
      <c r="F118" s="1296">
        <f>PM보정계수!V14</f>
        <v>1</v>
      </c>
      <c r="G118" s="1296">
        <f>PM보정계수!W14</f>
        <v>1</v>
      </c>
      <c r="H118" s="1296">
        <f>PM보정계수!X14</f>
        <v>1.5</v>
      </c>
      <c r="I118" s="1296">
        <f>PM보정계수!Y14</f>
        <v>1.5</v>
      </c>
      <c r="J118" s="1297">
        <f>PM보정계수!Z14</f>
        <v>2.5</v>
      </c>
    </row>
    <row r="119" spans="1:10" ht="17.100000000000001" customHeight="1">
      <c r="A119" s="479"/>
      <c r="B119" s="215" t="str">
        <f>E12</f>
        <v>9구간</v>
      </c>
      <c r="C119" s="1295">
        <f>PM보정계수!S15</f>
        <v>0.5</v>
      </c>
      <c r="D119" s="1296">
        <f>PM보정계수!T15</f>
        <v>1</v>
      </c>
      <c r="E119" s="1296">
        <f>PM보정계수!U15</f>
        <v>1</v>
      </c>
      <c r="F119" s="1296">
        <f>PM보정계수!V15</f>
        <v>1</v>
      </c>
      <c r="G119" s="1296">
        <f>PM보정계수!W15</f>
        <v>1</v>
      </c>
      <c r="H119" s="1296">
        <f>PM보정계수!X15</f>
        <v>1.5</v>
      </c>
      <c r="I119" s="1296">
        <f>PM보정계수!Y15</f>
        <v>1.5</v>
      </c>
      <c r="J119" s="1297">
        <f>PM보정계수!Z15</f>
        <v>2.5</v>
      </c>
    </row>
    <row r="120" spans="1:10" ht="17.100000000000001" customHeight="1">
      <c r="A120" s="479"/>
      <c r="B120" s="215" t="str">
        <f>F12</f>
        <v>10구간</v>
      </c>
      <c r="C120" s="1295">
        <f>PM보정계수!S16</f>
        <v>0.5</v>
      </c>
      <c r="D120" s="1296">
        <f>PM보정계수!T16</f>
        <v>1</v>
      </c>
      <c r="E120" s="1296">
        <f>PM보정계수!U16</f>
        <v>1</v>
      </c>
      <c r="F120" s="1296">
        <f>PM보정계수!V16</f>
        <v>1</v>
      </c>
      <c r="G120" s="1296">
        <f>PM보정계수!W16</f>
        <v>1</v>
      </c>
      <c r="H120" s="1296">
        <f>PM보정계수!X16</f>
        <v>1.5</v>
      </c>
      <c r="I120" s="1296">
        <f>PM보정계수!Y16</f>
        <v>1.5</v>
      </c>
      <c r="J120" s="1297">
        <f>PM보정계수!Z16</f>
        <v>2.5</v>
      </c>
    </row>
    <row r="121" spans="1:10" ht="17.100000000000001" customHeight="1">
      <c r="A121" s="1251" t="str">
        <f>J6</f>
        <v>마산</v>
      </c>
      <c r="B121" s="1238" t="str">
        <f t="shared" ref="B121:B130" si="8">B111</f>
        <v>1구간</v>
      </c>
      <c r="C121" s="1299">
        <f>PM보정계수!AD7</f>
        <v>0.94599999999999995</v>
      </c>
      <c r="D121" s="1300">
        <f>PM보정계수!AE7</f>
        <v>1</v>
      </c>
      <c r="E121" s="1300">
        <f>PM보정계수!AF7</f>
        <v>1</v>
      </c>
      <c r="F121" s="1300">
        <f>PM보정계수!AG7</f>
        <v>1.446</v>
      </c>
      <c r="G121" s="1300">
        <f>PM보정계수!AH7</f>
        <v>1.446</v>
      </c>
      <c r="H121" s="1300">
        <f>PM보정계수!AI7</f>
        <v>1.946</v>
      </c>
      <c r="I121" s="1301">
        <f>PM보정계수!AJ7</f>
        <v>2.3919999999999999</v>
      </c>
      <c r="J121" s="1302">
        <f>PM보정계수!AK7</f>
        <v>3.8380000000000001</v>
      </c>
    </row>
    <row r="122" spans="1:10" ht="17.100000000000001" customHeight="1">
      <c r="A122" s="479" t="str">
        <f>K6</f>
        <v>방향</v>
      </c>
      <c r="B122" s="215" t="str">
        <f t="shared" si="8"/>
        <v>2구간</v>
      </c>
      <c r="C122" s="1292">
        <f>PM보정계수!AD8</f>
        <v>0.5</v>
      </c>
      <c r="D122" s="1293">
        <f>PM보정계수!AE8</f>
        <v>1</v>
      </c>
      <c r="E122" s="1293">
        <f>PM보정계수!AF8</f>
        <v>1</v>
      </c>
      <c r="F122" s="1293">
        <f>PM보정계수!AG8</f>
        <v>1</v>
      </c>
      <c r="G122" s="1293">
        <f>PM보정계수!AH8</f>
        <v>1</v>
      </c>
      <c r="H122" s="1293">
        <f>PM보정계수!AI8</f>
        <v>1.5</v>
      </c>
      <c r="I122" s="1303">
        <f>PM보정계수!AJ8</f>
        <v>1.5</v>
      </c>
      <c r="J122" s="1294">
        <f>PM보정계수!AK8</f>
        <v>2.5</v>
      </c>
    </row>
    <row r="123" spans="1:10" ht="17.100000000000001" customHeight="1">
      <c r="A123" s="479"/>
      <c r="B123" s="442" t="str">
        <f t="shared" si="8"/>
        <v>3구간</v>
      </c>
      <c r="C123" s="1292">
        <f>PM보정계수!AD9</f>
        <v>0.5</v>
      </c>
      <c r="D123" s="1293">
        <f>PM보정계수!AE9</f>
        <v>1</v>
      </c>
      <c r="E123" s="1293">
        <f>PM보정계수!AF9</f>
        <v>1</v>
      </c>
      <c r="F123" s="1293">
        <f>PM보정계수!AG9</f>
        <v>1</v>
      </c>
      <c r="G123" s="1293">
        <f>PM보정계수!AH9</f>
        <v>1</v>
      </c>
      <c r="H123" s="1303">
        <f>PM보정계수!AI9</f>
        <v>1.5</v>
      </c>
      <c r="I123" s="1303">
        <f>PM보정계수!AJ9</f>
        <v>1.5</v>
      </c>
      <c r="J123" s="1304">
        <f>PM보정계수!AK9</f>
        <v>2.5</v>
      </c>
    </row>
    <row r="124" spans="1:10" ht="17.100000000000001" customHeight="1">
      <c r="A124" s="479"/>
      <c r="B124" s="215" t="str">
        <f t="shared" si="8"/>
        <v>4구간</v>
      </c>
      <c r="C124" s="1292">
        <f>PM보정계수!AD10</f>
        <v>0.5</v>
      </c>
      <c r="D124" s="1293">
        <f>PM보정계수!AE10</f>
        <v>1</v>
      </c>
      <c r="E124" s="1293">
        <f>PM보정계수!AF10</f>
        <v>1</v>
      </c>
      <c r="F124" s="1293">
        <f>PM보정계수!AG10</f>
        <v>1</v>
      </c>
      <c r="G124" s="1293">
        <f>PM보정계수!AH10</f>
        <v>1</v>
      </c>
      <c r="H124" s="1293">
        <f>PM보정계수!AI10</f>
        <v>1.5</v>
      </c>
      <c r="I124" s="1303">
        <f>PM보정계수!AJ10</f>
        <v>1.5</v>
      </c>
      <c r="J124" s="1294">
        <f>PM보정계수!AK10</f>
        <v>2.5</v>
      </c>
    </row>
    <row r="125" spans="1:10" ht="17.100000000000001" customHeight="1">
      <c r="A125" s="479"/>
      <c r="B125" s="215" t="str">
        <f t="shared" si="8"/>
        <v>5구간</v>
      </c>
      <c r="C125" s="1292">
        <f>PM보정계수!AD11</f>
        <v>0.5</v>
      </c>
      <c r="D125" s="1293">
        <f>PM보정계수!AE11</f>
        <v>1</v>
      </c>
      <c r="E125" s="1293">
        <f>PM보정계수!AF11</f>
        <v>1</v>
      </c>
      <c r="F125" s="1293">
        <f>PM보정계수!AG11</f>
        <v>1</v>
      </c>
      <c r="G125" s="1293">
        <f>PM보정계수!AH11</f>
        <v>1</v>
      </c>
      <c r="H125" s="1293">
        <f>PM보정계수!AI11</f>
        <v>1.5</v>
      </c>
      <c r="I125" s="1303">
        <f>PM보정계수!AJ11</f>
        <v>1.5</v>
      </c>
      <c r="J125" s="1294">
        <f>PM보정계수!AK11</f>
        <v>2.5</v>
      </c>
    </row>
    <row r="126" spans="1:10" ht="17.100000000000001" customHeight="1">
      <c r="A126" s="479"/>
      <c r="B126" s="442" t="str">
        <f t="shared" si="8"/>
        <v>6구간</v>
      </c>
      <c r="C126" s="1292">
        <f>PM보정계수!AD12</f>
        <v>0.5</v>
      </c>
      <c r="D126" s="1293">
        <f>PM보정계수!AE12</f>
        <v>1</v>
      </c>
      <c r="E126" s="1293">
        <f>PM보정계수!AF12</f>
        <v>1</v>
      </c>
      <c r="F126" s="1293">
        <f>PM보정계수!AG12</f>
        <v>1</v>
      </c>
      <c r="G126" s="1293">
        <f>PM보정계수!AH12</f>
        <v>1</v>
      </c>
      <c r="H126" s="1293">
        <f>PM보정계수!AI12</f>
        <v>1.5</v>
      </c>
      <c r="I126" s="1303">
        <f>PM보정계수!AJ12</f>
        <v>1.5</v>
      </c>
      <c r="J126" s="1294">
        <f>PM보정계수!AK12</f>
        <v>2.5</v>
      </c>
    </row>
    <row r="127" spans="1:10" ht="17.100000000000001" customHeight="1">
      <c r="A127" s="479"/>
      <c r="B127" s="215" t="str">
        <f t="shared" si="8"/>
        <v>7구간</v>
      </c>
      <c r="C127" s="1292">
        <f>PM보정계수!AD13</f>
        <v>0.5</v>
      </c>
      <c r="D127" s="1293">
        <f>PM보정계수!AE13</f>
        <v>1</v>
      </c>
      <c r="E127" s="1293">
        <f>PM보정계수!AF13</f>
        <v>1</v>
      </c>
      <c r="F127" s="1293">
        <f>PM보정계수!AG13</f>
        <v>1</v>
      </c>
      <c r="G127" s="1293">
        <f>PM보정계수!AH13</f>
        <v>1</v>
      </c>
      <c r="H127" s="1293">
        <f>PM보정계수!AI13</f>
        <v>1.5</v>
      </c>
      <c r="I127" s="1303">
        <f>PM보정계수!AJ13</f>
        <v>1.5</v>
      </c>
      <c r="J127" s="1294">
        <f>PM보정계수!AK13</f>
        <v>2.5</v>
      </c>
    </row>
    <row r="128" spans="1:10" ht="17.100000000000001" customHeight="1">
      <c r="A128" s="479"/>
      <c r="B128" s="442" t="str">
        <f t="shared" si="8"/>
        <v>8구간</v>
      </c>
      <c r="C128" s="1292">
        <f>PM보정계수!AD14</f>
        <v>0.5</v>
      </c>
      <c r="D128" s="1293">
        <f>PM보정계수!AE14</f>
        <v>1</v>
      </c>
      <c r="E128" s="1293">
        <f>PM보정계수!AF14</f>
        <v>1</v>
      </c>
      <c r="F128" s="1293">
        <f>PM보정계수!AG14</f>
        <v>1</v>
      </c>
      <c r="G128" s="1293">
        <f>PM보정계수!AH14</f>
        <v>1</v>
      </c>
      <c r="H128" s="1303">
        <f>PM보정계수!AI14</f>
        <v>1.5</v>
      </c>
      <c r="I128" s="1303">
        <f>PM보정계수!AJ14</f>
        <v>1.5</v>
      </c>
      <c r="J128" s="1304">
        <f>PM보정계수!AK14</f>
        <v>2.5</v>
      </c>
    </row>
    <row r="129" spans="1:10" ht="17.100000000000001" customHeight="1">
      <c r="A129" s="479"/>
      <c r="B129" s="215" t="str">
        <f t="shared" si="8"/>
        <v>9구간</v>
      </c>
      <c r="C129" s="1292">
        <f>PM보정계수!AD15</f>
        <v>0.5</v>
      </c>
      <c r="D129" s="1293">
        <f>PM보정계수!AE15</f>
        <v>1</v>
      </c>
      <c r="E129" s="1293">
        <f>PM보정계수!AF15</f>
        <v>1</v>
      </c>
      <c r="F129" s="1293">
        <f>PM보정계수!AG15</f>
        <v>1</v>
      </c>
      <c r="G129" s="1293">
        <f>PM보정계수!AH15</f>
        <v>1</v>
      </c>
      <c r="H129" s="1293">
        <f>PM보정계수!AI15</f>
        <v>1.5</v>
      </c>
      <c r="I129" s="1303">
        <f>PM보정계수!AJ15</f>
        <v>1.5</v>
      </c>
      <c r="J129" s="1294">
        <f>PM보정계수!AK15</f>
        <v>2.5</v>
      </c>
    </row>
    <row r="130" spans="1:10" ht="17.100000000000001" customHeight="1" thickBot="1">
      <c r="A130" s="486"/>
      <c r="B130" s="88" t="str">
        <f t="shared" si="8"/>
        <v>10구간</v>
      </c>
      <c r="C130" s="1305">
        <f>PM보정계수!AD16</f>
        <v>0.5</v>
      </c>
      <c r="D130" s="1306">
        <f>PM보정계수!AE16</f>
        <v>1</v>
      </c>
      <c r="E130" s="1306">
        <f>PM보정계수!AF16</f>
        <v>1</v>
      </c>
      <c r="F130" s="1306">
        <f>PM보정계수!AG16</f>
        <v>1</v>
      </c>
      <c r="G130" s="1306">
        <f>PM보정계수!AH16</f>
        <v>1</v>
      </c>
      <c r="H130" s="1306">
        <f>PM보정계수!AI16</f>
        <v>1.5</v>
      </c>
      <c r="I130" s="531">
        <f>PM보정계수!AJ16</f>
        <v>1.5</v>
      </c>
      <c r="J130" s="532">
        <f>PM보정계수!AK16</f>
        <v>2.5</v>
      </c>
    </row>
    <row r="131" spans="1:10">
      <c r="A131" s="475"/>
      <c r="B131" s="89"/>
      <c r="C131" s="433"/>
      <c r="D131" s="433"/>
      <c r="E131" s="433"/>
      <c r="F131" s="433"/>
      <c r="G131" s="433"/>
      <c r="H131" s="433"/>
      <c r="I131" s="433"/>
      <c r="J131" s="433"/>
    </row>
    <row r="132" spans="1:10" ht="14.25" thickBot="1">
      <c r="A132" s="70" t="s">
        <v>961</v>
      </c>
      <c r="B132" s="390"/>
      <c r="C132" s="390"/>
      <c r="D132" s="390"/>
      <c r="E132" s="390"/>
      <c r="F132" s="390"/>
      <c r="G132" s="390"/>
      <c r="H132" s="390"/>
      <c r="I132" s="85"/>
      <c r="J132" s="86"/>
    </row>
    <row r="133" spans="1:10" ht="17.100000000000001" customHeight="1">
      <c r="A133" s="1260" t="s">
        <v>189</v>
      </c>
      <c r="B133" s="1259"/>
      <c r="C133" s="1258">
        <v>10</v>
      </c>
      <c r="D133" s="467">
        <v>20</v>
      </c>
      <c r="E133" s="467">
        <v>30</v>
      </c>
      <c r="F133" s="467">
        <v>40</v>
      </c>
      <c r="G133" s="467">
        <v>50</v>
      </c>
      <c r="H133" s="467">
        <v>60</v>
      </c>
      <c r="I133" s="467">
        <v>70</v>
      </c>
      <c r="J133" s="468">
        <v>80</v>
      </c>
    </row>
    <row r="134" spans="1:10" ht="17.100000000000001" customHeight="1">
      <c r="A134" s="479" t="str">
        <f>A111</f>
        <v>진주</v>
      </c>
      <c r="B134" s="442" t="str">
        <f>B111</f>
        <v>1구간</v>
      </c>
      <c r="C134" s="1292">
        <f>PM보정계수!S21</f>
        <v>0.65200000000000002</v>
      </c>
      <c r="D134" s="1293">
        <f>PM보정계수!T21</f>
        <v>0.78300000000000003</v>
      </c>
      <c r="E134" s="1293">
        <f>PM보정계수!U21</f>
        <v>0.87</v>
      </c>
      <c r="F134" s="1293">
        <f>PM보정계수!V21</f>
        <v>1</v>
      </c>
      <c r="G134" s="1293">
        <f>PM보정계수!W21</f>
        <v>1.1739999999999999</v>
      </c>
      <c r="H134" s="1293">
        <f>PM보정계수!X21</f>
        <v>1.2170000000000001</v>
      </c>
      <c r="I134" s="1293">
        <f>PM보정계수!Y21</f>
        <v>1.391</v>
      </c>
      <c r="J134" s="1294">
        <f>PM보정계수!Z21</f>
        <v>1.6519999999999999</v>
      </c>
    </row>
    <row r="135" spans="1:10" ht="17.100000000000001" customHeight="1">
      <c r="A135" s="1261" t="str">
        <f t="shared" ref="A135:B135" si="9">A112</f>
        <v>방향</v>
      </c>
      <c r="B135" s="215" t="str">
        <f t="shared" si="9"/>
        <v>2구간</v>
      </c>
      <c r="C135" s="1295">
        <f>PM보정계수!S22</f>
        <v>0.65200000000000002</v>
      </c>
      <c r="D135" s="1296">
        <f>PM보정계수!T22</f>
        <v>0.78300000000000003</v>
      </c>
      <c r="E135" s="1296">
        <f>PM보정계수!U22</f>
        <v>0.87</v>
      </c>
      <c r="F135" s="1296">
        <f>PM보정계수!V22</f>
        <v>1</v>
      </c>
      <c r="G135" s="1296">
        <f>PM보정계수!W22</f>
        <v>1.1739999999999999</v>
      </c>
      <c r="H135" s="1296">
        <f>PM보정계수!X22</f>
        <v>1.2170000000000001</v>
      </c>
      <c r="I135" s="1296">
        <f>PM보정계수!Y22</f>
        <v>1.391</v>
      </c>
      <c r="J135" s="1297">
        <f>PM보정계수!Z22</f>
        <v>1.6519999999999999</v>
      </c>
    </row>
    <row r="136" spans="1:10" ht="17.100000000000001" customHeight="1">
      <c r="A136" s="479"/>
      <c r="B136" s="442" t="str">
        <f t="shared" ref="B136" si="10">B113</f>
        <v>3구간</v>
      </c>
      <c r="C136" s="1295">
        <f>PM보정계수!S23</f>
        <v>0.65200000000000002</v>
      </c>
      <c r="D136" s="1296">
        <f>PM보정계수!T23</f>
        <v>0.78300000000000003</v>
      </c>
      <c r="E136" s="1296">
        <f>PM보정계수!U23</f>
        <v>0.87</v>
      </c>
      <c r="F136" s="1296">
        <f>PM보정계수!V23</f>
        <v>1</v>
      </c>
      <c r="G136" s="1296">
        <f>PM보정계수!W23</f>
        <v>1.1739999999999999</v>
      </c>
      <c r="H136" s="1296">
        <f>PM보정계수!X23</f>
        <v>1.2170000000000001</v>
      </c>
      <c r="I136" s="1296">
        <f>PM보정계수!Y23</f>
        <v>1.391</v>
      </c>
      <c r="J136" s="1297">
        <f>PM보정계수!Z23</f>
        <v>1.6519999999999999</v>
      </c>
    </row>
    <row r="137" spans="1:10" ht="17.100000000000001" customHeight="1">
      <c r="A137" s="479"/>
      <c r="B137" s="215" t="str">
        <f t="shared" ref="B137" si="11">B114</f>
        <v>4구간</v>
      </c>
      <c r="C137" s="1295">
        <f>PM보정계수!S24</f>
        <v>0.65200000000000002</v>
      </c>
      <c r="D137" s="1296">
        <f>PM보정계수!T24</f>
        <v>0.78300000000000003</v>
      </c>
      <c r="E137" s="1296">
        <f>PM보정계수!U24</f>
        <v>0.87</v>
      </c>
      <c r="F137" s="1296">
        <f>PM보정계수!V24</f>
        <v>1</v>
      </c>
      <c r="G137" s="1296">
        <f>PM보정계수!W24</f>
        <v>1.1739999999999999</v>
      </c>
      <c r="H137" s="1296">
        <f>PM보정계수!X24</f>
        <v>1.2170000000000001</v>
      </c>
      <c r="I137" s="1296">
        <f>PM보정계수!Y24</f>
        <v>1.391</v>
      </c>
      <c r="J137" s="1297">
        <f>PM보정계수!Z24</f>
        <v>1.6519999999999999</v>
      </c>
    </row>
    <row r="138" spans="1:10" ht="17.100000000000001" customHeight="1">
      <c r="A138" s="1261"/>
      <c r="B138" s="215" t="str">
        <f t="shared" ref="B138" si="12">B115</f>
        <v>5구간</v>
      </c>
      <c r="C138" s="1295">
        <f>PM보정계수!S25</f>
        <v>0.65200000000000002</v>
      </c>
      <c r="D138" s="1296">
        <f>PM보정계수!T25</f>
        <v>0.78300000000000003</v>
      </c>
      <c r="E138" s="1296">
        <f>PM보정계수!U25</f>
        <v>0.87</v>
      </c>
      <c r="F138" s="1296">
        <f>PM보정계수!V25</f>
        <v>1</v>
      </c>
      <c r="G138" s="1296">
        <f>PM보정계수!W25</f>
        <v>1.1739999999999999</v>
      </c>
      <c r="H138" s="1296">
        <f>PM보정계수!X25</f>
        <v>1.2170000000000001</v>
      </c>
      <c r="I138" s="1298">
        <f>PM보정계수!Y25</f>
        <v>1.391</v>
      </c>
      <c r="J138" s="1297">
        <f>PM보정계수!Z25</f>
        <v>1.6519999999999999</v>
      </c>
    </row>
    <row r="139" spans="1:10" ht="17.100000000000001" customHeight="1">
      <c r="A139" s="479"/>
      <c r="B139" s="442" t="str">
        <f t="shared" ref="B139" si="13">B116</f>
        <v>6구간</v>
      </c>
      <c r="C139" s="1295">
        <f>PM보정계수!S26</f>
        <v>0.65200000000000002</v>
      </c>
      <c r="D139" s="1296">
        <f>PM보정계수!T26</f>
        <v>0.78300000000000003</v>
      </c>
      <c r="E139" s="1296">
        <f>PM보정계수!U26</f>
        <v>0.87</v>
      </c>
      <c r="F139" s="1296">
        <f>PM보정계수!V26</f>
        <v>1</v>
      </c>
      <c r="G139" s="1296">
        <f>PM보정계수!W26</f>
        <v>1.1739999999999999</v>
      </c>
      <c r="H139" s="1296">
        <f>PM보정계수!X26</f>
        <v>1.2170000000000001</v>
      </c>
      <c r="I139" s="1296">
        <f>PM보정계수!Y26</f>
        <v>1.391</v>
      </c>
      <c r="J139" s="1297">
        <f>PM보정계수!Z26</f>
        <v>1.6519999999999999</v>
      </c>
    </row>
    <row r="140" spans="1:10" ht="17.100000000000001" customHeight="1">
      <c r="A140" s="1261"/>
      <c r="B140" s="215" t="str">
        <f t="shared" ref="B140" si="14">B117</f>
        <v>7구간</v>
      </c>
      <c r="C140" s="1295">
        <f>PM보정계수!S27</f>
        <v>0.65200000000000002</v>
      </c>
      <c r="D140" s="1296">
        <f>PM보정계수!T27</f>
        <v>0.78300000000000003</v>
      </c>
      <c r="E140" s="1296">
        <f>PM보정계수!U27</f>
        <v>0.87</v>
      </c>
      <c r="F140" s="1296">
        <f>PM보정계수!V27</f>
        <v>1</v>
      </c>
      <c r="G140" s="1296">
        <f>PM보정계수!W27</f>
        <v>1.1739999999999999</v>
      </c>
      <c r="H140" s="1296">
        <f>PM보정계수!X27</f>
        <v>1.2170000000000001</v>
      </c>
      <c r="I140" s="1296">
        <f>PM보정계수!Y27</f>
        <v>1.391</v>
      </c>
      <c r="J140" s="1297">
        <f>PM보정계수!Z27</f>
        <v>1.6519999999999999</v>
      </c>
    </row>
    <row r="141" spans="1:10" ht="17.100000000000001" customHeight="1">
      <c r="A141" s="479"/>
      <c r="B141" s="442" t="str">
        <f t="shared" ref="B141" si="15">B118</f>
        <v>8구간</v>
      </c>
      <c r="C141" s="1295">
        <f>PM보정계수!S28</f>
        <v>0.65200000000000002</v>
      </c>
      <c r="D141" s="1296">
        <f>PM보정계수!T28</f>
        <v>0.78300000000000003</v>
      </c>
      <c r="E141" s="1296">
        <f>PM보정계수!U28</f>
        <v>0.87</v>
      </c>
      <c r="F141" s="1296">
        <f>PM보정계수!V28</f>
        <v>1</v>
      </c>
      <c r="G141" s="1296">
        <f>PM보정계수!W28</f>
        <v>1.1739999999999999</v>
      </c>
      <c r="H141" s="1296">
        <f>PM보정계수!X28</f>
        <v>1.2170000000000001</v>
      </c>
      <c r="I141" s="1296">
        <f>PM보정계수!Y28</f>
        <v>1.391</v>
      </c>
      <c r="J141" s="1297">
        <f>PM보정계수!Z28</f>
        <v>1.6519999999999999</v>
      </c>
    </row>
    <row r="142" spans="1:10" ht="17.100000000000001" customHeight="1">
      <c r="A142" s="479"/>
      <c r="B142" s="215" t="str">
        <f t="shared" ref="B142" si="16">B119</f>
        <v>9구간</v>
      </c>
      <c r="C142" s="1295">
        <f>PM보정계수!S29</f>
        <v>0.65200000000000002</v>
      </c>
      <c r="D142" s="1296">
        <f>PM보정계수!T29</f>
        <v>0.78300000000000003</v>
      </c>
      <c r="E142" s="1296">
        <f>PM보정계수!U29</f>
        <v>0.87</v>
      </c>
      <c r="F142" s="1296">
        <f>PM보정계수!V29</f>
        <v>1</v>
      </c>
      <c r="G142" s="1296">
        <f>PM보정계수!W29</f>
        <v>1.1739999999999999</v>
      </c>
      <c r="H142" s="1296">
        <f>PM보정계수!X29</f>
        <v>1.2170000000000001</v>
      </c>
      <c r="I142" s="1296">
        <f>PM보정계수!Y29</f>
        <v>1.391</v>
      </c>
      <c r="J142" s="1297">
        <f>PM보정계수!Z29</f>
        <v>1.6519999999999999</v>
      </c>
    </row>
    <row r="143" spans="1:10" ht="17.100000000000001" customHeight="1">
      <c r="A143" s="479"/>
      <c r="B143" s="215" t="str">
        <f t="shared" ref="B143" si="17">B120</f>
        <v>10구간</v>
      </c>
      <c r="C143" s="1295">
        <f>PM보정계수!S30</f>
        <v>0.65200000000000002</v>
      </c>
      <c r="D143" s="1296">
        <f>PM보정계수!T30</f>
        <v>0.78300000000000003</v>
      </c>
      <c r="E143" s="1296">
        <f>PM보정계수!U30</f>
        <v>0.87</v>
      </c>
      <c r="F143" s="1296">
        <f>PM보정계수!V30</f>
        <v>1</v>
      </c>
      <c r="G143" s="1296">
        <f>PM보정계수!W30</f>
        <v>1.1739999999999999</v>
      </c>
      <c r="H143" s="1296">
        <f>PM보정계수!X30</f>
        <v>1.2170000000000001</v>
      </c>
      <c r="I143" s="1296">
        <f>PM보정계수!Y30</f>
        <v>1.391</v>
      </c>
      <c r="J143" s="1297">
        <f>PM보정계수!Z30</f>
        <v>1.6519999999999999</v>
      </c>
    </row>
    <row r="144" spans="1:10" ht="17.100000000000001" customHeight="1">
      <c r="A144" s="1251" t="str">
        <f t="shared" ref="A144:B144" si="18">A121</f>
        <v>마산</v>
      </c>
      <c r="B144" s="1262" t="str">
        <f t="shared" si="18"/>
        <v>1구간</v>
      </c>
      <c r="C144" s="1299">
        <f>PM보정계수!AD21</f>
        <v>0.69124799999999997</v>
      </c>
      <c r="D144" s="1300">
        <f>PM보정계수!AE21</f>
        <v>0.86060400000000004</v>
      </c>
      <c r="E144" s="1300">
        <f>PM보정계수!AF21</f>
        <v>0.98596000000000006</v>
      </c>
      <c r="F144" s="1300">
        <f>PM보정계수!AG21</f>
        <v>1.1935640000000001</v>
      </c>
      <c r="G144" s="1300">
        <f>PM보정계수!AH21</f>
        <v>1.445168</v>
      </c>
      <c r="H144" s="1300">
        <f>PM보정계수!AI21</f>
        <v>1.6050199999999999</v>
      </c>
      <c r="I144" s="1301">
        <f>PM보정계수!AJ21</f>
        <v>1.8182680000000002</v>
      </c>
      <c r="J144" s="1302">
        <f>PM보정계수!AK21</f>
        <v>2.233584</v>
      </c>
    </row>
    <row r="145" spans="1:10" ht="17.100000000000001" customHeight="1">
      <c r="A145" s="479" t="str">
        <f t="shared" ref="A145:B145" si="19">A122</f>
        <v>방향</v>
      </c>
      <c r="B145" s="215" t="str">
        <f t="shared" si="19"/>
        <v>2구간</v>
      </c>
      <c r="C145" s="1292">
        <f>PM보정계수!AD22</f>
        <v>0.65200000000000002</v>
      </c>
      <c r="D145" s="1293">
        <f>PM보정계수!AE22</f>
        <v>0.78300000000000003</v>
      </c>
      <c r="E145" s="1293">
        <f>PM보정계수!AF22</f>
        <v>0.87</v>
      </c>
      <c r="F145" s="1293">
        <f>PM보정계수!AG22</f>
        <v>1</v>
      </c>
      <c r="G145" s="1293">
        <f>PM보정계수!AH22</f>
        <v>1.1739999999999999</v>
      </c>
      <c r="H145" s="1293">
        <f>PM보정계수!AI22</f>
        <v>1.2170000000000001</v>
      </c>
      <c r="I145" s="1303">
        <f>PM보정계수!AJ22</f>
        <v>1.391</v>
      </c>
      <c r="J145" s="1294">
        <f>PM보정계수!AK22</f>
        <v>1.6519999999999999</v>
      </c>
    </row>
    <row r="146" spans="1:10" ht="17.100000000000001" customHeight="1">
      <c r="A146" s="479"/>
      <c r="B146" s="442" t="str">
        <f t="shared" ref="B146" si="20">B123</f>
        <v>3구간</v>
      </c>
      <c r="C146" s="1292">
        <f>PM보정계수!AD23</f>
        <v>0.65200000000000002</v>
      </c>
      <c r="D146" s="1293">
        <f>PM보정계수!AE23</f>
        <v>0.78300000000000003</v>
      </c>
      <c r="E146" s="1293">
        <f>PM보정계수!AF23</f>
        <v>0.87</v>
      </c>
      <c r="F146" s="1293">
        <f>PM보정계수!AG23</f>
        <v>1</v>
      </c>
      <c r="G146" s="1293">
        <f>PM보정계수!AH23</f>
        <v>1.1739999999999999</v>
      </c>
      <c r="H146" s="1303">
        <f>PM보정계수!AI23</f>
        <v>1.2170000000000001</v>
      </c>
      <c r="I146" s="1303">
        <f>PM보정계수!AJ23</f>
        <v>1.391</v>
      </c>
      <c r="J146" s="1304">
        <f>PM보정계수!AK23</f>
        <v>1.6519999999999999</v>
      </c>
    </row>
    <row r="147" spans="1:10" ht="17.100000000000001" customHeight="1">
      <c r="A147" s="479"/>
      <c r="B147" s="215" t="str">
        <f t="shared" ref="B147" si="21">B124</f>
        <v>4구간</v>
      </c>
      <c r="C147" s="1292">
        <f>PM보정계수!AD24</f>
        <v>0.65200000000000002</v>
      </c>
      <c r="D147" s="1293">
        <f>PM보정계수!AE24</f>
        <v>0.78300000000000003</v>
      </c>
      <c r="E147" s="1293">
        <f>PM보정계수!AF24</f>
        <v>0.87</v>
      </c>
      <c r="F147" s="1293">
        <f>PM보정계수!AG24</f>
        <v>1</v>
      </c>
      <c r="G147" s="1293">
        <f>PM보정계수!AH24</f>
        <v>1.1739999999999999</v>
      </c>
      <c r="H147" s="1293">
        <f>PM보정계수!AI24</f>
        <v>1.2170000000000001</v>
      </c>
      <c r="I147" s="1303">
        <f>PM보정계수!AJ24</f>
        <v>1.391</v>
      </c>
      <c r="J147" s="1294">
        <f>PM보정계수!AK24</f>
        <v>1.6519999999999999</v>
      </c>
    </row>
    <row r="148" spans="1:10" ht="17.100000000000001" customHeight="1">
      <c r="A148" s="479"/>
      <c r="B148" s="215" t="str">
        <f t="shared" ref="B148" si="22">B125</f>
        <v>5구간</v>
      </c>
      <c r="C148" s="1292">
        <f>PM보정계수!AD25</f>
        <v>0.65200000000000002</v>
      </c>
      <c r="D148" s="1293">
        <f>PM보정계수!AE25</f>
        <v>0.78300000000000003</v>
      </c>
      <c r="E148" s="1293">
        <f>PM보정계수!AF25</f>
        <v>0.87</v>
      </c>
      <c r="F148" s="1293">
        <f>PM보정계수!AG25</f>
        <v>1</v>
      </c>
      <c r="G148" s="1293">
        <f>PM보정계수!AH25</f>
        <v>1.1739999999999999</v>
      </c>
      <c r="H148" s="1293">
        <f>PM보정계수!AI25</f>
        <v>1.2170000000000001</v>
      </c>
      <c r="I148" s="1303">
        <f>PM보정계수!AJ25</f>
        <v>1.391</v>
      </c>
      <c r="J148" s="1294">
        <f>PM보정계수!AK25</f>
        <v>1.6519999999999999</v>
      </c>
    </row>
    <row r="149" spans="1:10" ht="17.100000000000001" customHeight="1">
      <c r="A149" s="479"/>
      <c r="B149" s="442" t="str">
        <f t="shared" ref="B149" si="23">B126</f>
        <v>6구간</v>
      </c>
      <c r="C149" s="1292">
        <f>PM보정계수!AD26</f>
        <v>0.65200000000000002</v>
      </c>
      <c r="D149" s="1293">
        <f>PM보정계수!AE26</f>
        <v>0.78300000000000003</v>
      </c>
      <c r="E149" s="1293">
        <f>PM보정계수!AF26</f>
        <v>0.87</v>
      </c>
      <c r="F149" s="1293">
        <f>PM보정계수!AG26</f>
        <v>1</v>
      </c>
      <c r="G149" s="1293">
        <f>PM보정계수!AH26</f>
        <v>1.1739999999999999</v>
      </c>
      <c r="H149" s="1293">
        <f>PM보정계수!AI26</f>
        <v>1.2170000000000001</v>
      </c>
      <c r="I149" s="1303">
        <f>PM보정계수!AJ26</f>
        <v>1.391</v>
      </c>
      <c r="J149" s="1294">
        <f>PM보정계수!AK26</f>
        <v>1.6519999999999999</v>
      </c>
    </row>
    <row r="150" spans="1:10" ht="17.100000000000001" customHeight="1">
      <c r="A150" s="479"/>
      <c r="B150" s="215" t="str">
        <f t="shared" ref="B150" si="24">B127</f>
        <v>7구간</v>
      </c>
      <c r="C150" s="1292">
        <f>PM보정계수!AD27</f>
        <v>0.65200000000000002</v>
      </c>
      <c r="D150" s="1293">
        <f>PM보정계수!AE27</f>
        <v>0.78300000000000003</v>
      </c>
      <c r="E150" s="1293">
        <f>PM보정계수!AF27</f>
        <v>0.87</v>
      </c>
      <c r="F150" s="1293">
        <f>PM보정계수!AG27</f>
        <v>1</v>
      </c>
      <c r="G150" s="1293">
        <f>PM보정계수!AH27</f>
        <v>1.1739999999999999</v>
      </c>
      <c r="H150" s="1293">
        <f>PM보정계수!AI27</f>
        <v>1.2170000000000001</v>
      </c>
      <c r="I150" s="1303">
        <f>PM보정계수!AJ27</f>
        <v>1.391</v>
      </c>
      <c r="J150" s="1294">
        <f>PM보정계수!AK27</f>
        <v>1.6519999999999999</v>
      </c>
    </row>
    <row r="151" spans="1:10" ht="17.100000000000001" customHeight="1">
      <c r="A151" s="479"/>
      <c r="B151" s="442" t="str">
        <f t="shared" ref="B151" si="25">B128</f>
        <v>8구간</v>
      </c>
      <c r="C151" s="1292">
        <f>PM보정계수!AD28</f>
        <v>0.65200000000000002</v>
      </c>
      <c r="D151" s="1293">
        <f>PM보정계수!AE28</f>
        <v>0.78300000000000003</v>
      </c>
      <c r="E151" s="1293">
        <f>PM보정계수!AF28</f>
        <v>0.87</v>
      </c>
      <c r="F151" s="1293">
        <f>PM보정계수!AG28</f>
        <v>1</v>
      </c>
      <c r="G151" s="1293">
        <f>PM보정계수!AH28</f>
        <v>1.1739999999999999</v>
      </c>
      <c r="H151" s="1303">
        <f>PM보정계수!AI28</f>
        <v>1.2170000000000001</v>
      </c>
      <c r="I151" s="1303">
        <f>PM보정계수!AJ28</f>
        <v>1.391</v>
      </c>
      <c r="J151" s="1304">
        <f>PM보정계수!AK28</f>
        <v>1.6519999999999999</v>
      </c>
    </row>
    <row r="152" spans="1:10" ht="17.100000000000001" customHeight="1">
      <c r="A152" s="479"/>
      <c r="B152" s="215" t="str">
        <f t="shared" ref="B152" si="26">B129</f>
        <v>9구간</v>
      </c>
      <c r="C152" s="1292">
        <f>PM보정계수!AD29</f>
        <v>0.65200000000000002</v>
      </c>
      <c r="D152" s="1293">
        <f>PM보정계수!AE29</f>
        <v>0.78300000000000003</v>
      </c>
      <c r="E152" s="1293">
        <f>PM보정계수!AF29</f>
        <v>0.87</v>
      </c>
      <c r="F152" s="1293">
        <f>PM보정계수!AG29</f>
        <v>1</v>
      </c>
      <c r="G152" s="1293">
        <f>PM보정계수!AH29</f>
        <v>1.1739999999999999</v>
      </c>
      <c r="H152" s="1293">
        <f>PM보정계수!AI29</f>
        <v>1.2170000000000001</v>
      </c>
      <c r="I152" s="1303">
        <f>PM보정계수!AJ29</f>
        <v>1.391</v>
      </c>
      <c r="J152" s="1294">
        <f>PM보정계수!AK29</f>
        <v>1.6519999999999999</v>
      </c>
    </row>
    <row r="153" spans="1:10" ht="17.100000000000001" customHeight="1" thickBot="1">
      <c r="A153" s="486"/>
      <c r="B153" s="88" t="str">
        <f t="shared" ref="B153" si="27">B130</f>
        <v>10구간</v>
      </c>
      <c r="C153" s="1305">
        <f>PM보정계수!AD30</f>
        <v>0.65200000000000002</v>
      </c>
      <c r="D153" s="1306">
        <f>PM보정계수!AE30</f>
        <v>0.78300000000000003</v>
      </c>
      <c r="E153" s="1306">
        <f>PM보정계수!AF30</f>
        <v>0.87</v>
      </c>
      <c r="F153" s="1306">
        <f>PM보정계수!AG30</f>
        <v>1</v>
      </c>
      <c r="G153" s="1306">
        <f>PM보정계수!AH30</f>
        <v>1.1739999999999999</v>
      </c>
      <c r="H153" s="1306">
        <f>PM보정계수!AI30</f>
        <v>1.2170000000000001</v>
      </c>
      <c r="I153" s="531">
        <f>PM보정계수!AJ30</f>
        <v>1.391</v>
      </c>
      <c r="J153" s="532">
        <f>PM보정계수!AK30</f>
        <v>1.6519999999999999</v>
      </c>
    </row>
    <row r="154" spans="1:10">
      <c r="A154" s="475"/>
      <c r="B154" s="89"/>
      <c r="C154" s="433"/>
      <c r="D154" s="433"/>
      <c r="E154" s="433"/>
      <c r="F154" s="433"/>
      <c r="G154" s="433"/>
      <c r="H154" s="433"/>
      <c r="I154" s="433"/>
      <c r="J154" s="433"/>
    </row>
    <row r="155" spans="1:10" ht="14.25" thickBot="1">
      <c r="A155" s="70" t="s">
        <v>962</v>
      </c>
      <c r="B155" s="390"/>
      <c r="C155" s="390"/>
      <c r="D155" s="390"/>
      <c r="E155" s="390"/>
      <c r="F155" s="390"/>
      <c r="G155" s="390"/>
      <c r="H155" s="390"/>
      <c r="I155" s="85"/>
      <c r="J155" s="86"/>
    </row>
    <row r="156" spans="1:10" ht="17.100000000000001" customHeight="1">
      <c r="A156" s="1260" t="s">
        <v>189</v>
      </c>
      <c r="B156" s="1259"/>
      <c r="C156" s="1258">
        <v>10</v>
      </c>
      <c r="D156" s="467">
        <v>20</v>
      </c>
      <c r="E156" s="467">
        <v>30</v>
      </c>
      <c r="F156" s="467">
        <v>40</v>
      </c>
      <c r="G156" s="467">
        <v>50</v>
      </c>
      <c r="H156" s="467">
        <v>60</v>
      </c>
      <c r="I156" s="467">
        <v>70</v>
      </c>
      <c r="J156" s="468">
        <v>80</v>
      </c>
    </row>
    <row r="157" spans="1:10" ht="17.100000000000001" customHeight="1">
      <c r="A157" s="479" t="str">
        <f>A134</f>
        <v>진주</v>
      </c>
      <c r="B157" s="442" t="str">
        <f>B134</f>
        <v>1구간</v>
      </c>
      <c r="C157" s="1292">
        <f>PM보정계수!S35</f>
        <v>0.61899999999999999</v>
      </c>
      <c r="D157" s="1293">
        <f>PM보정계수!T44</f>
        <v>0.78600000000000003</v>
      </c>
      <c r="E157" s="1293">
        <f>PM보정계수!U44</f>
        <v>0.83299999999999996</v>
      </c>
      <c r="F157" s="1293">
        <f>PM보정계수!V44</f>
        <v>1</v>
      </c>
      <c r="G157" s="1293">
        <f>PM보정계수!W44</f>
        <v>1.143</v>
      </c>
      <c r="H157" s="1293">
        <f>PM보정계수!X44</f>
        <v>1.405</v>
      </c>
      <c r="I157" s="1293">
        <f>PM보정계수!Y44</f>
        <v>1.643</v>
      </c>
      <c r="J157" s="1294">
        <f>PM보정계수!Z44</f>
        <v>2.1669999999999998</v>
      </c>
    </row>
    <row r="158" spans="1:10" ht="17.100000000000001" customHeight="1">
      <c r="A158" s="1261" t="str">
        <f t="shared" ref="A158:B166" si="28">A135</f>
        <v>방향</v>
      </c>
      <c r="B158" s="215" t="str">
        <f t="shared" si="28"/>
        <v>2구간</v>
      </c>
      <c r="C158" s="1295">
        <f>PM보정계수!S36</f>
        <v>0.61899999999999999</v>
      </c>
      <c r="D158" s="1296">
        <f>PM보정계수!T45</f>
        <v>0</v>
      </c>
      <c r="E158" s="1296">
        <f>PM보정계수!U45</f>
        <v>0</v>
      </c>
      <c r="F158" s="1296">
        <f>PM보정계수!V45</f>
        <v>0</v>
      </c>
      <c r="G158" s="1296">
        <f>PM보정계수!W45</f>
        <v>0</v>
      </c>
      <c r="H158" s="1296">
        <f>PM보정계수!X45</f>
        <v>0</v>
      </c>
      <c r="I158" s="1296">
        <f>PM보정계수!Y45</f>
        <v>0</v>
      </c>
      <c r="J158" s="1297">
        <f>PM보정계수!Z45</f>
        <v>0</v>
      </c>
    </row>
    <row r="159" spans="1:10" ht="17.100000000000001" customHeight="1">
      <c r="A159" s="479"/>
      <c r="B159" s="442" t="str">
        <f t="shared" si="28"/>
        <v>3구간</v>
      </c>
      <c r="C159" s="1295">
        <f>PM보정계수!S37</f>
        <v>0.61899999999999999</v>
      </c>
      <c r="D159" s="1296">
        <f>PM보정계수!T46</f>
        <v>0</v>
      </c>
      <c r="E159" s="1296">
        <f>PM보정계수!U46</f>
        <v>0</v>
      </c>
      <c r="F159" s="1296">
        <f>PM보정계수!V46</f>
        <v>0</v>
      </c>
      <c r="G159" s="1296">
        <f>PM보정계수!W46</f>
        <v>0</v>
      </c>
      <c r="H159" s="1296">
        <f>PM보정계수!X46</f>
        <v>0</v>
      </c>
      <c r="I159" s="1296">
        <f>PM보정계수!Y46</f>
        <v>0</v>
      </c>
      <c r="J159" s="1297">
        <f>PM보정계수!Z46</f>
        <v>0</v>
      </c>
    </row>
    <row r="160" spans="1:10" ht="17.100000000000001" customHeight="1">
      <c r="A160" s="479"/>
      <c r="B160" s="215" t="str">
        <f t="shared" si="28"/>
        <v>4구간</v>
      </c>
      <c r="C160" s="1295">
        <f>PM보정계수!S38</f>
        <v>0.61899999999999999</v>
      </c>
      <c r="D160" s="1296">
        <f>PM보정계수!T47</f>
        <v>0</v>
      </c>
      <c r="E160" s="1296">
        <f>PM보정계수!U47</f>
        <v>0</v>
      </c>
      <c r="F160" s="1296">
        <f>PM보정계수!V47</f>
        <v>0</v>
      </c>
      <c r="G160" s="1296">
        <f>PM보정계수!W47</f>
        <v>0</v>
      </c>
      <c r="H160" s="1296">
        <f>PM보정계수!X47</f>
        <v>0</v>
      </c>
      <c r="I160" s="1296">
        <f>PM보정계수!Y47</f>
        <v>0</v>
      </c>
      <c r="J160" s="1297">
        <f>PM보정계수!Z47</f>
        <v>0</v>
      </c>
    </row>
    <row r="161" spans="1:10" ht="17.100000000000001" customHeight="1">
      <c r="A161" s="1261"/>
      <c r="B161" s="215" t="str">
        <f t="shared" si="28"/>
        <v>5구간</v>
      </c>
      <c r="C161" s="1295">
        <f>PM보정계수!S39</f>
        <v>0.61899999999999999</v>
      </c>
      <c r="D161" s="1296">
        <f>PM보정계수!T48</f>
        <v>20</v>
      </c>
      <c r="E161" s="1296">
        <f>PM보정계수!U48</f>
        <v>30</v>
      </c>
      <c r="F161" s="1296">
        <f>PM보정계수!V48</f>
        <v>40</v>
      </c>
      <c r="G161" s="1296">
        <f>PM보정계수!W48</f>
        <v>50</v>
      </c>
      <c r="H161" s="1296">
        <f>PM보정계수!X48</f>
        <v>60</v>
      </c>
      <c r="I161" s="1298">
        <f>PM보정계수!Y48</f>
        <v>70</v>
      </c>
      <c r="J161" s="1297">
        <f>PM보정계수!Z48</f>
        <v>80</v>
      </c>
    </row>
    <row r="162" spans="1:10" ht="17.100000000000001" customHeight="1">
      <c r="A162" s="479"/>
      <c r="B162" s="442" t="str">
        <f t="shared" si="28"/>
        <v>6구간</v>
      </c>
      <c r="C162" s="1295">
        <f>PM보정계수!S40</f>
        <v>0.61899999999999999</v>
      </c>
      <c r="D162" s="1296">
        <f>PM보정계수!T49</f>
        <v>0.78600000000000003</v>
      </c>
      <c r="E162" s="1296">
        <f>PM보정계수!U49</f>
        <v>0.83299999999999996</v>
      </c>
      <c r="F162" s="1296">
        <f>PM보정계수!V49</f>
        <v>1</v>
      </c>
      <c r="G162" s="1296">
        <f>PM보정계수!W49</f>
        <v>1.143</v>
      </c>
      <c r="H162" s="1296">
        <f>PM보정계수!X49</f>
        <v>1.405</v>
      </c>
      <c r="I162" s="1296">
        <f>PM보정계수!Y49</f>
        <v>1.643</v>
      </c>
      <c r="J162" s="1297">
        <f>PM보정계수!Z49</f>
        <v>2.1669999999999998</v>
      </c>
    </row>
    <row r="163" spans="1:10" ht="17.100000000000001" customHeight="1">
      <c r="A163" s="1261"/>
      <c r="B163" s="215" t="str">
        <f t="shared" si="28"/>
        <v>7구간</v>
      </c>
      <c r="C163" s="1295">
        <f>PM보정계수!S41</f>
        <v>0.61899999999999999</v>
      </c>
      <c r="D163" s="1296">
        <f>PM보정계수!T50</f>
        <v>0.78600000000000003</v>
      </c>
      <c r="E163" s="1296">
        <f>PM보정계수!U50</f>
        <v>0.83299999999999996</v>
      </c>
      <c r="F163" s="1296">
        <f>PM보정계수!V50</f>
        <v>1</v>
      </c>
      <c r="G163" s="1296">
        <f>PM보정계수!W50</f>
        <v>1.143</v>
      </c>
      <c r="H163" s="1296">
        <f>PM보정계수!X50</f>
        <v>1.405</v>
      </c>
      <c r="I163" s="1296">
        <f>PM보정계수!Y50</f>
        <v>1.643</v>
      </c>
      <c r="J163" s="1297">
        <f>PM보정계수!Z50</f>
        <v>2.1669999999999998</v>
      </c>
    </row>
    <row r="164" spans="1:10" ht="17.100000000000001" customHeight="1">
      <c r="A164" s="479"/>
      <c r="B164" s="442" t="str">
        <f t="shared" si="28"/>
        <v>8구간</v>
      </c>
      <c r="C164" s="1295">
        <f>PM보정계수!S42</f>
        <v>0.61899999999999999</v>
      </c>
      <c r="D164" s="1296">
        <f>PM보정계수!T51</f>
        <v>0.78600000000000003</v>
      </c>
      <c r="E164" s="1296">
        <f>PM보정계수!U51</f>
        <v>0.83299999999999996</v>
      </c>
      <c r="F164" s="1296">
        <f>PM보정계수!V51</f>
        <v>1</v>
      </c>
      <c r="G164" s="1296">
        <f>PM보정계수!W51</f>
        <v>1.143</v>
      </c>
      <c r="H164" s="1296">
        <f>PM보정계수!X51</f>
        <v>1.405</v>
      </c>
      <c r="I164" s="1296">
        <f>PM보정계수!Y51</f>
        <v>1.643</v>
      </c>
      <c r="J164" s="1297">
        <f>PM보정계수!Z51</f>
        <v>2.1669999999999998</v>
      </c>
    </row>
    <row r="165" spans="1:10" ht="17.100000000000001" customHeight="1">
      <c r="A165" s="479"/>
      <c r="B165" s="215" t="str">
        <f t="shared" si="28"/>
        <v>9구간</v>
      </c>
      <c r="C165" s="1295">
        <f>PM보정계수!S43</f>
        <v>0.61899999999999999</v>
      </c>
      <c r="D165" s="1296">
        <f>PM보정계수!T52</f>
        <v>0.78600000000000003</v>
      </c>
      <c r="E165" s="1296">
        <f>PM보정계수!U52</f>
        <v>0.83299999999999996</v>
      </c>
      <c r="F165" s="1296">
        <f>PM보정계수!V52</f>
        <v>1</v>
      </c>
      <c r="G165" s="1296">
        <f>PM보정계수!W52</f>
        <v>1.143</v>
      </c>
      <c r="H165" s="1296">
        <f>PM보정계수!X52</f>
        <v>1.405</v>
      </c>
      <c r="I165" s="1296">
        <f>PM보정계수!Y52</f>
        <v>1.643</v>
      </c>
      <c r="J165" s="1297">
        <f>PM보정계수!Z52</f>
        <v>2.1669999999999998</v>
      </c>
    </row>
    <row r="166" spans="1:10" ht="17.100000000000001" customHeight="1">
      <c r="A166" s="479"/>
      <c r="B166" s="215" t="str">
        <f t="shared" si="28"/>
        <v>10구간</v>
      </c>
      <c r="C166" s="1295">
        <f>PM보정계수!S44</f>
        <v>0.61899999999999999</v>
      </c>
      <c r="D166" s="1296">
        <f>PM보정계수!T53</f>
        <v>0.78600000000000003</v>
      </c>
      <c r="E166" s="1296">
        <f>PM보정계수!U53</f>
        <v>0.83299999999999996</v>
      </c>
      <c r="F166" s="1296">
        <f>PM보정계수!V53</f>
        <v>1</v>
      </c>
      <c r="G166" s="1296">
        <f>PM보정계수!W53</f>
        <v>1.143</v>
      </c>
      <c r="H166" s="1296">
        <f>PM보정계수!X53</f>
        <v>1.405</v>
      </c>
      <c r="I166" s="1296">
        <f>PM보정계수!Y53</f>
        <v>1.643</v>
      </c>
      <c r="J166" s="1297">
        <f>PM보정계수!Z53</f>
        <v>2.1669999999999998</v>
      </c>
    </row>
    <row r="167" spans="1:10" ht="17.100000000000001" customHeight="1">
      <c r="A167" s="1251" t="str">
        <f t="shared" ref="A167:B167" si="29">A144</f>
        <v>마산</v>
      </c>
      <c r="B167" s="1262" t="str">
        <f t="shared" si="29"/>
        <v>1구간</v>
      </c>
      <c r="C167" s="1299">
        <f>PM보정계수!AD35</f>
        <v>0.68233199999999994</v>
      </c>
      <c r="D167" s="1300">
        <f>PM보정계수!AE35</f>
        <v>0.89214800000000005</v>
      </c>
      <c r="E167" s="1300">
        <f>PM보정계수!AF35</f>
        <v>1.088112</v>
      </c>
      <c r="F167" s="1300">
        <f>PM보정계수!AG35</f>
        <v>1.255112</v>
      </c>
      <c r="G167" s="1300">
        <f>PM보정계수!AH35</f>
        <v>1.418628</v>
      </c>
      <c r="H167" s="1300">
        <f>PM보정계수!AI35</f>
        <v>1.680628</v>
      </c>
      <c r="I167" s="1301">
        <f>PM보정계수!AJ35</f>
        <v>2.25848</v>
      </c>
      <c r="J167" s="1302">
        <f>PM보정계수!AK35</f>
        <v>2.8467039999999999</v>
      </c>
    </row>
    <row r="168" spans="1:10" ht="17.100000000000001" customHeight="1">
      <c r="A168" s="479" t="str">
        <f t="shared" ref="A168:B176" si="30">A145</f>
        <v>방향</v>
      </c>
      <c r="B168" s="215" t="str">
        <f t="shared" si="30"/>
        <v>2구간</v>
      </c>
      <c r="C168" s="1292">
        <f>PM보정계수!AD36</f>
        <v>0.61899999999999999</v>
      </c>
      <c r="D168" s="1293">
        <f>PM보정계수!AE36</f>
        <v>0.78600000000000003</v>
      </c>
      <c r="E168" s="1293">
        <f>PM보정계수!AF36</f>
        <v>0.83299999999999996</v>
      </c>
      <c r="F168" s="1293">
        <f>PM보정계수!AG36</f>
        <v>1</v>
      </c>
      <c r="G168" s="1293">
        <f>PM보정계수!AH36</f>
        <v>1.143</v>
      </c>
      <c r="H168" s="1293">
        <f>PM보정계수!AI36</f>
        <v>1.405</v>
      </c>
      <c r="I168" s="1303">
        <f>PM보정계수!AJ36</f>
        <v>1.643</v>
      </c>
      <c r="J168" s="1294">
        <f>PM보정계수!AK36</f>
        <v>2.1669999999999998</v>
      </c>
    </row>
    <row r="169" spans="1:10" ht="17.100000000000001" customHeight="1">
      <c r="A169" s="479"/>
      <c r="B169" s="442" t="str">
        <f t="shared" si="30"/>
        <v>3구간</v>
      </c>
      <c r="C169" s="1292">
        <f>PM보정계수!AD37</f>
        <v>0.61899999999999999</v>
      </c>
      <c r="D169" s="1293">
        <f>PM보정계수!AE37</f>
        <v>0.78600000000000003</v>
      </c>
      <c r="E169" s="1293">
        <f>PM보정계수!AF37</f>
        <v>0.83299999999999996</v>
      </c>
      <c r="F169" s="1293">
        <f>PM보정계수!AG37</f>
        <v>1</v>
      </c>
      <c r="G169" s="1293">
        <f>PM보정계수!AH37</f>
        <v>1.143</v>
      </c>
      <c r="H169" s="1303">
        <f>PM보정계수!AI37</f>
        <v>1.405</v>
      </c>
      <c r="I169" s="1303">
        <f>PM보정계수!AJ37</f>
        <v>1.643</v>
      </c>
      <c r="J169" s="1304">
        <f>PM보정계수!AK37</f>
        <v>2.1669999999999998</v>
      </c>
    </row>
    <row r="170" spans="1:10" ht="17.100000000000001" customHeight="1">
      <c r="A170" s="479"/>
      <c r="B170" s="215" t="str">
        <f t="shared" si="30"/>
        <v>4구간</v>
      </c>
      <c r="C170" s="1292">
        <f>PM보정계수!AD38</f>
        <v>0.61899999999999999</v>
      </c>
      <c r="D170" s="1293">
        <f>PM보정계수!AE38</f>
        <v>0.78600000000000003</v>
      </c>
      <c r="E170" s="1293">
        <f>PM보정계수!AF38</f>
        <v>0.83299999999999996</v>
      </c>
      <c r="F170" s="1293">
        <f>PM보정계수!AG38</f>
        <v>1</v>
      </c>
      <c r="G170" s="1293">
        <f>PM보정계수!AH38</f>
        <v>1.143</v>
      </c>
      <c r="H170" s="1293">
        <f>PM보정계수!AI38</f>
        <v>1.405</v>
      </c>
      <c r="I170" s="1303">
        <f>PM보정계수!AJ38</f>
        <v>1.643</v>
      </c>
      <c r="J170" s="1294">
        <f>PM보정계수!AK38</f>
        <v>2.1669999999999998</v>
      </c>
    </row>
    <row r="171" spans="1:10" ht="17.100000000000001" customHeight="1">
      <c r="A171" s="479"/>
      <c r="B171" s="215" t="str">
        <f t="shared" si="30"/>
        <v>5구간</v>
      </c>
      <c r="C171" s="1292">
        <f>PM보정계수!AD39</f>
        <v>0.61899999999999999</v>
      </c>
      <c r="D171" s="1293">
        <f>PM보정계수!AE39</f>
        <v>0.78600000000000003</v>
      </c>
      <c r="E171" s="1293">
        <f>PM보정계수!AF39</f>
        <v>0.83299999999999996</v>
      </c>
      <c r="F171" s="1293">
        <f>PM보정계수!AG39</f>
        <v>1</v>
      </c>
      <c r="G171" s="1293">
        <f>PM보정계수!AH39</f>
        <v>1.143</v>
      </c>
      <c r="H171" s="1293">
        <f>PM보정계수!AI39</f>
        <v>1.405</v>
      </c>
      <c r="I171" s="1303">
        <f>PM보정계수!AJ39</f>
        <v>1.643</v>
      </c>
      <c r="J171" s="1294">
        <f>PM보정계수!AK39</f>
        <v>2.1669999999999998</v>
      </c>
    </row>
    <row r="172" spans="1:10" ht="17.100000000000001" customHeight="1">
      <c r="A172" s="479"/>
      <c r="B172" s="442" t="str">
        <f t="shared" si="30"/>
        <v>6구간</v>
      </c>
      <c r="C172" s="1292">
        <f>PM보정계수!AD40</f>
        <v>0.61899999999999999</v>
      </c>
      <c r="D172" s="1293">
        <f>PM보정계수!AE40</f>
        <v>0.78600000000000003</v>
      </c>
      <c r="E172" s="1293">
        <f>PM보정계수!AF40</f>
        <v>0.83299999999999996</v>
      </c>
      <c r="F172" s="1293">
        <f>PM보정계수!AG40</f>
        <v>1</v>
      </c>
      <c r="G172" s="1293">
        <f>PM보정계수!AH40</f>
        <v>1.143</v>
      </c>
      <c r="H172" s="1293">
        <f>PM보정계수!AI40</f>
        <v>1.405</v>
      </c>
      <c r="I172" s="1303">
        <f>PM보정계수!AJ40</f>
        <v>1.643</v>
      </c>
      <c r="J172" s="1294">
        <f>PM보정계수!AK40</f>
        <v>2.1669999999999998</v>
      </c>
    </row>
    <row r="173" spans="1:10" ht="17.100000000000001" customHeight="1">
      <c r="A173" s="479"/>
      <c r="B173" s="215" t="str">
        <f t="shared" si="30"/>
        <v>7구간</v>
      </c>
      <c r="C173" s="1292">
        <f>PM보정계수!AD41</f>
        <v>0.61899999999999999</v>
      </c>
      <c r="D173" s="1293">
        <f>PM보정계수!AE41</f>
        <v>0.78600000000000003</v>
      </c>
      <c r="E173" s="1293">
        <f>PM보정계수!AF41</f>
        <v>0.83299999999999996</v>
      </c>
      <c r="F173" s="1293">
        <f>PM보정계수!AG41</f>
        <v>1</v>
      </c>
      <c r="G173" s="1293">
        <f>PM보정계수!AH41</f>
        <v>1.143</v>
      </c>
      <c r="H173" s="1293">
        <f>PM보정계수!AI41</f>
        <v>1.405</v>
      </c>
      <c r="I173" s="1303">
        <f>PM보정계수!AJ41</f>
        <v>1.643</v>
      </c>
      <c r="J173" s="1294">
        <f>PM보정계수!AK41</f>
        <v>2.1669999999999998</v>
      </c>
    </row>
    <row r="174" spans="1:10" ht="17.100000000000001" customHeight="1">
      <c r="A174" s="479"/>
      <c r="B174" s="442" t="str">
        <f t="shared" si="30"/>
        <v>8구간</v>
      </c>
      <c r="C174" s="1292">
        <f>PM보정계수!AD42</f>
        <v>0.61899999999999999</v>
      </c>
      <c r="D174" s="1293">
        <f>PM보정계수!AE42</f>
        <v>0.78600000000000003</v>
      </c>
      <c r="E174" s="1293">
        <f>PM보정계수!AF42</f>
        <v>0.83299999999999996</v>
      </c>
      <c r="F174" s="1293">
        <f>PM보정계수!AG42</f>
        <v>1</v>
      </c>
      <c r="G174" s="1293">
        <f>PM보정계수!AH42</f>
        <v>1.143</v>
      </c>
      <c r="H174" s="1303">
        <f>PM보정계수!AI42</f>
        <v>1.405</v>
      </c>
      <c r="I174" s="1303">
        <f>PM보정계수!AJ42</f>
        <v>1.643</v>
      </c>
      <c r="J174" s="1304">
        <f>PM보정계수!AK42</f>
        <v>2.1669999999999998</v>
      </c>
    </row>
    <row r="175" spans="1:10" ht="17.100000000000001" customHeight="1">
      <c r="A175" s="479"/>
      <c r="B175" s="215" t="str">
        <f t="shared" si="30"/>
        <v>9구간</v>
      </c>
      <c r="C175" s="1292">
        <f>PM보정계수!AD43</f>
        <v>0.61899999999999999</v>
      </c>
      <c r="D175" s="1293">
        <f>PM보정계수!AE43</f>
        <v>0.78600000000000003</v>
      </c>
      <c r="E175" s="1293">
        <f>PM보정계수!AF43</f>
        <v>0.83299999999999996</v>
      </c>
      <c r="F175" s="1293">
        <f>PM보정계수!AG43</f>
        <v>1</v>
      </c>
      <c r="G175" s="1293">
        <f>PM보정계수!AH43</f>
        <v>1.143</v>
      </c>
      <c r="H175" s="1293">
        <f>PM보정계수!AI43</f>
        <v>1.405</v>
      </c>
      <c r="I175" s="1303">
        <f>PM보정계수!AJ43</f>
        <v>1.643</v>
      </c>
      <c r="J175" s="1294">
        <f>PM보정계수!AK43</f>
        <v>2.1669999999999998</v>
      </c>
    </row>
    <row r="176" spans="1:10" ht="17.100000000000001" customHeight="1" thickBot="1">
      <c r="A176" s="486"/>
      <c r="B176" s="88" t="str">
        <f t="shared" si="30"/>
        <v>10구간</v>
      </c>
      <c r="C176" s="1305">
        <f>PM보정계수!AD44</f>
        <v>0.61899999999999999</v>
      </c>
      <c r="D176" s="1306">
        <f>PM보정계수!AE44</f>
        <v>0.78600000000000003</v>
      </c>
      <c r="E176" s="1306">
        <f>PM보정계수!AF44</f>
        <v>0.83299999999999996</v>
      </c>
      <c r="F176" s="1306">
        <f>PM보정계수!AG44</f>
        <v>1</v>
      </c>
      <c r="G176" s="1306">
        <f>PM보정계수!AH44</f>
        <v>1.143</v>
      </c>
      <c r="H176" s="1306">
        <f>PM보정계수!AI44</f>
        <v>1.405</v>
      </c>
      <c r="I176" s="531">
        <f>PM보정계수!AJ44</f>
        <v>1.643</v>
      </c>
      <c r="J176" s="532">
        <f>PM보정계수!AK44</f>
        <v>2.1669999999999998</v>
      </c>
    </row>
    <row r="177" spans="1:10">
      <c r="A177" s="475"/>
      <c r="B177" s="89"/>
      <c r="C177" s="433"/>
      <c r="D177" s="433"/>
      <c r="E177" s="433"/>
      <c r="F177" s="433"/>
      <c r="G177" s="433"/>
      <c r="H177" s="433"/>
      <c r="I177" s="433"/>
      <c r="J177" s="433"/>
    </row>
    <row r="178" spans="1:10" ht="14.25" thickBot="1">
      <c r="A178" s="70" t="s">
        <v>963</v>
      </c>
      <c r="B178" s="390"/>
      <c r="C178" s="390"/>
      <c r="D178" s="390"/>
      <c r="E178" s="390"/>
      <c r="F178" s="390"/>
      <c r="G178" s="390"/>
      <c r="H178" s="390"/>
      <c r="I178" s="85"/>
      <c r="J178" s="86"/>
    </row>
    <row r="179" spans="1:10" ht="17.100000000000001" customHeight="1">
      <c r="A179" s="1260" t="s">
        <v>189</v>
      </c>
      <c r="B179" s="1259"/>
      <c r="C179" s="1258">
        <v>10</v>
      </c>
      <c r="D179" s="467">
        <v>20</v>
      </c>
      <c r="E179" s="467">
        <v>30</v>
      </c>
      <c r="F179" s="467">
        <v>40</v>
      </c>
      <c r="G179" s="467">
        <v>50</v>
      </c>
      <c r="H179" s="467">
        <v>60</v>
      </c>
      <c r="I179" s="467">
        <v>70</v>
      </c>
      <c r="J179" s="468">
        <v>80</v>
      </c>
    </row>
    <row r="180" spans="1:10" ht="17.100000000000001" customHeight="1">
      <c r="A180" s="479" t="str">
        <f>A157</f>
        <v>진주</v>
      </c>
      <c r="B180" s="442" t="str">
        <f>B157</f>
        <v>1구간</v>
      </c>
      <c r="C180" s="1292">
        <f>PM보정계수!S49</f>
        <v>0.61899999999999999</v>
      </c>
      <c r="D180" s="1293">
        <f>PM보정계수!T49</f>
        <v>0.78600000000000003</v>
      </c>
      <c r="E180" s="1293">
        <f>PM보정계수!U49</f>
        <v>0.83299999999999996</v>
      </c>
      <c r="F180" s="1293">
        <f>PM보정계수!V49</f>
        <v>1</v>
      </c>
      <c r="G180" s="1293">
        <f>PM보정계수!W49</f>
        <v>1.143</v>
      </c>
      <c r="H180" s="1293">
        <f>PM보정계수!X49</f>
        <v>1.405</v>
      </c>
      <c r="I180" s="1293">
        <f>PM보정계수!Y49</f>
        <v>1.643</v>
      </c>
      <c r="J180" s="1294">
        <f>PM보정계수!Z49</f>
        <v>2.1669999999999998</v>
      </c>
    </row>
    <row r="181" spans="1:10" ht="17.100000000000001" customHeight="1">
      <c r="A181" s="1261" t="str">
        <f t="shared" ref="A181:B181" si="31">A158</f>
        <v>방향</v>
      </c>
      <c r="B181" s="215" t="str">
        <f t="shared" si="31"/>
        <v>2구간</v>
      </c>
      <c r="C181" s="1295">
        <f>PM보정계수!S50</f>
        <v>0.61899999999999999</v>
      </c>
      <c r="D181" s="1296">
        <f>PM보정계수!T50</f>
        <v>0.78600000000000003</v>
      </c>
      <c r="E181" s="1296">
        <f>PM보정계수!U50</f>
        <v>0.83299999999999996</v>
      </c>
      <c r="F181" s="1296">
        <f>PM보정계수!V50</f>
        <v>1</v>
      </c>
      <c r="G181" s="1296">
        <f>PM보정계수!W50</f>
        <v>1.143</v>
      </c>
      <c r="H181" s="1296">
        <f>PM보정계수!X50</f>
        <v>1.405</v>
      </c>
      <c r="I181" s="1296">
        <f>PM보정계수!Y50</f>
        <v>1.643</v>
      </c>
      <c r="J181" s="1297">
        <f>PM보정계수!Z50</f>
        <v>2.1669999999999998</v>
      </c>
    </row>
    <row r="182" spans="1:10" ht="17.100000000000001" customHeight="1">
      <c r="A182" s="479"/>
      <c r="B182" s="442" t="str">
        <f t="shared" ref="B182" si="32">B159</f>
        <v>3구간</v>
      </c>
      <c r="C182" s="1295">
        <f>PM보정계수!S51</f>
        <v>0.61899999999999999</v>
      </c>
      <c r="D182" s="1296">
        <f>PM보정계수!T51</f>
        <v>0.78600000000000003</v>
      </c>
      <c r="E182" s="1296">
        <f>PM보정계수!U51</f>
        <v>0.83299999999999996</v>
      </c>
      <c r="F182" s="1296">
        <f>PM보정계수!V51</f>
        <v>1</v>
      </c>
      <c r="G182" s="1296">
        <f>PM보정계수!W51</f>
        <v>1.143</v>
      </c>
      <c r="H182" s="1296">
        <f>PM보정계수!X51</f>
        <v>1.405</v>
      </c>
      <c r="I182" s="1296">
        <f>PM보정계수!Y51</f>
        <v>1.643</v>
      </c>
      <c r="J182" s="1297">
        <f>PM보정계수!Z51</f>
        <v>2.1669999999999998</v>
      </c>
    </row>
    <row r="183" spans="1:10" ht="17.100000000000001" customHeight="1">
      <c r="A183" s="479"/>
      <c r="B183" s="215" t="str">
        <f t="shared" ref="B183" si="33">B160</f>
        <v>4구간</v>
      </c>
      <c r="C183" s="1295">
        <f>PM보정계수!S52</f>
        <v>0.61899999999999999</v>
      </c>
      <c r="D183" s="1296">
        <f>PM보정계수!T52</f>
        <v>0.78600000000000003</v>
      </c>
      <c r="E183" s="1296">
        <f>PM보정계수!U52</f>
        <v>0.83299999999999996</v>
      </c>
      <c r="F183" s="1296">
        <f>PM보정계수!V52</f>
        <v>1</v>
      </c>
      <c r="G183" s="1296">
        <f>PM보정계수!W52</f>
        <v>1.143</v>
      </c>
      <c r="H183" s="1296">
        <f>PM보정계수!X52</f>
        <v>1.405</v>
      </c>
      <c r="I183" s="1296">
        <f>PM보정계수!Y52</f>
        <v>1.643</v>
      </c>
      <c r="J183" s="1297">
        <f>PM보정계수!Z52</f>
        <v>2.1669999999999998</v>
      </c>
    </row>
    <row r="184" spans="1:10" ht="17.100000000000001" customHeight="1">
      <c r="A184" s="1261"/>
      <c r="B184" s="215" t="str">
        <f t="shared" ref="B184" si="34">B161</f>
        <v>5구간</v>
      </c>
      <c r="C184" s="1295">
        <f>PM보정계수!S53</f>
        <v>0.61899999999999999</v>
      </c>
      <c r="D184" s="1296">
        <f>PM보정계수!T53</f>
        <v>0.78600000000000003</v>
      </c>
      <c r="E184" s="1296">
        <f>PM보정계수!U53</f>
        <v>0.83299999999999996</v>
      </c>
      <c r="F184" s="1296">
        <f>PM보정계수!V53</f>
        <v>1</v>
      </c>
      <c r="G184" s="1296">
        <f>PM보정계수!W53</f>
        <v>1.143</v>
      </c>
      <c r="H184" s="1296">
        <f>PM보정계수!X53</f>
        <v>1.405</v>
      </c>
      <c r="I184" s="1298">
        <f>PM보정계수!Y53</f>
        <v>1.643</v>
      </c>
      <c r="J184" s="1297">
        <f>PM보정계수!Z53</f>
        <v>2.1669999999999998</v>
      </c>
    </row>
    <row r="185" spans="1:10" ht="17.100000000000001" customHeight="1">
      <c r="A185" s="479"/>
      <c r="B185" s="442" t="str">
        <f t="shared" ref="B185" si="35">B162</f>
        <v>6구간</v>
      </c>
      <c r="C185" s="1295">
        <f>PM보정계수!S54</f>
        <v>0.61899999999999999</v>
      </c>
      <c r="D185" s="1296">
        <f>PM보정계수!T54</f>
        <v>0.78600000000000003</v>
      </c>
      <c r="E185" s="1296">
        <f>PM보정계수!U54</f>
        <v>0.83299999999999996</v>
      </c>
      <c r="F185" s="1296">
        <f>PM보정계수!V54</f>
        <v>1</v>
      </c>
      <c r="G185" s="1296">
        <f>PM보정계수!W54</f>
        <v>1.143</v>
      </c>
      <c r="H185" s="1296">
        <f>PM보정계수!X54</f>
        <v>1.405</v>
      </c>
      <c r="I185" s="1296">
        <f>PM보정계수!Y54</f>
        <v>1.643</v>
      </c>
      <c r="J185" s="1297">
        <f>PM보정계수!Z54</f>
        <v>2.1669999999999998</v>
      </c>
    </row>
    <row r="186" spans="1:10" ht="17.100000000000001" customHeight="1">
      <c r="A186" s="1261"/>
      <c r="B186" s="215" t="str">
        <f t="shared" ref="B186" si="36">B163</f>
        <v>7구간</v>
      </c>
      <c r="C186" s="1295">
        <f>PM보정계수!S55</f>
        <v>0.61899999999999999</v>
      </c>
      <c r="D186" s="1296">
        <f>PM보정계수!T55</f>
        <v>0.78600000000000003</v>
      </c>
      <c r="E186" s="1296">
        <f>PM보정계수!U55</f>
        <v>0.83299999999999996</v>
      </c>
      <c r="F186" s="1296">
        <f>PM보정계수!V55</f>
        <v>1</v>
      </c>
      <c r="G186" s="1296">
        <f>PM보정계수!W55</f>
        <v>1.143</v>
      </c>
      <c r="H186" s="1296">
        <f>PM보정계수!X55</f>
        <v>1.405</v>
      </c>
      <c r="I186" s="1296">
        <f>PM보정계수!Y55</f>
        <v>1.643</v>
      </c>
      <c r="J186" s="1297">
        <f>PM보정계수!Z55</f>
        <v>2.1669999999999998</v>
      </c>
    </row>
    <row r="187" spans="1:10" ht="17.100000000000001" customHeight="1">
      <c r="A187" s="479"/>
      <c r="B187" s="442" t="str">
        <f t="shared" ref="B187" si="37">B164</f>
        <v>8구간</v>
      </c>
      <c r="C187" s="1295">
        <f>PM보정계수!S56</f>
        <v>0.61899999999999999</v>
      </c>
      <c r="D187" s="1296">
        <f>PM보정계수!T56</f>
        <v>0.78600000000000003</v>
      </c>
      <c r="E187" s="1296">
        <f>PM보정계수!U56</f>
        <v>0.83299999999999996</v>
      </c>
      <c r="F187" s="1296">
        <f>PM보정계수!V56</f>
        <v>1</v>
      </c>
      <c r="G187" s="1296">
        <f>PM보정계수!W56</f>
        <v>1.143</v>
      </c>
      <c r="H187" s="1296">
        <f>PM보정계수!X56</f>
        <v>1.405</v>
      </c>
      <c r="I187" s="1296">
        <f>PM보정계수!Y56</f>
        <v>1.643</v>
      </c>
      <c r="J187" s="1297">
        <f>PM보정계수!Z56</f>
        <v>2.1669999999999998</v>
      </c>
    </row>
    <row r="188" spans="1:10" ht="17.100000000000001" customHeight="1">
      <c r="A188" s="479"/>
      <c r="B188" s="215" t="str">
        <f t="shared" ref="B188" si="38">B165</f>
        <v>9구간</v>
      </c>
      <c r="C188" s="1295">
        <f>PM보정계수!S57</f>
        <v>0.61899999999999999</v>
      </c>
      <c r="D188" s="1296">
        <f>PM보정계수!T57</f>
        <v>0.78600000000000003</v>
      </c>
      <c r="E188" s="1296">
        <f>PM보정계수!U57</f>
        <v>0.83299999999999996</v>
      </c>
      <c r="F188" s="1296">
        <f>PM보정계수!V57</f>
        <v>1</v>
      </c>
      <c r="G188" s="1296">
        <f>PM보정계수!W57</f>
        <v>1.143</v>
      </c>
      <c r="H188" s="1296">
        <f>PM보정계수!X57</f>
        <v>1.405</v>
      </c>
      <c r="I188" s="1296">
        <f>PM보정계수!Y57</f>
        <v>1.643</v>
      </c>
      <c r="J188" s="1297">
        <f>PM보정계수!Z57</f>
        <v>2.1669999999999998</v>
      </c>
    </row>
    <row r="189" spans="1:10" ht="17.100000000000001" customHeight="1">
      <c r="A189" s="479"/>
      <c r="B189" s="215" t="str">
        <f t="shared" ref="B189" si="39">B166</f>
        <v>10구간</v>
      </c>
      <c r="C189" s="1295">
        <f>PM보정계수!S58</f>
        <v>0.61899999999999999</v>
      </c>
      <c r="D189" s="1296">
        <f>PM보정계수!T58</f>
        <v>0.78600000000000003</v>
      </c>
      <c r="E189" s="1296">
        <f>PM보정계수!U58</f>
        <v>0.83299999999999996</v>
      </c>
      <c r="F189" s="1296">
        <f>PM보정계수!V58</f>
        <v>1</v>
      </c>
      <c r="G189" s="1296">
        <f>PM보정계수!W58</f>
        <v>1.143</v>
      </c>
      <c r="H189" s="1296">
        <f>PM보정계수!X58</f>
        <v>1.405</v>
      </c>
      <c r="I189" s="1296">
        <f>PM보정계수!Y58</f>
        <v>1.643</v>
      </c>
      <c r="J189" s="1297">
        <f>PM보정계수!Z58</f>
        <v>2.1669999999999998</v>
      </c>
    </row>
    <row r="190" spans="1:10" ht="17.100000000000001" customHeight="1">
      <c r="A190" s="1251" t="str">
        <f t="shared" ref="A190:B190" si="40">A167</f>
        <v>마산</v>
      </c>
      <c r="B190" s="1262" t="str">
        <f t="shared" si="40"/>
        <v>1구간</v>
      </c>
      <c r="C190" s="1299">
        <f>PM보정계수!AD49</f>
        <v>0.68233199999999994</v>
      </c>
      <c r="D190" s="1300">
        <f>PM보정계수!AE49</f>
        <v>0.89214800000000005</v>
      </c>
      <c r="E190" s="1300">
        <f>PM보정계수!AF49</f>
        <v>1.088112</v>
      </c>
      <c r="F190" s="1300">
        <f>PM보정계수!AG49</f>
        <v>1.255112</v>
      </c>
      <c r="G190" s="1300">
        <f>PM보정계수!AH49</f>
        <v>1.418628</v>
      </c>
      <c r="H190" s="1300">
        <f>PM보정계수!AI49</f>
        <v>1.680628</v>
      </c>
      <c r="I190" s="1301">
        <f>PM보정계수!AJ49</f>
        <v>2.25848</v>
      </c>
      <c r="J190" s="1302">
        <f>PM보정계수!AK49</f>
        <v>2.8467039999999999</v>
      </c>
    </row>
    <row r="191" spans="1:10" ht="17.100000000000001" customHeight="1">
      <c r="A191" s="479" t="str">
        <f t="shared" ref="A191:B191" si="41">A168</f>
        <v>방향</v>
      </c>
      <c r="B191" s="215" t="str">
        <f t="shared" si="41"/>
        <v>2구간</v>
      </c>
      <c r="C191" s="1292">
        <f>PM보정계수!AD50</f>
        <v>0.61899999999999999</v>
      </c>
      <c r="D191" s="1293">
        <f>PM보정계수!AE50</f>
        <v>0.78600000000000003</v>
      </c>
      <c r="E191" s="1293">
        <f>PM보정계수!AF50</f>
        <v>0.83299999999999996</v>
      </c>
      <c r="F191" s="1293">
        <f>PM보정계수!AG50</f>
        <v>1</v>
      </c>
      <c r="G191" s="1293">
        <f>PM보정계수!AH50</f>
        <v>1.143</v>
      </c>
      <c r="H191" s="1293">
        <f>PM보정계수!AI50</f>
        <v>1.405</v>
      </c>
      <c r="I191" s="1303">
        <f>PM보정계수!AJ50</f>
        <v>1.643</v>
      </c>
      <c r="J191" s="1294">
        <f>PM보정계수!AK50</f>
        <v>2.1669999999999998</v>
      </c>
    </row>
    <row r="192" spans="1:10" ht="17.100000000000001" customHeight="1">
      <c r="A192" s="479"/>
      <c r="B192" s="442" t="str">
        <f t="shared" ref="B192" si="42">B169</f>
        <v>3구간</v>
      </c>
      <c r="C192" s="1292">
        <f>PM보정계수!AD51</f>
        <v>0.61899999999999999</v>
      </c>
      <c r="D192" s="1293">
        <f>PM보정계수!AE51</f>
        <v>0.78600000000000003</v>
      </c>
      <c r="E192" s="1293">
        <f>PM보정계수!AF51</f>
        <v>0.83299999999999996</v>
      </c>
      <c r="F192" s="1293">
        <f>PM보정계수!AG51</f>
        <v>1</v>
      </c>
      <c r="G192" s="1293">
        <f>PM보정계수!AH51</f>
        <v>1.143</v>
      </c>
      <c r="H192" s="1303">
        <f>PM보정계수!AI51</f>
        <v>1.405</v>
      </c>
      <c r="I192" s="1303">
        <f>PM보정계수!AJ51</f>
        <v>1.643</v>
      </c>
      <c r="J192" s="1304">
        <f>PM보정계수!AK51</f>
        <v>2.1669999999999998</v>
      </c>
    </row>
    <row r="193" spans="1:243" ht="17.100000000000001" customHeight="1">
      <c r="A193" s="479"/>
      <c r="B193" s="215" t="str">
        <f t="shared" ref="B193" si="43">B170</f>
        <v>4구간</v>
      </c>
      <c r="C193" s="1292">
        <f>PM보정계수!AD52</f>
        <v>0.61899999999999999</v>
      </c>
      <c r="D193" s="1293">
        <f>PM보정계수!AE52</f>
        <v>0.78600000000000003</v>
      </c>
      <c r="E193" s="1293">
        <f>PM보정계수!AF52</f>
        <v>0.83299999999999996</v>
      </c>
      <c r="F193" s="1293">
        <f>PM보정계수!AG52</f>
        <v>1</v>
      </c>
      <c r="G193" s="1293">
        <f>PM보정계수!AH52</f>
        <v>1.143</v>
      </c>
      <c r="H193" s="1293">
        <f>PM보정계수!AI52</f>
        <v>1.405</v>
      </c>
      <c r="I193" s="1303">
        <f>PM보정계수!AJ52</f>
        <v>1.643</v>
      </c>
      <c r="J193" s="1294">
        <f>PM보정계수!AK52</f>
        <v>2.1669999999999998</v>
      </c>
    </row>
    <row r="194" spans="1:243" ht="17.100000000000001" customHeight="1">
      <c r="A194" s="479"/>
      <c r="B194" s="215" t="str">
        <f t="shared" ref="B194" si="44">B171</f>
        <v>5구간</v>
      </c>
      <c r="C194" s="1292">
        <f>PM보정계수!AD53</f>
        <v>0.61899999999999999</v>
      </c>
      <c r="D194" s="1293">
        <f>PM보정계수!AE53</f>
        <v>0.78600000000000003</v>
      </c>
      <c r="E194" s="1293">
        <f>PM보정계수!AF53</f>
        <v>0.83299999999999996</v>
      </c>
      <c r="F194" s="1293">
        <f>PM보정계수!AG53</f>
        <v>1</v>
      </c>
      <c r="G194" s="1293">
        <f>PM보정계수!AH53</f>
        <v>1.143</v>
      </c>
      <c r="H194" s="1293">
        <f>PM보정계수!AI53</f>
        <v>1.405</v>
      </c>
      <c r="I194" s="1303">
        <f>PM보정계수!AJ53</f>
        <v>1.643</v>
      </c>
      <c r="J194" s="1294">
        <f>PM보정계수!AK53</f>
        <v>2.1669999999999998</v>
      </c>
    </row>
    <row r="195" spans="1:243" ht="17.100000000000001" customHeight="1">
      <c r="A195" s="479"/>
      <c r="B195" s="442" t="str">
        <f t="shared" ref="B195" si="45">B172</f>
        <v>6구간</v>
      </c>
      <c r="C195" s="1292">
        <f>PM보정계수!AD54</f>
        <v>0.61899999999999999</v>
      </c>
      <c r="D195" s="1293">
        <f>PM보정계수!AE54</f>
        <v>0.78600000000000003</v>
      </c>
      <c r="E195" s="1293">
        <f>PM보정계수!AF54</f>
        <v>0.83299999999999996</v>
      </c>
      <c r="F195" s="1293">
        <f>PM보정계수!AG54</f>
        <v>1</v>
      </c>
      <c r="G195" s="1293">
        <f>PM보정계수!AH54</f>
        <v>1.143</v>
      </c>
      <c r="H195" s="1293">
        <f>PM보정계수!AI54</f>
        <v>1.405</v>
      </c>
      <c r="I195" s="1303">
        <f>PM보정계수!AJ54</f>
        <v>1.643</v>
      </c>
      <c r="J195" s="1294">
        <f>PM보정계수!AK54</f>
        <v>2.1669999999999998</v>
      </c>
    </row>
    <row r="196" spans="1:243" ht="17.100000000000001" customHeight="1">
      <c r="A196" s="479"/>
      <c r="B196" s="215" t="str">
        <f t="shared" ref="B196" si="46">B173</f>
        <v>7구간</v>
      </c>
      <c r="C196" s="1292">
        <f>PM보정계수!AD55</f>
        <v>0.61899999999999999</v>
      </c>
      <c r="D196" s="1293">
        <f>PM보정계수!AE55</f>
        <v>0.78600000000000003</v>
      </c>
      <c r="E196" s="1293">
        <f>PM보정계수!AF55</f>
        <v>0.83299999999999996</v>
      </c>
      <c r="F196" s="1293">
        <f>PM보정계수!AG55</f>
        <v>1</v>
      </c>
      <c r="G196" s="1293">
        <f>PM보정계수!AH55</f>
        <v>1.143</v>
      </c>
      <c r="H196" s="1293">
        <f>PM보정계수!AI55</f>
        <v>1.405</v>
      </c>
      <c r="I196" s="1303">
        <f>PM보정계수!AJ55</f>
        <v>1.643</v>
      </c>
      <c r="J196" s="1294">
        <f>PM보정계수!AK55</f>
        <v>2.1669999999999998</v>
      </c>
    </row>
    <row r="197" spans="1:243" ht="17.100000000000001" customHeight="1">
      <c r="A197" s="479"/>
      <c r="B197" s="442" t="str">
        <f t="shared" ref="B197" si="47">B174</f>
        <v>8구간</v>
      </c>
      <c r="C197" s="1292">
        <f>PM보정계수!AD56</f>
        <v>0.61899999999999999</v>
      </c>
      <c r="D197" s="1293">
        <f>PM보정계수!AE56</f>
        <v>0.78600000000000003</v>
      </c>
      <c r="E197" s="1293">
        <f>PM보정계수!AF56</f>
        <v>0.83299999999999996</v>
      </c>
      <c r="F197" s="1293">
        <f>PM보정계수!AG56</f>
        <v>1</v>
      </c>
      <c r="G197" s="1293">
        <f>PM보정계수!AH56</f>
        <v>1.143</v>
      </c>
      <c r="H197" s="1303">
        <f>PM보정계수!AI56</f>
        <v>1.405</v>
      </c>
      <c r="I197" s="1303">
        <f>PM보정계수!AJ56</f>
        <v>1.643</v>
      </c>
      <c r="J197" s="1304">
        <f>PM보정계수!AK56</f>
        <v>2.1669999999999998</v>
      </c>
    </row>
    <row r="198" spans="1:243" ht="17.100000000000001" customHeight="1">
      <c r="A198" s="479"/>
      <c r="B198" s="215" t="str">
        <f t="shared" ref="B198" si="48">B175</f>
        <v>9구간</v>
      </c>
      <c r="C198" s="1292">
        <f>PM보정계수!AD57</f>
        <v>0.61899999999999999</v>
      </c>
      <c r="D198" s="1293">
        <f>PM보정계수!AE57</f>
        <v>0.78600000000000003</v>
      </c>
      <c r="E198" s="1293">
        <f>PM보정계수!AF57</f>
        <v>0.83299999999999996</v>
      </c>
      <c r="F198" s="1293">
        <f>PM보정계수!AG57</f>
        <v>1</v>
      </c>
      <c r="G198" s="1293">
        <f>PM보정계수!AH57</f>
        <v>1.143</v>
      </c>
      <c r="H198" s="1293">
        <f>PM보정계수!AI57</f>
        <v>1.405</v>
      </c>
      <c r="I198" s="1303">
        <f>PM보정계수!AJ57</f>
        <v>1.643</v>
      </c>
      <c r="J198" s="1294">
        <f>PM보정계수!AK57</f>
        <v>2.1669999999999998</v>
      </c>
    </row>
    <row r="199" spans="1:243" ht="17.100000000000001" customHeight="1" thickBot="1">
      <c r="A199" s="486"/>
      <c r="B199" s="88" t="str">
        <f t="shared" ref="B199" si="49">B176</f>
        <v>10구간</v>
      </c>
      <c r="C199" s="1305">
        <f>PM보정계수!AD58</f>
        <v>0.61899999999999999</v>
      </c>
      <c r="D199" s="1306">
        <f>PM보정계수!AE58</f>
        <v>0.78600000000000003</v>
      </c>
      <c r="E199" s="1306">
        <f>PM보정계수!AF58</f>
        <v>0.83299999999999996</v>
      </c>
      <c r="F199" s="1306">
        <f>PM보정계수!AG58</f>
        <v>1</v>
      </c>
      <c r="G199" s="1306">
        <f>PM보정계수!AH58</f>
        <v>1.143</v>
      </c>
      <c r="H199" s="1306">
        <f>PM보정계수!AI58</f>
        <v>1.405</v>
      </c>
      <c r="I199" s="531">
        <f>PM보정계수!AJ58</f>
        <v>1.643</v>
      </c>
      <c r="J199" s="532">
        <f>PM보정계수!AK58</f>
        <v>2.1669999999999998</v>
      </c>
    </row>
    <row r="200" spans="1:243">
      <c r="A200" s="475"/>
      <c r="B200" s="89"/>
      <c r="C200" s="433"/>
      <c r="D200" s="433"/>
      <c r="E200" s="433"/>
      <c r="F200" s="433"/>
      <c r="G200" s="433"/>
      <c r="H200" s="433"/>
      <c r="I200" s="433"/>
      <c r="J200" s="433"/>
    </row>
    <row r="201" spans="1:243" ht="14.25" thickBot="1">
      <c r="A201" s="70" t="s">
        <v>50</v>
      </c>
      <c r="B201" s="390"/>
      <c r="C201" s="390"/>
      <c r="D201" s="390"/>
      <c r="E201" s="390"/>
      <c r="F201" s="390"/>
      <c r="G201" s="390"/>
      <c r="H201" s="390"/>
      <c r="I201" s="390"/>
      <c r="J201" s="390"/>
    </row>
    <row r="202" spans="1:243" ht="17.100000000000001" customHeight="1">
      <c r="A202" s="518" t="str">
        <f>E6</f>
        <v>진주</v>
      </c>
      <c r="B202" s="519" t="str">
        <f>B7</f>
        <v>1구간</v>
      </c>
      <c r="C202" s="520" t="str">
        <f>C7</f>
        <v>2구간</v>
      </c>
      <c r="D202" s="520" t="str">
        <f>D7</f>
        <v>3구간</v>
      </c>
      <c r="E202" s="520" t="str">
        <f>E7</f>
        <v>4구간</v>
      </c>
      <c r="F202" s="520" t="str">
        <f>F7</f>
        <v>5구간</v>
      </c>
      <c r="G202" s="520" t="str">
        <f>B12</f>
        <v>6구간</v>
      </c>
      <c r="H202" s="521" t="str">
        <f>C12</f>
        <v>7구간</v>
      </c>
      <c r="I202" s="520" t="str">
        <f>D12</f>
        <v>8구간</v>
      </c>
      <c r="J202" s="520" t="str">
        <f>E12</f>
        <v>9구간</v>
      </c>
      <c r="K202" s="522" t="str">
        <f>F12</f>
        <v>10구간</v>
      </c>
      <c r="O202" s="421"/>
      <c r="P202" s="421"/>
      <c r="Q202" s="421"/>
      <c r="R202" s="421"/>
      <c r="S202" s="421"/>
      <c r="T202" s="421"/>
      <c r="U202" s="421"/>
      <c r="V202" s="421"/>
      <c r="W202" s="421"/>
      <c r="X202" s="421"/>
      <c r="Y202" s="421"/>
      <c r="Z202" s="421"/>
      <c r="AA202" s="421"/>
      <c r="AB202" s="421"/>
      <c r="AC202" s="421"/>
      <c r="AD202" s="421"/>
      <c r="AE202" s="421"/>
      <c r="AF202" s="421"/>
      <c r="AG202" s="421"/>
      <c r="AH202" s="421"/>
      <c r="AI202" s="421"/>
      <c r="AJ202" s="421"/>
      <c r="AK202" s="421"/>
      <c r="AL202" s="421"/>
      <c r="AM202" s="421"/>
      <c r="AN202" s="421"/>
      <c r="AO202" s="421"/>
      <c r="AP202" s="421"/>
      <c r="AQ202" s="421"/>
      <c r="AR202" s="421"/>
      <c r="AS202" s="421"/>
      <c r="AT202" s="421"/>
      <c r="AU202" s="421"/>
      <c r="AV202" s="421"/>
      <c r="AW202" s="421"/>
      <c r="AX202" s="421"/>
      <c r="AY202" s="421"/>
      <c r="AZ202" s="421"/>
      <c r="BA202" s="421"/>
      <c r="BB202" s="421"/>
      <c r="BC202" s="421"/>
      <c r="BD202" s="421"/>
      <c r="BE202" s="421"/>
      <c r="BF202" s="421"/>
      <c r="BG202" s="421"/>
      <c r="BH202" s="421"/>
      <c r="BI202" s="421"/>
      <c r="BJ202" s="421"/>
      <c r="BK202" s="421"/>
      <c r="BL202" s="421"/>
      <c r="BM202" s="421"/>
      <c r="BN202" s="421"/>
      <c r="BO202" s="421"/>
      <c r="BP202" s="421"/>
      <c r="BQ202" s="421"/>
      <c r="BR202" s="421"/>
      <c r="BS202" s="421"/>
      <c r="BT202" s="421"/>
      <c r="BU202" s="421"/>
      <c r="BV202" s="421"/>
      <c r="BW202" s="421"/>
      <c r="BX202" s="421"/>
      <c r="BY202" s="421"/>
      <c r="BZ202" s="421"/>
      <c r="CA202" s="421"/>
      <c r="CB202" s="421"/>
      <c r="CC202" s="421"/>
      <c r="CD202" s="421"/>
      <c r="CE202" s="421"/>
      <c r="CF202" s="421"/>
      <c r="CG202" s="421"/>
      <c r="CH202" s="421"/>
      <c r="CI202" s="421"/>
      <c r="CJ202" s="421"/>
      <c r="CK202" s="421"/>
      <c r="CL202" s="421"/>
      <c r="CM202" s="421"/>
      <c r="CN202" s="421"/>
      <c r="CO202" s="421"/>
      <c r="CP202" s="421"/>
      <c r="CQ202" s="421"/>
      <c r="CR202" s="421"/>
      <c r="CS202" s="421"/>
      <c r="CT202" s="421"/>
      <c r="CU202" s="421"/>
      <c r="CV202" s="421"/>
      <c r="CW202" s="421"/>
      <c r="CX202" s="421"/>
      <c r="CY202" s="421"/>
      <c r="CZ202" s="421"/>
      <c r="DA202" s="421"/>
      <c r="DB202" s="421"/>
      <c r="DC202" s="421"/>
      <c r="DD202" s="421"/>
      <c r="DE202" s="421"/>
      <c r="DF202" s="421"/>
      <c r="DG202" s="421"/>
      <c r="DH202" s="421"/>
      <c r="DI202" s="421"/>
      <c r="DJ202" s="421"/>
      <c r="DK202" s="421"/>
      <c r="DL202" s="421"/>
      <c r="DM202" s="421"/>
      <c r="DN202" s="421"/>
      <c r="DO202" s="421"/>
      <c r="DP202" s="421"/>
      <c r="DQ202" s="421"/>
      <c r="DR202" s="421"/>
      <c r="DS202" s="421"/>
      <c r="DT202" s="421"/>
      <c r="DU202" s="421"/>
      <c r="DV202" s="421"/>
      <c r="DW202" s="421"/>
      <c r="DX202" s="421"/>
      <c r="DY202" s="421"/>
      <c r="DZ202" s="421"/>
      <c r="EA202" s="421"/>
      <c r="EB202" s="421"/>
      <c r="EC202" s="421"/>
      <c r="ED202" s="421"/>
      <c r="EE202" s="421"/>
      <c r="EF202" s="421"/>
      <c r="EG202" s="421"/>
      <c r="EH202" s="421"/>
      <c r="EI202" s="421"/>
      <c r="EJ202" s="421"/>
      <c r="EK202" s="421"/>
      <c r="EL202" s="421"/>
      <c r="EM202" s="421"/>
      <c r="EN202" s="421"/>
      <c r="EO202" s="421"/>
      <c r="EP202" s="421"/>
      <c r="EQ202" s="421"/>
      <c r="ER202" s="421"/>
      <c r="ES202" s="421"/>
      <c r="ET202" s="421"/>
      <c r="EU202" s="421"/>
      <c r="EV202" s="421"/>
      <c r="EW202" s="421"/>
      <c r="EX202" s="421"/>
      <c r="EY202" s="421"/>
      <c r="EZ202" s="421"/>
      <c r="FA202" s="421"/>
      <c r="FB202" s="421"/>
      <c r="FC202" s="421"/>
      <c r="FD202" s="421"/>
      <c r="FE202" s="421"/>
      <c r="FF202" s="421"/>
      <c r="FG202" s="421"/>
      <c r="FH202" s="421"/>
      <c r="FI202" s="421"/>
      <c r="FJ202" s="421"/>
      <c r="FK202" s="421"/>
      <c r="FL202" s="421"/>
      <c r="FM202" s="421"/>
      <c r="FN202" s="421"/>
      <c r="FO202" s="421"/>
      <c r="FP202" s="421"/>
      <c r="FQ202" s="421"/>
      <c r="FR202" s="421"/>
      <c r="FS202" s="421"/>
      <c r="FT202" s="421"/>
      <c r="FU202" s="421"/>
      <c r="FV202" s="421"/>
      <c r="FW202" s="421"/>
      <c r="FX202" s="421"/>
      <c r="FY202" s="421"/>
      <c r="FZ202" s="421"/>
      <c r="GA202" s="421"/>
      <c r="GB202" s="421"/>
      <c r="GC202" s="421"/>
      <c r="GD202" s="421"/>
      <c r="GE202" s="421"/>
      <c r="GF202" s="421"/>
      <c r="GG202" s="421"/>
      <c r="GH202" s="421"/>
      <c r="GI202" s="421"/>
      <c r="GJ202" s="421"/>
      <c r="GK202" s="421"/>
      <c r="GL202" s="421"/>
      <c r="GM202" s="421"/>
      <c r="GN202" s="421"/>
      <c r="GO202" s="421"/>
      <c r="GP202" s="421"/>
      <c r="GQ202" s="421"/>
      <c r="GR202" s="421"/>
      <c r="GS202" s="421"/>
      <c r="GT202" s="421"/>
      <c r="GU202" s="421"/>
      <c r="GV202" s="421"/>
      <c r="GW202" s="421"/>
      <c r="GX202" s="421"/>
      <c r="GY202" s="421"/>
      <c r="GZ202" s="421"/>
      <c r="HA202" s="421"/>
      <c r="HB202" s="421"/>
      <c r="HC202" s="421"/>
      <c r="HD202" s="421"/>
      <c r="HE202" s="421"/>
      <c r="HF202" s="421"/>
      <c r="HG202" s="421"/>
      <c r="HH202" s="421"/>
      <c r="HI202" s="421"/>
      <c r="HJ202" s="421"/>
      <c r="HK202" s="421"/>
      <c r="HL202" s="421"/>
      <c r="HM202" s="421"/>
      <c r="HN202" s="421"/>
      <c r="HO202" s="421"/>
      <c r="HP202" s="421"/>
      <c r="HQ202" s="421"/>
      <c r="HR202" s="421"/>
      <c r="HS202" s="421"/>
      <c r="HT202" s="421"/>
      <c r="HU202" s="421"/>
      <c r="HV202" s="421"/>
      <c r="HW202" s="421"/>
      <c r="HX202" s="421"/>
      <c r="HY202" s="421"/>
      <c r="HZ202" s="421"/>
      <c r="IA202" s="421"/>
      <c r="IB202" s="421"/>
      <c r="IC202" s="421"/>
      <c r="ID202" s="421"/>
      <c r="IE202" s="421"/>
      <c r="IF202" s="421"/>
      <c r="IG202" s="421"/>
      <c r="IH202" s="421"/>
      <c r="II202" s="421"/>
    </row>
    <row r="203" spans="1:243" ht="17.100000000000001" customHeight="1">
      <c r="A203" s="515" t="s">
        <v>51</v>
      </c>
      <c r="B203" s="524">
        <v>1</v>
      </c>
      <c r="C203" s="525">
        <v>1</v>
      </c>
      <c r="D203" s="525">
        <v>1</v>
      </c>
      <c r="E203" s="525">
        <v>1</v>
      </c>
      <c r="F203" s="525">
        <v>1</v>
      </c>
      <c r="G203" s="525">
        <v>1</v>
      </c>
      <c r="H203" s="525">
        <v>1</v>
      </c>
      <c r="I203" s="525">
        <v>1</v>
      </c>
      <c r="J203" s="525">
        <v>1</v>
      </c>
      <c r="K203" s="526">
        <v>1</v>
      </c>
      <c r="L203" s="421"/>
      <c r="M203" s="421"/>
      <c r="N203" s="421"/>
      <c r="O203" s="421"/>
      <c r="P203" s="421"/>
      <c r="Q203" s="421"/>
      <c r="R203" s="421"/>
      <c r="S203" s="421"/>
      <c r="T203" s="421"/>
      <c r="U203" s="421"/>
      <c r="V203" s="421"/>
      <c r="W203" s="421"/>
      <c r="X203" s="421"/>
      <c r="Y203" s="421"/>
      <c r="Z203" s="421"/>
      <c r="AA203" s="421"/>
      <c r="AB203" s="421"/>
      <c r="AC203" s="421"/>
      <c r="AD203" s="421"/>
      <c r="AE203" s="421"/>
      <c r="AF203" s="421"/>
      <c r="AG203" s="421"/>
      <c r="AH203" s="421"/>
      <c r="AI203" s="421"/>
      <c r="AJ203" s="421"/>
      <c r="AK203" s="421"/>
      <c r="AL203" s="421"/>
      <c r="AM203" s="421"/>
      <c r="AN203" s="421"/>
      <c r="AO203" s="421"/>
      <c r="AP203" s="421"/>
      <c r="AQ203" s="421"/>
      <c r="AR203" s="421"/>
      <c r="AS203" s="421"/>
      <c r="AT203" s="421"/>
      <c r="AU203" s="421"/>
      <c r="AV203" s="421"/>
      <c r="AW203" s="421"/>
      <c r="AX203" s="421"/>
      <c r="AY203" s="421"/>
      <c r="AZ203" s="421"/>
      <c r="BA203" s="421"/>
      <c r="BB203" s="421"/>
      <c r="BC203" s="421"/>
      <c r="BD203" s="421"/>
      <c r="BE203" s="421"/>
      <c r="BF203" s="421"/>
      <c r="BG203" s="421"/>
      <c r="BH203" s="421"/>
      <c r="BI203" s="421"/>
      <c r="BJ203" s="421"/>
      <c r="BK203" s="421"/>
      <c r="BL203" s="421"/>
      <c r="BM203" s="421"/>
      <c r="BN203" s="421"/>
      <c r="BO203" s="421"/>
      <c r="BP203" s="421"/>
      <c r="BQ203" s="421"/>
      <c r="BR203" s="421"/>
      <c r="BS203" s="421"/>
      <c r="BT203" s="421"/>
      <c r="BU203" s="421"/>
      <c r="BV203" s="421"/>
      <c r="BW203" s="421"/>
      <c r="BX203" s="421"/>
      <c r="BY203" s="421"/>
      <c r="BZ203" s="421"/>
      <c r="CA203" s="421"/>
      <c r="CB203" s="421"/>
      <c r="CC203" s="421"/>
      <c r="CD203" s="421"/>
      <c r="CE203" s="421"/>
      <c r="CF203" s="421"/>
      <c r="CG203" s="421"/>
      <c r="CH203" s="421"/>
      <c r="CI203" s="421"/>
      <c r="CJ203" s="421"/>
      <c r="CK203" s="421"/>
      <c r="CL203" s="421"/>
      <c r="CM203" s="421"/>
      <c r="CN203" s="421"/>
      <c r="CO203" s="421"/>
      <c r="CP203" s="421"/>
      <c r="CQ203" s="421"/>
      <c r="CR203" s="421"/>
      <c r="CS203" s="421"/>
      <c r="CT203" s="421"/>
      <c r="CU203" s="421"/>
      <c r="CV203" s="421"/>
      <c r="CW203" s="421"/>
      <c r="CX203" s="421"/>
      <c r="CY203" s="421"/>
      <c r="CZ203" s="421"/>
      <c r="DA203" s="421"/>
      <c r="DB203" s="421"/>
      <c r="DC203" s="421"/>
      <c r="DD203" s="421"/>
      <c r="DE203" s="421"/>
      <c r="DF203" s="421"/>
      <c r="DG203" s="421"/>
      <c r="DH203" s="421"/>
      <c r="DI203" s="421"/>
      <c r="DJ203" s="421"/>
      <c r="DK203" s="421"/>
      <c r="DL203" s="421"/>
      <c r="DM203" s="421"/>
      <c r="DN203" s="421"/>
      <c r="DO203" s="421"/>
      <c r="DP203" s="421"/>
      <c r="DQ203" s="421"/>
      <c r="DR203" s="421"/>
      <c r="DS203" s="421"/>
      <c r="DT203" s="421"/>
      <c r="DU203" s="421"/>
      <c r="DV203" s="421"/>
      <c r="DW203" s="421"/>
      <c r="DX203" s="421"/>
      <c r="DY203" s="421"/>
      <c r="DZ203" s="421"/>
      <c r="EA203" s="421"/>
      <c r="EB203" s="421"/>
      <c r="EC203" s="421"/>
      <c r="ED203" s="421"/>
      <c r="EE203" s="421"/>
      <c r="EF203" s="421"/>
      <c r="EG203" s="421"/>
      <c r="EH203" s="421"/>
      <c r="EI203" s="421"/>
      <c r="EJ203" s="421"/>
      <c r="EK203" s="421"/>
      <c r="EL203" s="421"/>
      <c r="EM203" s="421"/>
      <c r="EN203" s="421"/>
      <c r="EO203" s="421"/>
      <c r="EP203" s="421"/>
      <c r="EQ203" s="421"/>
      <c r="ER203" s="421"/>
      <c r="ES203" s="421"/>
      <c r="ET203" s="421"/>
      <c r="EU203" s="421"/>
      <c r="EV203" s="421"/>
      <c r="EW203" s="421"/>
      <c r="EX203" s="421"/>
      <c r="EY203" s="421"/>
      <c r="EZ203" s="421"/>
      <c r="FA203" s="421"/>
      <c r="FB203" s="421"/>
      <c r="FC203" s="421"/>
      <c r="FD203" s="421"/>
      <c r="FE203" s="421"/>
      <c r="FF203" s="421"/>
      <c r="FG203" s="421"/>
      <c r="FH203" s="421"/>
      <c r="FI203" s="421"/>
      <c r="FJ203" s="421"/>
      <c r="FK203" s="421"/>
      <c r="FL203" s="421"/>
      <c r="FM203" s="421"/>
      <c r="FN203" s="421"/>
      <c r="FO203" s="421"/>
      <c r="FP203" s="421"/>
      <c r="FQ203" s="421"/>
      <c r="FR203" s="421"/>
      <c r="FS203" s="421"/>
      <c r="FT203" s="421"/>
      <c r="FU203" s="421"/>
      <c r="FV203" s="421"/>
      <c r="FW203" s="421"/>
      <c r="FX203" s="421"/>
      <c r="FY203" s="421"/>
      <c r="FZ203" s="421"/>
      <c r="GA203" s="421"/>
      <c r="GB203" s="421"/>
      <c r="GC203" s="421"/>
      <c r="GD203" s="421"/>
      <c r="GE203" s="421"/>
      <c r="GF203" s="421"/>
      <c r="GG203" s="421"/>
      <c r="GH203" s="421"/>
      <c r="GI203" s="421"/>
      <c r="GJ203" s="421"/>
      <c r="GK203" s="421"/>
      <c r="GL203" s="421"/>
      <c r="GM203" s="421"/>
      <c r="GN203" s="421"/>
      <c r="GO203" s="421"/>
      <c r="GP203" s="421"/>
      <c r="GQ203" s="421"/>
      <c r="GR203" s="421"/>
      <c r="GS203" s="421"/>
      <c r="GT203" s="421"/>
      <c r="GU203" s="421"/>
      <c r="GV203" s="421"/>
      <c r="GW203" s="421"/>
      <c r="GX203" s="421"/>
      <c r="GY203" s="421"/>
      <c r="GZ203" s="421"/>
      <c r="HA203" s="421"/>
      <c r="HB203" s="421"/>
      <c r="HC203" s="421"/>
      <c r="HD203" s="421"/>
      <c r="HE203" s="421"/>
      <c r="HF203" s="421"/>
      <c r="HG203" s="421"/>
      <c r="HH203" s="421"/>
      <c r="HI203" s="421"/>
      <c r="HJ203" s="421"/>
      <c r="HK203" s="421"/>
      <c r="HL203" s="421"/>
      <c r="HM203" s="421"/>
      <c r="HN203" s="421"/>
      <c r="HO203" s="421"/>
      <c r="HP203" s="421"/>
      <c r="HQ203" s="421"/>
      <c r="HR203" s="421"/>
      <c r="HS203" s="421"/>
      <c r="HT203" s="421"/>
      <c r="HU203" s="421"/>
      <c r="HV203" s="421"/>
      <c r="HW203" s="421"/>
      <c r="HX203" s="421"/>
      <c r="HY203" s="421"/>
      <c r="HZ203" s="421"/>
      <c r="IA203" s="421"/>
      <c r="IB203" s="421"/>
      <c r="IC203" s="421"/>
      <c r="ID203" s="421"/>
      <c r="IE203" s="421"/>
      <c r="IF203" s="421"/>
      <c r="IG203" s="421"/>
      <c r="IH203" s="421"/>
      <c r="II203" s="421"/>
    </row>
    <row r="204" spans="1:243" ht="17.100000000000001" customHeight="1">
      <c r="A204" s="482" t="str">
        <f>J6</f>
        <v>마산</v>
      </c>
      <c r="B204" s="527" t="str">
        <f t="shared" ref="B204:K204" si="50">B202</f>
        <v>1구간</v>
      </c>
      <c r="C204" s="528" t="str">
        <f t="shared" si="50"/>
        <v>2구간</v>
      </c>
      <c r="D204" s="528" t="str">
        <f t="shared" si="50"/>
        <v>3구간</v>
      </c>
      <c r="E204" s="528" t="str">
        <f t="shared" si="50"/>
        <v>4구간</v>
      </c>
      <c r="F204" s="528" t="str">
        <f t="shared" si="50"/>
        <v>5구간</v>
      </c>
      <c r="G204" s="528" t="str">
        <f t="shared" si="50"/>
        <v>6구간</v>
      </c>
      <c r="H204" s="528" t="str">
        <f t="shared" si="50"/>
        <v>7구간</v>
      </c>
      <c r="I204" s="528" t="str">
        <f t="shared" si="50"/>
        <v>8구간</v>
      </c>
      <c r="J204" s="528" t="str">
        <f t="shared" si="50"/>
        <v>9구간</v>
      </c>
      <c r="K204" s="529" t="str">
        <f t="shared" si="50"/>
        <v>10구간</v>
      </c>
      <c r="L204" s="421"/>
      <c r="M204" s="421"/>
      <c r="N204" s="421"/>
      <c r="O204" s="421"/>
      <c r="P204" s="421"/>
      <c r="Q204" s="421"/>
      <c r="R204" s="421"/>
      <c r="S204" s="421"/>
      <c r="T204" s="421"/>
      <c r="U204" s="421"/>
      <c r="V204" s="421"/>
      <c r="W204" s="421"/>
      <c r="X204" s="421"/>
      <c r="Y204" s="421"/>
      <c r="Z204" s="421"/>
      <c r="AA204" s="421"/>
      <c r="AB204" s="421"/>
      <c r="AC204" s="421"/>
      <c r="AD204" s="421"/>
      <c r="AE204" s="421"/>
      <c r="AF204" s="421"/>
      <c r="AG204" s="421"/>
      <c r="AH204" s="421"/>
      <c r="AI204" s="421"/>
      <c r="AJ204" s="421"/>
      <c r="AK204" s="421"/>
      <c r="AL204" s="421"/>
      <c r="AM204" s="421"/>
      <c r="AN204" s="421"/>
      <c r="AO204" s="421"/>
      <c r="AP204" s="421"/>
      <c r="AQ204" s="421"/>
      <c r="AR204" s="421"/>
      <c r="AS204" s="421"/>
      <c r="AT204" s="421"/>
      <c r="AU204" s="421"/>
      <c r="AV204" s="421"/>
      <c r="AW204" s="421"/>
      <c r="AX204" s="421"/>
      <c r="AY204" s="421"/>
      <c r="AZ204" s="421"/>
      <c r="BA204" s="421"/>
      <c r="BB204" s="421"/>
      <c r="BC204" s="421"/>
      <c r="BD204" s="421"/>
      <c r="BE204" s="421"/>
      <c r="BF204" s="421"/>
      <c r="BG204" s="421"/>
      <c r="BH204" s="421"/>
      <c r="BI204" s="421"/>
      <c r="BJ204" s="421"/>
      <c r="BK204" s="421"/>
      <c r="BL204" s="421"/>
      <c r="BM204" s="421"/>
      <c r="BN204" s="421"/>
      <c r="BO204" s="421"/>
      <c r="BP204" s="421"/>
      <c r="BQ204" s="421"/>
      <c r="BR204" s="421"/>
      <c r="BS204" s="421"/>
      <c r="BT204" s="421"/>
      <c r="BU204" s="421"/>
      <c r="BV204" s="421"/>
      <c r="BW204" s="421"/>
      <c r="BX204" s="421"/>
      <c r="BY204" s="421"/>
      <c r="BZ204" s="421"/>
      <c r="CA204" s="421"/>
      <c r="CB204" s="421"/>
      <c r="CC204" s="421"/>
      <c r="CD204" s="421"/>
      <c r="CE204" s="421"/>
      <c r="CF204" s="421"/>
      <c r="CG204" s="421"/>
      <c r="CH204" s="421"/>
      <c r="CI204" s="421"/>
      <c r="CJ204" s="421"/>
      <c r="CK204" s="421"/>
      <c r="CL204" s="421"/>
      <c r="CM204" s="421"/>
      <c r="CN204" s="421"/>
      <c r="CO204" s="421"/>
      <c r="CP204" s="421"/>
      <c r="CQ204" s="421"/>
      <c r="CR204" s="421"/>
      <c r="CS204" s="421"/>
      <c r="CT204" s="421"/>
      <c r="CU204" s="421"/>
      <c r="CV204" s="421"/>
      <c r="CW204" s="421"/>
      <c r="CX204" s="421"/>
      <c r="CY204" s="421"/>
      <c r="CZ204" s="421"/>
      <c r="DA204" s="421"/>
      <c r="DB204" s="421"/>
      <c r="DC204" s="421"/>
      <c r="DD204" s="421"/>
      <c r="DE204" s="421"/>
      <c r="DF204" s="421"/>
      <c r="DG204" s="421"/>
      <c r="DH204" s="421"/>
      <c r="DI204" s="421"/>
      <c r="DJ204" s="421"/>
      <c r="DK204" s="421"/>
      <c r="DL204" s="421"/>
      <c r="DM204" s="421"/>
      <c r="DN204" s="421"/>
      <c r="DO204" s="421"/>
      <c r="DP204" s="421"/>
      <c r="DQ204" s="421"/>
      <c r="DR204" s="421"/>
      <c r="DS204" s="421"/>
      <c r="DT204" s="421"/>
      <c r="DU204" s="421"/>
      <c r="DV204" s="421"/>
      <c r="DW204" s="421"/>
      <c r="DX204" s="421"/>
      <c r="DY204" s="421"/>
      <c r="DZ204" s="421"/>
      <c r="EA204" s="421"/>
      <c r="EB204" s="421"/>
      <c r="EC204" s="421"/>
      <c r="ED204" s="421"/>
      <c r="EE204" s="421"/>
      <c r="EF204" s="421"/>
      <c r="EG204" s="421"/>
      <c r="EH204" s="421"/>
      <c r="EI204" s="421"/>
      <c r="EJ204" s="421"/>
      <c r="EK204" s="421"/>
      <c r="EL204" s="421"/>
      <c r="EM204" s="421"/>
      <c r="EN204" s="421"/>
      <c r="EO204" s="421"/>
      <c r="EP204" s="421"/>
      <c r="EQ204" s="421"/>
      <c r="ER204" s="421"/>
      <c r="ES204" s="421"/>
      <c r="ET204" s="421"/>
      <c r="EU204" s="421"/>
      <c r="EV204" s="421"/>
      <c r="EW204" s="421"/>
      <c r="EX204" s="421"/>
      <c r="EY204" s="421"/>
      <c r="EZ204" s="421"/>
      <c r="FA204" s="421"/>
      <c r="FB204" s="421"/>
      <c r="FC204" s="421"/>
      <c r="FD204" s="421"/>
      <c r="FE204" s="421"/>
      <c r="FF204" s="421"/>
      <c r="FG204" s="421"/>
      <c r="FH204" s="421"/>
      <c r="FI204" s="421"/>
      <c r="FJ204" s="421"/>
      <c r="FK204" s="421"/>
      <c r="FL204" s="421"/>
      <c r="FM204" s="421"/>
      <c r="FN204" s="421"/>
      <c r="FO204" s="421"/>
      <c r="FP204" s="421"/>
      <c r="FQ204" s="421"/>
      <c r="FR204" s="421"/>
      <c r="FS204" s="421"/>
      <c r="FT204" s="421"/>
      <c r="FU204" s="421"/>
      <c r="FV204" s="421"/>
      <c r="FW204" s="421"/>
      <c r="FX204" s="421"/>
      <c r="FY204" s="421"/>
      <c r="FZ204" s="421"/>
      <c r="GA204" s="421"/>
      <c r="GB204" s="421"/>
      <c r="GC204" s="421"/>
      <c r="GD204" s="421"/>
      <c r="GE204" s="421"/>
      <c r="GF204" s="421"/>
      <c r="GG204" s="421"/>
      <c r="GH204" s="421"/>
      <c r="GI204" s="421"/>
      <c r="GJ204" s="421"/>
      <c r="GK204" s="421"/>
      <c r="GL204" s="421"/>
      <c r="GM204" s="421"/>
      <c r="GN204" s="421"/>
      <c r="GO204" s="421"/>
      <c r="GP204" s="421"/>
      <c r="GQ204" s="421"/>
      <c r="GR204" s="421"/>
      <c r="GS204" s="421"/>
      <c r="GT204" s="421"/>
      <c r="GU204" s="421"/>
      <c r="GV204" s="421"/>
      <c r="GW204" s="421"/>
      <c r="GX204" s="421"/>
      <c r="GY204" s="421"/>
      <c r="GZ204" s="421"/>
      <c r="HA204" s="421"/>
      <c r="HB204" s="421"/>
      <c r="HC204" s="421"/>
      <c r="HD204" s="421"/>
      <c r="HE204" s="421"/>
      <c r="HF204" s="421"/>
      <c r="HG204" s="421"/>
      <c r="HH204" s="421"/>
      <c r="HI204" s="421"/>
      <c r="HJ204" s="421"/>
      <c r="HK204" s="421"/>
      <c r="HL204" s="421"/>
      <c r="HM204" s="421"/>
      <c r="HN204" s="421"/>
      <c r="HO204" s="421"/>
      <c r="HP204" s="421"/>
      <c r="HQ204" s="421"/>
      <c r="HR204" s="421"/>
      <c r="HS204" s="421"/>
      <c r="HT204" s="421"/>
      <c r="HU204" s="421"/>
      <c r="HV204" s="421"/>
      <c r="HW204" s="421"/>
      <c r="HX204" s="421"/>
      <c r="HY204" s="421"/>
      <c r="HZ204" s="421"/>
      <c r="IA204" s="421"/>
      <c r="IB204" s="421"/>
      <c r="IC204" s="421"/>
      <c r="ID204" s="421"/>
      <c r="IE204" s="421"/>
      <c r="IF204" s="421"/>
      <c r="IG204" s="421"/>
      <c r="IH204" s="421"/>
      <c r="II204" s="421"/>
    </row>
    <row r="205" spans="1:243" ht="17.100000000000001" customHeight="1" thickBot="1">
      <c r="A205" s="486" t="s">
        <v>51</v>
      </c>
      <c r="B205" s="530">
        <v>1</v>
      </c>
      <c r="C205" s="531">
        <v>1</v>
      </c>
      <c r="D205" s="531">
        <v>1</v>
      </c>
      <c r="E205" s="531">
        <v>1</v>
      </c>
      <c r="F205" s="531">
        <v>1</v>
      </c>
      <c r="G205" s="531">
        <v>1</v>
      </c>
      <c r="H205" s="531">
        <v>1</v>
      </c>
      <c r="I205" s="531">
        <v>1</v>
      </c>
      <c r="J205" s="531">
        <v>1</v>
      </c>
      <c r="K205" s="532">
        <v>1</v>
      </c>
      <c r="L205" s="421"/>
      <c r="M205" s="421"/>
      <c r="N205" s="421"/>
      <c r="O205" s="421"/>
      <c r="P205" s="421"/>
      <c r="Q205" s="421"/>
      <c r="R205" s="421"/>
      <c r="S205" s="421"/>
      <c r="T205" s="421"/>
      <c r="U205" s="421"/>
      <c r="V205" s="421"/>
      <c r="W205" s="421"/>
      <c r="X205" s="421"/>
      <c r="Y205" s="421"/>
      <c r="Z205" s="421"/>
      <c r="AA205" s="421"/>
      <c r="AB205" s="421"/>
      <c r="AC205" s="421"/>
      <c r="AD205" s="421"/>
      <c r="AE205" s="421"/>
      <c r="AF205" s="421"/>
      <c r="AG205" s="421"/>
      <c r="AH205" s="421"/>
      <c r="AI205" s="421"/>
      <c r="AJ205" s="421"/>
      <c r="AK205" s="421"/>
      <c r="AL205" s="421"/>
      <c r="AM205" s="421"/>
      <c r="AN205" s="421"/>
      <c r="AO205" s="421"/>
      <c r="AP205" s="421"/>
      <c r="AQ205" s="421"/>
      <c r="AR205" s="421"/>
      <c r="AS205" s="421"/>
      <c r="AT205" s="421"/>
      <c r="AU205" s="421"/>
      <c r="AV205" s="421"/>
      <c r="AW205" s="421"/>
      <c r="AX205" s="421"/>
      <c r="AY205" s="421"/>
      <c r="AZ205" s="421"/>
      <c r="BA205" s="421"/>
      <c r="BB205" s="421"/>
      <c r="BC205" s="421"/>
      <c r="BD205" s="421"/>
      <c r="BE205" s="421"/>
      <c r="BF205" s="421"/>
      <c r="BG205" s="421"/>
      <c r="BH205" s="421"/>
      <c r="BI205" s="421"/>
      <c r="BJ205" s="421"/>
      <c r="BK205" s="421"/>
      <c r="BL205" s="421"/>
      <c r="BM205" s="421"/>
      <c r="BN205" s="421"/>
      <c r="BO205" s="421"/>
      <c r="BP205" s="421"/>
      <c r="BQ205" s="421"/>
      <c r="BR205" s="421"/>
      <c r="BS205" s="421"/>
      <c r="BT205" s="421"/>
      <c r="BU205" s="421"/>
      <c r="BV205" s="421"/>
      <c r="BW205" s="421"/>
      <c r="BX205" s="421"/>
      <c r="BY205" s="421"/>
      <c r="BZ205" s="421"/>
      <c r="CA205" s="421"/>
      <c r="CB205" s="421"/>
      <c r="CC205" s="421"/>
      <c r="CD205" s="421"/>
      <c r="CE205" s="421"/>
      <c r="CF205" s="421"/>
      <c r="CG205" s="421"/>
      <c r="CH205" s="421"/>
      <c r="CI205" s="421"/>
      <c r="CJ205" s="421"/>
      <c r="CK205" s="421"/>
      <c r="CL205" s="421"/>
      <c r="CM205" s="421"/>
      <c r="CN205" s="421"/>
      <c r="CO205" s="421"/>
      <c r="CP205" s="421"/>
      <c r="CQ205" s="421"/>
      <c r="CR205" s="421"/>
      <c r="CS205" s="421"/>
      <c r="CT205" s="421"/>
      <c r="CU205" s="421"/>
      <c r="CV205" s="421"/>
      <c r="CW205" s="421"/>
      <c r="CX205" s="421"/>
      <c r="CY205" s="421"/>
      <c r="CZ205" s="421"/>
      <c r="DA205" s="421"/>
      <c r="DB205" s="421"/>
      <c r="DC205" s="421"/>
      <c r="DD205" s="421"/>
      <c r="DE205" s="421"/>
      <c r="DF205" s="421"/>
      <c r="DG205" s="421"/>
      <c r="DH205" s="421"/>
      <c r="DI205" s="421"/>
      <c r="DJ205" s="421"/>
      <c r="DK205" s="421"/>
      <c r="DL205" s="421"/>
      <c r="DM205" s="421"/>
      <c r="DN205" s="421"/>
      <c r="DO205" s="421"/>
      <c r="DP205" s="421"/>
      <c r="DQ205" s="421"/>
      <c r="DR205" s="421"/>
      <c r="DS205" s="421"/>
      <c r="DT205" s="421"/>
      <c r="DU205" s="421"/>
      <c r="DV205" s="421"/>
      <c r="DW205" s="421"/>
      <c r="DX205" s="421"/>
      <c r="DY205" s="421"/>
      <c r="DZ205" s="421"/>
      <c r="EA205" s="421"/>
      <c r="EB205" s="421"/>
      <c r="EC205" s="421"/>
      <c r="ED205" s="421"/>
      <c r="EE205" s="421"/>
      <c r="EF205" s="421"/>
      <c r="EG205" s="421"/>
      <c r="EH205" s="421"/>
      <c r="EI205" s="421"/>
      <c r="EJ205" s="421"/>
      <c r="EK205" s="421"/>
      <c r="EL205" s="421"/>
      <c r="EM205" s="421"/>
      <c r="EN205" s="421"/>
      <c r="EO205" s="421"/>
      <c r="EP205" s="421"/>
      <c r="EQ205" s="421"/>
      <c r="ER205" s="421"/>
      <c r="ES205" s="421"/>
      <c r="ET205" s="421"/>
      <c r="EU205" s="421"/>
      <c r="EV205" s="421"/>
      <c r="EW205" s="421"/>
      <c r="EX205" s="421"/>
      <c r="EY205" s="421"/>
      <c r="EZ205" s="421"/>
      <c r="FA205" s="421"/>
      <c r="FB205" s="421"/>
      <c r="FC205" s="421"/>
      <c r="FD205" s="421"/>
      <c r="FE205" s="421"/>
      <c r="FF205" s="421"/>
      <c r="FG205" s="421"/>
      <c r="FH205" s="421"/>
      <c r="FI205" s="421"/>
      <c r="FJ205" s="421"/>
      <c r="FK205" s="421"/>
      <c r="FL205" s="421"/>
      <c r="FM205" s="421"/>
      <c r="FN205" s="421"/>
      <c r="FO205" s="421"/>
      <c r="FP205" s="421"/>
      <c r="FQ205" s="421"/>
      <c r="FR205" s="421"/>
      <c r="FS205" s="421"/>
      <c r="FT205" s="421"/>
      <c r="FU205" s="421"/>
      <c r="FV205" s="421"/>
      <c r="FW205" s="421"/>
      <c r="FX205" s="421"/>
      <c r="FY205" s="421"/>
      <c r="FZ205" s="421"/>
      <c r="GA205" s="421"/>
      <c r="GB205" s="421"/>
      <c r="GC205" s="421"/>
      <c r="GD205" s="421"/>
      <c r="GE205" s="421"/>
      <c r="GF205" s="421"/>
      <c r="GG205" s="421"/>
      <c r="GH205" s="421"/>
      <c r="GI205" s="421"/>
      <c r="GJ205" s="421"/>
      <c r="GK205" s="421"/>
      <c r="GL205" s="421"/>
      <c r="GM205" s="421"/>
      <c r="GN205" s="421"/>
      <c r="GO205" s="421"/>
      <c r="GP205" s="421"/>
      <c r="GQ205" s="421"/>
      <c r="GR205" s="421"/>
      <c r="GS205" s="421"/>
      <c r="GT205" s="421"/>
      <c r="GU205" s="421"/>
      <c r="GV205" s="421"/>
      <c r="GW205" s="421"/>
      <c r="GX205" s="421"/>
      <c r="GY205" s="421"/>
      <c r="GZ205" s="421"/>
      <c r="HA205" s="421"/>
      <c r="HB205" s="421"/>
      <c r="HC205" s="421"/>
      <c r="HD205" s="421"/>
      <c r="HE205" s="421"/>
      <c r="HF205" s="421"/>
      <c r="HG205" s="421"/>
      <c r="HH205" s="421"/>
      <c r="HI205" s="421"/>
      <c r="HJ205" s="421"/>
      <c r="HK205" s="421"/>
      <c r="HL205" s="421"/>
      <c r="HM205" s="421"/>
      <c r="HN205" s="421"/>
      <c r="HO205" s="421"/>
      <c r="HP205" s="421"/>
      <c r="HQ205" s="421"/>
      <c r="HR205" s="421"/>
      <c r="HS205" s="421"/>
      <c r="HT205" s="421"/>
      <c r="HU205" s="421"/>
      <c r="HV205" s="421"/>
      <c r="HW205" s="421"/>
      <c r="HX205" s="421"/>
      <c r="HY205" s="421"/>
      <c r="HZ205" s="421"/>
      <c r="IA205" s="421"/>
      <c r="IB205" s="421"/>
      <c r="IC205" s="421"/>
      <c r="ID205" s="421"/>
      <c r="IE205" s="421"/>
      <c r="IF205" s="421"/>
      <c r="IG205" s="421"/>
      <c r="IH205" s="421"/>
      <c r="II205" s="421"/>
    </row>
    <row r="206" spans="1:243">
      <c r="A206" s="475"/>
      <c r="B206" s="433"/>
      <c r="C206" s="433"/>
      <c r="D206" s="390"/>
      <c r="E206" s="390"/>
      <c r="F206" s="390"/>
      <c r="G206" s="390"/>
      <c r="H206" s="390"/>
      <c r="I206" s="390"/>
      <c r="J206" s="390"/>
      <c r="O206" s="421"/>
      <c r="P206" s="421"/>
      <c r="Q206" s="421"/>
      <c r="R206" s="421"/>
      <c r="S206" s="421"/>
      <c r="T206" s="421"/>
      <c r="U206" s="421"/>
      <c r="V206" s="421"/>
      <c r="W206" s="421"/>
      <c r="X206" s="421"/>
      <c r="Y206" s="421"/>
      <c r="Z206" s="421"/>
      <c r="AA206" s="421"/>
      <c r="AB206" s="421"/>
      <c r="AC206" s="421"/>
      <c r="AD206" s="421"/>
      <c r="AE206" s="421"/>
      <c r="AF206" s="421"/>
      <c r="AG206" s="421"/>
      <c r="AH206" s="421"/>
      <c r="AI206" s="421"/>
      <c r="AJ206" s="421"/>
      <c r="AK206" s="421"/>
      <c r="AL206" s="421"/>
      <c r="AM206" s="421"/>
      <c r="AN206" s="421"/>
      <c r="AO206" s="421"/>
      <c r="AP206" s="421"/>
      <c r="AQ206" s="421"/>
      <c r="AR206" s="421"/>
      <c r="AS206" s="421"/>
      <c r="AT206" s="421"/>
      <c r="AU206" s="421"/>
      <c r="AV206" s="421"/>
      <c r="AW206" s="421"/>
      <c r="AX206" s="421"/>
      <c r="AY206" s="421"/>
      <c r="AZ206" s="421"/>
      <c r="BA206" s="421"/>
      <c r="BB206" s="421"/>
      <c r="BC206" s="421"/>
      <c r="BD206" s="421"/>
      <c r="BE206" s="421"/>
      <c r="BF206" s="421"/>
      <c r="BG206" s="421"/>
      <c r="BH206" s="421"/>
      <c r="BI206" s="421"/>
      <c r="BJ206" s="421"/>
      <c r="BK206" s="421"/>
      <c r="BL206" s="421"/>
      <c r="BM206" s="421"/>
      <c r="BN206" s="421"/>
      <c r="BO206" s="421"/>
      <c r="BP206" s="421"/>
      <c r="BQ206" s="421"/>
      <c r="BR206" s="421"/>
      <c r="BS206" s="421"/>
      <c r="BT206" s="421"/>
      <c r="BU206" s="421"/>
      <c r="BV206" s="421"/>
      <c r="BW206" s="421"/>
      <c r="BX206" s="421"/>
      <c r="BY206" s="421"/>
      <c r="BZ206" s="421"/>
      <c r="CA206" s="421"/>
      <c r="CB206" s="421"/>
      <c r="CC206" s="421"/>
      <c r="CD206" s="421"/>
      <c r="CE206" s="421"/>
      <c r="CF206" s="421"/>
      <c r="CG206" s="421"/>
      <c r="CH206" s="421"/>
      <c r="CI206" s="421"/>
      <c r="CJ206" s="421"/>
      <c r="CK206" s="421"/>
      <c r="CL206" s="421"/>
      <c r="CM206" s="421"/>
      <c r="CN206" s="421"/>
      <c r="CO206" s="421"/>
      <c r="CP206" s="421"/>
      <c r="CQ206" s="421"/>
      <c r="CR206" s="421"/>
      <c r="CS206" s="421"/>
      <c r="CT206" s="421"/>
      <c r="CU206" s="421"/>
      <c r="CV206" s="421"/>
      <c r="CW206" s="421"/>
      <c r="CX206" s="421"/>
      <c r="CY206" s="421"/>
      <c r="CZ206" s="421"/>
      <c r="DA206" s="421"/>
      <c r="DB206" s="421"/>
      <c r="DC206" s="421"/>
      <c r="DD206" s="421"/>
      <c r="DE206" s="421"/>
      <c r="DF206" s="421"/>
      <c r="DG206" s="421"/>
      <c r="DH206" s="421"/>
      <c r="DI206" s="421"/>
      <c r="DJ206" s="421"/>
      <c r="DK206" s="421"/>
      <c r="DL206" s="421"/>
      <c r="DM206" s="421"/>
      <c r="DN206" s="421"/>
      <c r="DO206" s="421"/>
      <c r="DP206" s="421"/>
      <c r="DQ206" s="421"/>
      <c r="DR206" s="421"/>
      <c r="DS206" s="421"/>
      <c r="DT206" s="421"/>
      <c r="DU206" s="421"/>
      <c r="DV206" s="421"/>
      <c r="DW206" s="421"/>
      <c r="DX206" s="421"/>
      <c r="DY206" s="421"/>
      <c r="DZ206" s="421"/>
      <c r="EA206" s="421"/>
      <c r="EB206" s="421"/>
      <c r="EC206" s="421"/>
      <c r="ED206" s="421"/>
      <c r="EE206" s="421"/>
      <c r="EF206" s="421"/>
      <c r="EG206" s="421"/>
      <c r="EH206" s="421"/>
      <c r="EI206" s="421"/>
      <c r="EJ206" s="421"/>
      <c r="EK206" s="421"/>
      <c r="EL206" s="421"/>
      <c r="EM206" s="421"/>
      <c r="EN206" s="421"/>
      <c r="EO206" s="421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21"/>
      <c r="FL206" s="421"/>
      <c r="FM206" s="421"/>
      <c r="FN206" s="421"/>
      <c r="FO206" s="421"/>
      <c r="FP206" s="421"/>
      <c r="FQ206" s="421"/>
      <c r="FR206" s="421"/>
      <c r="FS206" s="421"/>
      <c r="FT206" s="421"/>
      <c r="FU206" s="421"/>
      <c r="FV206" s="421"/>
      <c r="FW206" s="421"/>
      <c r="FX206" s="421"/>
      <c r="FY206" s="421"/>
      <c r="FZ206" s="421"/>
      <c r="GA206" s="421"/>
      <c r="GB206" s="421"/>
      <c r="GC206" s="421"/>
      <c r="GD206" s="421"/>
      <c r="GE206" s="421"/>
      <c r="GF206" s="421"/>
      <c r="GG206" s="421"/>
      <c r="GH206" s="421"/>
      <c r="GI206" s="421"/>
      <c r="GJ206" s="421"/>
      <c r="GK206" s="421"/>
      <c r="GL206" s="421"/>
      <c r="GM206" s="421"/>
      <c r="GN206" s="421"/>
      <c r="GO206" s="421"/>
      <c r="GP206" s="421"/>
      <c r="GQ206" s="421"/>
      <c r="GR206" s="421"/>
      <c r="GS206" s="421"/>
      <c r="GT206" s="421"/>
      <c r="GU206" s="421"/>
      <c r="GV206" s="421"/>
      <c r="GW206" s="421"/>
      <c r="GX206" s="421"/>
      <c r="GY206" s="421"/>
      <c r="GZ206" s="421"/>
      <c r="HA206" s="421"/>
      <c r="HB206" s="421"/>
      <c r="HC206" s="421"/>
      <c r="HD206" s="421"/>
      <c r="HE206" s="421"/>
      <c r="HF206" s="421"/>
      <c r="HG206" s="421"/>
      <c r="HH206" s="421"/>
      <c r="HI206" s="421"/>
      <c r="HJ206" s="421"/>
      <c r="HK206" s="421"/>
      <c r="HL206" s="421"/>
      <c r="HM206" s="421"/>
      <c r="HN206" s="421"/>
      <c r="HO206" s="421"/>
      <c r="HP206" s="421"/>
      <c r="HQ206" s="421"/>
      <c r="HR206" s="421"/>
      <c r="HS206" s="421"/>
      <c r="HT206" s="421"/>
      <c r="HU206" s="421"/>
      <c r="HV206" s="421"/>
      <c r="HW206" s="421"/>
      <c r="HX206" s="421"/>
      <c r="HY206" s="421"/>
      <c r="HZ206" s="421"/>
      <c r="IA206" s="421"/>
      <c r="IB206" s="421"/>
      <c r="IC206" s="421"/>
      <c r="ID206" s="421"/>
      <c r="IE206" s="421"/>
      <c r="IF206" s="421"/>
      <c r="IG206" s="421"/>
      <c r="IH206" s="421"/>
      <c r="II206" s="421"/>
    </row>
    <row r="207" spans="1:243">
      <c r="A207" s="70" t="s">
        <v>52</v>
      </c>
      <c r="B207" s="390"/>
      <c r="C207" s="390"/>
      <c r="D207" s="390"/>
      <c r="E207" s="390"/>
      <c r="F207" s="390"/>
      <c r="G207" s="432"/>
      <c r="H207" s="432"/>
      <c r="I207" s="390"/>
      <c r="J207" s="390"/>
      <c r="O207" s="421"/>
      <c r="P207" s="421"/>
      <c r="Q207" s="421"/>
      <c r="R207" s="421"/>
      <c r="S207" s="421"/>
      <c r="T207" s="421"/>
      <c r="U207" s="421"/>
      <c r="V207" s="421"/>
      <c r="W207" s="421"/>
      <c r="X207" s="421"/>
      <c r="Y207" s="421"/>
      <c r="Z207" s="421"/>
      <c r="AA207" s="421"/>
      <c r="AB207" s="421"/>
      <c r="AC207" s="421"/>
      <c r="AD207" s="421"/>
      <c r="AE207" s="421"/>
      <c r="AF207" s="421"/>
      <c r="AG207" s="421"/>
      <c r="AH207" s="421"/>
      <c r="AI207" s="421"/>
      <c r="AJ207" s="421"/>
      <c r="AK207" s="421"/>
      <c r="AL207" s="421"/>
      <c r="AM207" s="421"/>
      <c r="AN207" s="421"/>
      <c r="AO207" s="421"/>
      <c r="AP207" s="421"/>
      <c r="AQ207" s="421"/>
      <c r="AR207" s="421"/>
      <c r="AS207" s="421"/>
      <c r="AT207" s="421"/>
      <c r="AU207" s="421"/>
      <c r="AV207" s="421"/>
      <c r="AW207" s="421"/>
      <c r="AX207" s="421"/>
      <c r="AY207" s="421"/>
      <c r="AZ207" s="421"/>
      <c r="BA207" s="421"/>
      <c r="BB207" s="421"/>
      <c r="BC207" s="421"/>
      <c r="BD207" s="421"/>
      <c r="BE207" s="421"/>
      <c r="BF207" s="421"/>
      <c r="BG207" s="421"/>
      <c r="BH207" s="421"/>
      <c r="BI207" s="421"/>
      <c r="BJ207" s="421"/>
      <c r="BK207" s="421"/>
      <c r="BL207" s="421"/>
      <c r="BM207" s="421"/>
      <c r="BN207" s="421"/>
      <c r="BO207" s="421"/>
      <c r="BP207" s="421"/>
      <c r="BQ207" s="421"/>
      <c r="BR207" s="421"/>
      <c r="BS207" s="421"/>
      <c r="BT207" s="421"/>
      <c r="BU207" s="421"/>
      <c r="BV207" s="421"/>
      <c r="BW207" s="421"/>
      <c r="BX207" s="421"/>
      <c r="BY207" s="421"/>
      <c r="BZ207" s="421"/>
      <c r="CA207" s="421"/>
      <c r="CB207" s="421"/>
      <c r="CC207" s="421"/>
      <c r="CD207" s="421"/>
      <c r="CE207" s="421"/>
      <c r="CF207" s="421"/>
      <c r="CG207" s="421"/>
      <c r="CH207" s="421"/>
      <c r="CI207" s="421"/>
      <c r="CJ207" s="421"/>
      <c r="CK207" s="421"/>
      <c r="CL207" s="421"/>
      <c r="CM207" s="421"/>
      <c r="CN207" s="421"/>
      <c r="CO207" s="421"/>
      <c r="CP207" s="421"/>
      <c r="CQ207" s="421"/>
      <c r="CR207" s="421"/>
      <c r="CS207" s="421"/>
      <c r="CT207" s="421"/>
      <c r="CU207" s="421"/>
      <c r="CV207" s="421"/>
      <c r="CW207" s="421"/>
      <c r="CX207" s="421"/>
      <c r="CY207" s="421"/>
      <c r="CZ207" s="421"/>
      <c r="DA207" s="421"/>
      <c r="DB207" s="421"/>
      <c r="DC207" s="421"/>
      <c r="DD207" s="421"/>
      <c r="DE207" s="421"/>
      <c r="DF207" s="421"/>
      <c r="DG207" s="421"/>
      <c r="DH207" s="421"/>
      <c r="DI207" s="421"/>
      <c r="DJ207" s="421"/>
      <c r="DK207" s="421"/>
      <c r="DL207" s="421"/>
      <c r="DM207" s="421"/>
      <c r="DN207" s="421"/>
      <c r="DO207" s="421"/>
      <c r="DP207" s="421"/>
      <c r="DQ207" s="421"/>
      <c r="DR207" s="421"/>
      <c r="DS207" s="421"/>
      <c r="DT207" s="421"/>
      <c r="DU207" s="421"/>
      <c r="DV207" s="421"/>
      <c r="DW207" s="421"/>
      <c r="DX207" s="421"/>
      <c r="DY207" s="421"/>
      <c r="DZ207" s="421"/>
      <c r="EA207" s="421"/>
      <c r="EB207" s="421"/>
      <c r="EC207" s="421"/>
      <c r="ED207" s="421"/>
      <c r="EE207" s="421"/>
      <c r="EF207" s="421"/>
      <c r="EG207" s="421"/>
      <c r="EH207" s="421"/>
      <c r="EI207" s="421"/>
      <c r="EJ207" s="421"/>
      <c r="EK207" s="421"/>
      <c r="EL207" s="421"/>
      <c r="EM207" s="421"/>
      <c r="EN207" s="421"/>
      <c r="EO207" s="421"/>
      <c r="EP207" s="421"/>
      <c r="EQ207" s="421"/>
      <c r="ER207" s="421"/>
      <c r="ES207" s="421"/>
      <c r="ET207" s="421"/>
      <c r="EU207" s="421"/>
      <c r="EV207" s="421"/>
      <c r="EW207" s="421"/>
      <c r="EX207" s="421"/>
      <c r="EY207" s="421"/>
      <c r="EZ207" s="421"/>
      <c r="FA207" s="421"/>
      <c r="FB207" s="421"/>
      <c r="FC207" s="421"/>
      <c r="FD207" s="421"/>
      <c r="FE207" s="421"/>
      <c r="FF207" s="421"/>
      <c r="FG207" s="421"/>
      <c r="FH207" s="421"/>
      <c r="FI207" s="421"/>
      <c r="FJ207" s="421"/>
      <c r="FK207" s="421"/>
      <c r="FL207" s="421"/>
      <c r="FM207" s="421"/>
      <c r="FN207" s="421"/>
      <c r="FO207" s="421"/>
      <c r="FP207" s="421"/>
      <c r="FQ207" s="421"/>
      <c r="FR207" s="421"/>
      <c r="FS207" s="421"/>
      <c r="FT207" s="421"/>
      <c r="FU207" s="421"/>
      <c r="FV207" s="421"/>
      <c r="FW207" s="421"/>
      <c r="FX207" s="421"/>
      <c r="FY207" s="421"/>
      <c r="FZ207" s="421"/>
      <c r="GA207" s="421"/>
      <c r="GB207" s="421"/>
      <c r="GC207" s="421"/>
      <c r="GD207" s="421"/>
      <c r="GE207" s="421"/>
      <c r="GF207" s="421"/>
      <c r="GG207" s="421"/>
      <c r="GH207" s="421"/>
      <c r="GI207" s="421"/>
      <c r="GJ207" s="421"/>
      <c r="GK207" s="421"/>
      <c r="GL207" s="421"/>
      <c r="GM207" s="421"/>
      <c r="GN207" s="421"/>
      <c r="GO207" s="421"/>
      <c r="GP207" s="421"/>
      <c r="GQ207" s="421"/>
      <c r="GR207" s="421"/>
      <c r="GS207" s="421"/>
      <c r="GT207" s="421"/>
      <c r="GU207" s="421"/>
      <c r="GV207" s="421"/>
      <c r="GW207" s="421"/>
      <c r="GX207" s="421"/>
      <c r="GY207" s="421"/>
      <c r="GZ207" s="421"/>
      <c r="HA207" s="421"/>
      <c r="HB207" s="421"/>
      <c r="HC207" s="421"/>
      <c r="HD207" s="421"/>
      <c r="HE207" s="421"/>
      <c r="HF207" s="421"/>
      <c r="HG207" s="421"/>
      <c r="HH207" s="421"/>
      <c r="HI207" s="421"/>
      <c r="HJ207" s="421"/>
      <c r="HK207" s="421"/>
      <c r="HL207" s="421"/>
      <c r="HM207" s="421"/>
      <c r="HN207" s="421"/>
      <c r="HO207" s="421"/>
      <c r="HP207" s="421"/>
      <c r="HQ207" s="421"/>
      <c r="HR207" s="421"/>
      <c r="HS207" s="421"/>
      <c r="HT207" s="421"/>
      <c r="HU207" s="421"/>
      <c r="HV207" s="421"/>
      <c r="HW207" s="421"/>
      <c r="HX207" s="421"/>
      <c r="HY207" s="421"/>
      <c r="HZ207" s="421"/>
      <c r="IA207" s="421"/>
      <c r="IB207" s="421"/>
      <c r="IC207" s="421"/>
      <c r="ID207" s="421"/>
      <c r="IE207" s="421"/>
      <c r="IF207" s="421"/>
      <c r="IG207" s="421"/>
      <c r="IH207" s="421"/>
      <c r="II207" s="421"/>
    </row>
    <row r="208" spans="1:243">
      <c r="A208" s="70" t="s">
        <v>151</v>
      </c>
      <c r="B208" s="120">
        <f>IF(D24=80,2000,IF(D24=100,2200,IF(D24=120,2300)))</f>
        <v>2000</v>
      </c>
      <c r="C208" s="432" t="s">
        <v>127</v>
      </c>
      <c r="D208" s="1488" t="s">
        <v>981</v>
      </c>
      <c r="E208" s="1488"/>
      <c r="F208" s="1266">
        <v>2</v>
      </c>
      <c r="G208" s="1484" t="s">
        <v>449</v>
      </c>
      <c r="H208" s="1484"/>
      <c r="I208" s="1263" t="s">
        <v>865</v>
      </c>
      <c r="J208" s="390"/>
      <c r="O208" s="421"/>
      <c r="P208" s="421"/>
      <c r="Q208" s="421"/>
      <c r="R208" s="421"/>
      <c r="S208" s="421"/>
      <c r="T208" s="421"/>
      <c r="U208" s="421"/>
      <c r="V208" s="421"/>
      <c r="W208" s="421"/>
      <c r="X208" s="421"/>
      <c r="Y208" s="421"/>
      <c r="Z208" s="421"/>
      <c r="AA208" s="421"/>
      <c r="AB208" s="421"/>
      <c r="AC208" s="421"/>
      <c r="AD208" s="421"/>
      <c r="AE208" s="421"/>
      <c r="AF208" s="421"/>
      <c r="AG208" s="421"/>
      <c r="AH208" s="421"/>
      <c r="AI208" s="421"/>
      <c r="AJ208" s="421"/>
      <c r="AK208" s="421"/>
      <c r="AL208" s="421"/>
      <c r="AM208" s="421"/>
      <c r="AN208" s="421"/>
      <c r="AO208" s="421"/>
      <c r="AP208" s="421"/>
      <c r="AQ208" s="421"/>
      <c r="AR208" s="421"/>
      <c r="AS208" s="421"/>
      <c r="AT208" s="421"/>
      <c r="AU208" s="421"/>
      <c r="AV208" s="421"/>
      <c r="AW208" s="421"/>
      <c r="AX208" s="421"/>
      <c r="AY208" s="421"/>
      <c r="AZ208" s="421"/>
      <c r="BA208" s="421"/>
      <c r="BB208" s="421"/>
      <c r="BC208" s="421"/>
      <c r="BD208" s="421"/>
      <c r="BE208" s="421"/>
      <c r="BF208" s="421"/>
      <c r="BG208" s="421"/>
      <c r="BH208" s="421"/>
      <c r="BI208" s="421"/>
      <c r="BJ208" s="421"/>
      <c r="BK208" s="421"/>
      <c r="BL208" s="421"/>
      <c r="BM208" s="421"/>
      <c r="BN208" s="421"/>
      <c r="BO208" s="421"/>
      <c r="BP208" s="421"/>
      <c r="BQ208" s="421"/>
      <c r="BR208" s="421"/>
      <c r="BS208" s="421"/>
      <c r="BT208" s="421"/>
      <c r="BU208" s="421"/>
      <c r="BV208" s="421"/>
      <c r="BW208" s="421"/>
      <c r="BX208" s="421"/>
      <c r="BY208" s="421"/>
      <c r="BZ208" s="421"/>
      <c r="CA208" s="421"/>
      <c r="CB208" s="421"/>
      <c r="CC208" s="421"/>
      <c r="CD208" s="421"/>
      <c r="CE208" s="421"/>
      <c r="CF208" s="421"/>
      <c r="CG208" s="421"/>
      <c r="CH208" s="421"/>
      <c r="CI208" s="421"/>
      <c r="CJ208" s="421"/>
      <c r="CK208" s="421"/>
      <c r="CL208" s="421"/>
      <c r="CM208" s="421"/>
      <c r="CN208" s="421"/>
      <c r="CO208" s="421"/>
      <c r="CP208" s="421"/>
      <c r="CQ208" s="421"/>
      <c r="CR208" s="421"/>
      <c r="CS208" s="421"/>
      <c r="CT208" s="421"/>
      <c r="CU208" s="421"/>
      <c r="CV208" s="421"/>
      <c r="CW208" s="421"/>
      <c r="CX208" s="421"/>
      <c r="CY208" s="421"/>
      <c r="CZ208" s="421"/>
      <c r="DA208" s="421"/>
      <c r="DB208" s="421"/>
      <c r="DC208" s="421"/>
      <c r="DD208" s="421"/>
      <c r="DE208" s="421"/>
      <c r="DF208" s="421"/>
      <c r="DG208" s="421"/>
      <c r="DH208" s="421"/>
      <c r="DI208" s="421"/>
      <c r="DJ208" s="421"/>
      <c r="DK208" s="421"/>
      <c r="DL208" s="421"/>
      <c r="DM208" s="421"/>
      <c r="DN208" s="421"/>
      <c r="DO208" s="421"/>
      <c r="DP208" s="421"/>
      <c r="DQ208" s="421"/>
      <c r="DR208" s="421"/>
      <c r="DS208" s="421"/>
      <c r="DT208" s="421"/>
      <c r="DU208" s="421"/>
      <c r="DV208" s="421"/>
      <c r="DW208" s="421"/>
      <c r="DX208" s="421"/>
      <c r="DY208" s="421"/>
      <c r="DZ208" s="421"/>
      <c r="EA208" s="421"/>
      <c r="EB208" s="421"/>
      <c r="EC208" s="421"/>
      <c r="ED208" s="421"/>
      <c r="EE208" s="421"/>
      <c r="EF208" s="421"/>
      <c r="EG208" s="421"/>
      <c r="EH208" s="421"/>
      <c r="EI208" s="421"/>
      <c r="EJ208" s="421"/>
      <c r="EK208" s="421"/>
      <c r="EL208" s="421"/>
      <c r="EM208" s="421"/>
      <c r="EN208" s="421"/>
      <c r="EO208" s="421"/>
      <c r="EP208" s="421"/>
      <c r="EQ208" s="421"/>
      <c r="ER208" s="421"/>
      <c r="ES208" s="421"/>
      <c r="ET208" s="421"/>
      <c r="EU208" s="421"/>
      <c r="EV208" s="421"/>
      <c r="EW208" s="421"/>
      <c r="EX208" s="421"/>
      <c r="EY208" s="421"/>
      <c r="EZ208" s="421"/>
      <c r="FA208" s="421"/>
      <c r="FB208" s="421"/>
      <c r="FC208" s="421"/>
      <c r="FD208" s="421"/>
      <c r="FE208" s="421"/>
      <c r="FF208" s="421"/>
      <c r="FG208" s="421"/>
      <c r="FH208" s="421"/>
      <c r="FI208" s="421"/>
      <c r="FJ208" s="421"/>
      <c r="FK208" s="421"/>
      <c r="FL208" s="421"/>
      <c r="FM208" s="421"/>
      <c r="FN208" s="421"/>
      <c r="FO208" s="421"/>
      <c r="FP208" s="421"/>
      <c r="FQ208" s="421"/>
      <c r="FR208" s="421"/>
      <c r="FS208" s="421"/>
      <c r="FT208" s="421"/>
      <c r="FU208" s="421"/>
      <c r="FV208" s="421"/>
      <c r="FW208" s="421"/>
      <c r="FX208" s="421"/>
      <c r="FY208" s="421"/>
      <c r="FZ208" s="421"/>
      <c r="GA208" s="421"/>
      <c r="GB208" s="421"/>
      <c r="GC208" s="421"/>
      <c r="GD208" s="421"/>
      <c r="GE208" s="421"/>
      <c r="GF208" s="421"/>
      <c r="GG208" s="421"/>
      <c r="GH208" s="421"/>
      <c r="GI208" s="421"/>
      <c r="GJ208" s="421"/>
      <c r="GK208" s="421"/>
      <c r="GL208" s="421"/>
      <c r="GM208" s="421"/>
      <c r="GN208" s="421"/>
      <c r="GO208" s="421"/>
      <c r="GP208" s="421"/>
      <c r="GQ208" s="421"/>
      <c r="GR208" s="421"/>
      <c r="GS208" s="421"/>
      <c r="GT208" s="421"/>
      <c r="GU208" s="421"/>
      <c r="GV208" s="421"/>
      <c r="GW208" s="421"/>
      <c r="GX208" s="421"/>
      <c r="GY208" s="421"/>
      <c r="GZ208" s="421"/>
      <c r="HA208" s="421"/>
      <c r="HB208" s="421"/>
      <c r="HC208" s="421"/>
      <c r="HD208" s="421"/>
      <c r="HE208" s="421"/>
      <c r="HF208" s="421"/>
      <c r="HG208" s="421"/>
      <c r="HH208" s="421"/>
      <c r="HI208" s="421"/>
      <c r="HJ208" s="421"/>
      <c r="HK208" s="421"/>
      <c r="HL208" s="421"/>
      <c r="HM208" s="421"/>
      <c r="HN208" s="421"/>
      <c r="HO208" s="421"/>
      <c r="HP208" s="421"/>
      <c r="HQ208" s="421"/>
      <c r="HR208" s="421"/>
      <c r="HS208" s="421"/>
      <c r="HT208" s="421"/>
      <c r="HU208" s="421"/>
      <c r="HV208" s="421"/>
      <c r="HW208" s="421"/>
      <c r="HX208" s="421"/>
      <c r="HY208" s="421"/>
      <c r="HZ208" s="421"/>
      <c r="IA208" s="421"/>
      <c r="IB208" s="421"/>
      <c r="IC208" s="421"/>
      <c r="ID208" s="421"/>
      <c r="IE208" s="421"/>
      <c r="IF208" s="421"/>
      <c r="IG208" s="421"/>
      <c r="IH208" s="421"/>
      <c r="II208" s="421"/>
    </row>
    <row r="209" spans="1:10" ht="14.25" thickBot="1">
      <c r="A209" s="390"/>
      <c r="B209" s="390"/>
      <c r="C209" s="390"/>
      <c r="D209" s="390"/>
      <c r="E209" s="390"/>
      <c r="F209" s="390"/>
      <c r="G209" s="390"/>
      <c r="H209" s="432"/>
      <c r="I209" s="390"/>
      <c r="J209" s="390"/>
    </row>
    <row r="210" spans="1:10">
      <c r="A210" s="1210" t="s">
        <v>186</v>
      </c>
      <c r="B210" s="1208">
        <v>10</v>
      </c>
      <c r="C210" s="533">
        <v>20</v>
      </c>
      <c r="D210" s="533">
        <v>30</v>
      </c>
      <c r="E210" s="533">
        <v>40</v>
      </c>
      <c r="F210" s="533">
        <v>50</v>
      </c>
      <c r="G210" s="533">
        <v>60</v>
      </c>
      <c r="H210" s="533">
        <v>70</v>
      </c>
      <c r="I210" s="468">
        <v>80</v>
      </c>
      <c r="J210" s="84"/>
    </row>
    <row r="211" spans="1:10">
      <c r="A211" s="479" t="s">
        <v>53</v>
      </c>
      <c r="B211" s="1474">
        <f t="shared" ref="B211:C211" si="51">IF($F$208=1,ROUND(150*$B$208/(150*B210+$B$208*(1-B210/60)^2),0),ROUND(165*$B$208/(165*B210+$B$208*(1-B210/60)^2),0))</f>
        <v>109</v>
      </c>
      <c r="C211" s="1469">
        <f t="shared" si="51"/>
        <v>79</v>
      </c>
      <c r="D211" s="1469">
        <f>IF($F$208=1,ROUNDUP(150*$B$208/(150*D210+$B$208*(1-D210/60)^2),0),ROUNDUP(165*$B$208/(165*D210+$B$208*(1-D210/60)^2),0))</f>
        <v>61</v>
      </c>
      <c r="E211" s="1469">
        <f>IF($C$4=2,IF($D$25&gt;=4,IF($F$208=1,ROUND(150*$B$208/(150*E210+$B$208*(1-E210/60)^2),0),ROUND(165*$B$208/(165*E210+$B$208*(1-E210/60)^2),0)),ROUNDUP($C$30/$B$11/$E210,0)),IF($F$208=1,ROUND(150*$B$208/(150*E210+$B$208*(1-E210/60)^2),0),ROUND(165*$B$208/(165*E210+$B$208*(1-E210/60)^2),0)))</f>
        <v>48</v>
      </c>
      <c r="F211" s="1469">
        <f>IF($C$4=2,IF($D$25&gt;=4,IF($F$208=1,ROUND(150*$B$208/(150*F210+$B$208*(1-F210/60)^2),0),ROUND(165*$B$208/(165*F210+$B$208*(1-F210/60)^2),0)),ROUNDUP($C$30/$B$11/$F210,0)),IF($F$208=1,ROUND(150*$B$208/(150*F210+$B$208*(1-F210/60)^2),0),ROUND(165*$B$208/(165*F210+$B$208*(1-F210/60)^2),0)))</f>
        <v>40</v>
      </c>
      <c r="G211" s="1469">
        <f>IF($D$25&gt;=4,IF($F$208=1,ROUND(150*$B$208/(150*G210+$B$208*(1-G210/60)^2),0),ROUND(165*$B$208/(165*G210+$B$208*(1-G210/60)^2),0)),ROUNDUP($C$30/$B$11/$G210,0))</f>
        <v>33</v>
      </c>
      <c r="H211" s="1469">
        <f>IF($D$25&gt;=4,IF($F$208=1,ROUND(150*$B$208/(150*H210+$B$208*(1-H210/60)^2),0),ROUND(165*$B$208/(165*H210+$B$208*(1-H210/60)^2),0)),ROUNDUP($C$30/$B$11/$H210,0))</f>
        <v>28</v>
      </c>
      <c r="I211" s="1491">
        <f>IF($D$25&gt;=4,IF($F$208=1,ROUND(150*$B$208/(150*I210+$B$208*(1-I210/60)^2),0),ROUND(165*$B$208/(165*I210+$B$208*(1-I210/60)^2),0)),ROUNDUP($C$30/$B$11/$I210,0))</f>
        <v>25</v>
      </c>
      <c r="J211" s="390"/>
    </row>
    <row r="212" spans="1:10" ht="14.25" thickBot="1">
      <c r="A212" s="486" t="s">
        <v>187</v>
      </c>
      <c r="B212" s="1475"/>
      <c r="C212" s="1470"/>
      <c r="D212" s="1470"/>
      <c r="E212" s="1470"/>
      <c r="F212" s="1470"/>
      <c r="G212" s="1470"/>
      <c r="H212" s="1470"/>
      <c r="I212" s="1492"/>
      <c r="J212" s="390"/>
    </row>
    <row r="213" spans="1:10">
      <c r="A213" s="390"/>
      <c r="B213" s="390"/>
      <c r="C213" s="390"/>
      <c r="D213" s="390"/>
      <c r="E213" s="390"/>
      <c r="F213" s="390"/>
      <c r="G213" s="390"/>
      <c r="H213" s="1209"/>
      <c r="I213" s="390"/>
      <c r="J213" s="390"/>
    </row>
    <row r="214" spans="1:10">
      <c r="A214" s="390"/>
      <c r="B214" s="390"/>
      <c r="C214" s="390"/>
      <c r="D214" s="390"/>
      <c r="E214" s="390"/>
      <c r="F214" s="390"/>
      <c r="G214" s="390"/>
      <c r="H214" s="1241"/>
      <c r="I214" s="390"/>
      <c r="J214" s="390"/>
    </row>
    <row r="215" spans="1:10">
      <c r="A215" s="70" t="s">
        <v>54</v>
      </c>
      <c r="B215" s="390"/>
      <c r="C215" s="76" t="str">
        <f>B34</f>
        <v>마산</v>
      </c>
      <c r="D215" s="432" t="str">
        <f>C34</f>
        <v>⇒</v>
      </c>
      <c r="E215" s="76" t="str">
        <f>D34</f>
        <v>진주</v>
      </c>
      <c r="F215" s="390"/>
      <c r="G215" s="390"/>
      <c r="H215" s="390"/>
      <c r="I215" s="390"/>
      <c r="J215" s="390"/>
    </row>
    <row r="216" spans="1:10">
      <c r="A216" s="390"/>
      <c r="B216" s="390"/>
      <c r="C216" s="390"/>
      <c r="D216" s="390"/>
      <c r="E216" s="390"/>
      <c r="F216" s="390"/>
      <c r="G216" s="390"/>
      <c r="H216" s="390"/>
      <c r="I216" s="390"/>
      <c r="J216" s="390"/>
    </row>
    <row r="217" spans="1:10" ht="14.25" thickBot="1">
      <c r="A217" s="390" t="s">
        <v>55</v>
      </c>
      <c r="B217" s="390"/>
      <c r="C217" s="390"/>
      <c r="D217" s="393" t="s">
        <v>56</v>
      </c>
      <c r="E217" s="76">
        <f>H34</f>
        <v>2222</v>
      </c>
      <c r="F217" s="390" t="s">
        <v>57</v>
      </c>
      <c r="G217" s="390" t="s">
        <v>1</v>
      </c>
      <c r="H217" s="390"/>
      <c r="I217" s="86"/>
      <c r="J217" s="390"/>
    </row>
    <row r="218" spans="1:10">
      <c r="A218" s="1426" t="s">
        <v>60</v>
      </c>
      <c r="B218" s="1466" t="s">
        <v>276</v>
      </c>
      <c r="C218" s="1468"/>
      <c r="D218" s="534" t="s">
        <v>58</v>
      </c>
      <c r="E218" s="466"/>
      <c r="F218" s="534" t="s">
        <v>59</v>
      </c>
      <c r="G218" s="466"/>
      <c r="H218" s="466"/>
      <c r="I218" s="535"/>
      <c r="J218" s="476"/>
    </row>
    <row r="219" spans="1:10">
      <c r="A219" s="1427"/>
      <c r="B219" s="536" t="s">
        <v>268</v>
      </c>
      <c r="C219" s="495" t="s">
        <v>269</v>
      </c>
      <c r="D219" s="452" t="s">
        <v>19</v>
      </c>
      <c r="E219" s="452" t="s">
        <v>20</v>
      </c>
      <c r="F219" s="452" t="s">
        <v>19</v>
      </c>
      <c r="G219" s="452" t="s">
        <v>21</v>
      </c>
      <c r="H219" s="452" t="s">
        <v>20</v>
      </c>
      <c r="I219" s="454" t="s">
        <v>22</v>
      </c>
      <c r="J219" s="537"/>
    </row>
    <row r="220" spans="1:10">
      <c r="A220" s="515" t="s">
        <v>61</v>
      </c>
      <c r="B220" s="536">
        <f t="shared" ref="B220:I220" si="52">IF($E217=$A46,C47,IF($E217=$A44,C45,IF($E217=$A42,C43,IF($E217=$A40,C41,IF($E217=$A38,C39)))))</f>
        <v>48.65</v>
      </c>
      <c r="C220" s="536">
        <f t="shared" si="52"/>
        <v>32.44</v>
      </c>
      <c r="D220" s="536">
        <f t="shared" si="52"/>
        <v>0</v>
      </c>
      <c r="E220" s="536">
        <f t="shared" si="52"/>
        <v>0.8</v>
      </c>
      <c r="F220" s="536">
        <f t="shared" si="52"/>
        <v>14</v>
      </c>
      <c r="G220" s="536">
        <f t="shared" si="52"/>
        <v>2.95</v>
      </c>
      <c r="H220" s="536">
        <f t="shared" si="52"/>
        <v>0.32</v>
      </c>
      <c r="I220" s="536">
        <f t="shared" si="52"/>
        <v>0.84</v>
      </c>
      <c r="J220" s="478"/>
    </row>
    <row r="221" spans="1:10">
      <c r="A221" s="515" t="s">
        <v>224</v>
      </c>
      <c r="B221" s="536">
        <v>1.37</v>
      </c>
      <c r="C221" s="536">
        <v>1.37</v>
      </c>
      <c r="D221" s="452">
        <v>2.2000000000000002</v>
      </c>
      <c r="E221" s="452">
        <v>12.16</v>
      </c>
      <c r="F221" s="452">
        <v>2.39</v>
      </c>
      <c r="G221" s="452">
        <v>6.22</v>
      </c>
      <c r="H221" s="452">
        <v>18.55</v>
      </c>
      <c r="I221" s="454">
        <v>40.74</v>
      </c>
      <c r="J221" s="90" t="s">
        <v>62</v>
      </c>
    </row>
    <row r="222" spans="1:10">
      <c r="A222" s="515" t="s">
        <v>225</v>
      </c>
      <c r="B222" s="536">
        <v>1.3120000000000001</v>
      </c>
      <c r="C222" s="536">
        <v>1.3120000000000001</v>
      </c>
      <c r="D222" s="452">
        <v>2.06</v>
      </c>
      <c r="E222" s="452">
        <v>11.63</v>
      </c>
      <c r="F222" s="452">
        <v>2.19</v>
      </c>
      <c r="G222" s="452">
        <v>5.63</v>
      </c>
      <c r="H222" s="452">
        <v>16.5</v>
      </c>
      <c r="I222" s="454">
        <v>35.42</v>
      </c>
      <c r="J222" s="198" t="s">
        <v>63</v>
      </c>
    </row>
    <row r="223" spans="1:10" ht="15.75">
      <c r="A223" s="515" t="s">
        <v>450</v>
      </c>
      <c r="B223" s="536">
        <f>$F$93</f>
        <v>0</v>
      </c>
      <c r="C223" s="495">
        <f>$F$94</f>
        <v>0.87119999999999997</v>
      </c>
      <c r="D223" s="452">
        <f>$F$95</f>
        <v>0.87119999999999997</v>
      </c>
      <c r="E223" s="452">
        <f>$F$98</f>
        <v>7.7916999999999996</v>
      </c>
      <c r="F223" s="452">
        <f>$F$96</f>
        <v>0.87119999999999997</v>
      </c>
      <c r="G223" s="452">
        <f>$F$97</f>
        <v>3.8269000000000002</v>
      </c>
      <c r="H223" s="452">
        <f>$F$99</f>
        <v>8.6190999999999995</v>
      </c>
      <c r="I223" s="454">
        <f>$F$100</f>
        <v>11.1532</v>
      </c>
      <c r="J223" s="478"/>
    </row>
    <row r="224" spans="1:10">
      <c r="A224" s="515" t="s">
        <v>64</v>
      </c>
      <c r="B224" s="199">
        <v>1</v>
      </c>
      <c r="C224" s="199">
        <v>1</v>
      </c>
      <c r="D224" s="117">
        <v>1</v>
      </c>
      <c r="E224" s="118">
        <v>1.5</v>
      </c>
      <c r="F224" s="118">
        <v>1</v>
      </c>
      <c r="G224" s="118">
        <v>1.5</v>
      </c>
      <c r="H224" s="118">
        <v>1.5</v>
      </c>
      <c r="I224" s="119">
        <f>IF($C$4=3,1.9,2)</f>
        <v>2</v>
      </c>
      <c r="J224" s="478"/>
    </row>
    <row r="225" spans="1:15">
      <c r="A225" s="515"/>
      <c r="B225" s="538">
        <f t="shared" ref="B225:I225" si="53">B224*B220</f>
        <v>48.65</v>
      </c>
      <c r="C225" s="538">
        <f t="shared" si="53"/>
        <v>32.44</v>
      </c>
      <c r="D225" s="538">
        <f t="shared" si="53"/>
        <v>0</v>
      </c>
      <c r="E225" s="538">
        <f t="shared" si="53"/>
        <v>1.2000000000000002</v>
      </c>
      <c r="F225" s="538">
        <f t="shared" si="53"/>
        <v>14</v>
      </c>
      <c r="G225" s="538">
        <f t="shared" si="53"/>
        <v>4.4250000000000007</v>
      </c>
      <c r="H225" s="538">
        <f t="shared" si="53"/>
        <v>0.48</v>
      </c>
      <c r="I225" s="538">
        <f t="shared" si="53"/>
        <v>1.68</v>
      </c>
      <c r="J225" s="478"/>
    </row>
    <row r="226" spans="1:15">
      <c r="A226" s="515" t="s">
        <v>65</v>
      </c>
      <c r="B226" s="539">
        <f>ROUND(SUM(B225:I225)/100,4)</f>
        <v>1.0287999999999999</v>
      </c>
      <c r="C226" s="477" t="s">
        <v>66</v>
      </c>
      <c r="E226" s="477"/>
      <c r="F226" s="477"/>
      <c r="G226" s="477"/>
      <c r="H226" s="477"/>
      <c r="I226" s="477"/>
      <c r="J226" s="478"/>
    </row>
    <row r="227" spans="1:15">
      <c r="A227" s="515" t="s">
        <v>67</v>
      </c>
      <c r="B227" s="1486">
        <f>+B210</f>
        <v>10</v>
      </c>
      <c r="C227" s="1487"/>
      <c r="D227" s="536">
        <f t="shared" ref="D227:J228" si="54">+C210</f>
        <v>20</v>
      </c>
      <c r="E227" s="452">
        <f t="shared" si="54"/>
        <v>30</v>
      </c>
      <c r="F227" s="452">
        <f t="shared" si="54"/>
        <v>40</v>
      </c>
      <c r="G227" s="452">
        <f t="shared" si="54"/>
        <v>50</v>
      </c>
      <c r="H227" s="452">
        <f t="shared" si="54"/>
        <v>60</v>
      </c>
      <c r="I227" s="452">
        <f t="shared" si="54"/>
        <v>70</v>
      </c>
      <c r="J227" s="513">
        <f t="shared" si="54"/>
        <v>80</v>
      </c>
    </row>
    <row r="228" spans="1:15">
      <c r="A228" s="515" t="s">
        <v>181</v>
      </c>
      <c r="B228" s="536">
        <f>+B211</f>
        <v>109</v>
      </c>
      <c r="C228" s="444">
        <f>+B211</f>
        <v>109</v>
      </c>
      <c r="D228" s="452">
        <f t="shared" si="54"/>
        <v>79</v>
      </c>
      <c r="E228" s="452">
        <f t="shared" si="54"/>
        <v>61</v>
      </c>
      <c r="F228" s="452">
        <f t="shared" si="54"/>
        <v>48</v>
      </c>
      <c r="G228" s="452">
        <f t="shared" si="54"/>
        <v>40</v>
      </c>
      <c r="H228" s="452">
        <f t="shared" si="54"/>
        <v>33</v>
      </c>
      <c r="I228" s="452">
        <f t="shared" si="54"/>
        <v>28</v>
      </c>
      <c r="J228" s="513">
        <f t="shared" si="54"/>
        <v>25</v>
      </c>
      <c r="M228" s="421"/>
    </row>
    <row r="229" spans="1:15">
      <c r="A229" s="479" t="s">
        <v>212</v>
      </c>
      <c r="B229" s="448">
        <f t="shared" ref="B229:J229" si="55">ROUND(B228/$B$226*IF($E$217=$A$38,$M$38,IF($E$217=$A$40,$M$40,IF($A$42=$E$217,$M$42,IF($E$217=$A$44,$M$44,IF($E$217=$A$46,$M$46))))),2)</f>
        <v>105.95</v>
      </c>
      <c r="C229" s="441">
        <f t="shared" si="55"/>
        <v>105.95</v>
      </c>
      <c r="D229" s="442">
        <f t="shared" si="55"/>
        <v>76.790000000000006</v>
      </c>
      <c r="E229" s="442">
        <f t="shared" si="55"/>
        <v>59.29</v>
      </c>
      <c r="F229" s="442">
        <f t="shared" si="55"/>
        <v>46.66</v>
      </c>
      <c r="G229" s="442">
        <f t="shared" si="55"/>
        <v>38.880000000000003</v>
      </c>
      <c r="H229" s="442">
        <f t="shared" si="55"/>
        <v>32.08</v>
      </c>
      <c r="I229" s="442">
        <f t="shared" si="55"/>
        <v>27.22</v>
      </c>
      <c r="J229" s="449">
        <f t="shared" si="55"/>
        <v>24.3</v>
      </c>
    </row>
    <row r="230" spans="1:15" ht="14.25" thickBot="1">
      <c r="A230" s="486" t="s">
        <v>182</v>
      </c>
      <c r="B230" s="542">
        <f t="shared" ref="B230:J230" si="56">ROUND(B228/$B$226*IF($E$217=$A$38,$M$38,IF($E$217=$A$40,$M$40,IF($A$42=$E$217,$M$42,IF($E$217=$A$44,$M$44,IF($E$217=$A$46,$M$46))))),2)</f>
        <v>105.95</v>
      </c>
      <c r="C230" s="542">
        <f t="shared" si="56"/>
        <v>105.95</v>
      </c>
      <c r="D230" s="542">
        <f t="shared" si="56"/>
        <v>76.790000000000006</v>
      </c>
      <c r="E230" s="542">
        <f t="shared" si="56"/>
        <v>59.29</v>
      </c>
      <c r="F230" s="542">
        <f t="shared" si="56"/>
        <v>46.66</v>
      </c>
      <c r="G230" s="542">
        <f t="shared" si="56"/>
        <v>38.880000000000003</v>
      </c>
      <c r="H230" s="542">
        <f t="shared" si="56"/>
        <v>32.08</v>
      </c>
      <c r="I230" s="542">
        <f t="shared" si="56"/>
        <v>27.22</v>
      </c>
      <c r="J230" s="543">
        <f t="shared" si="56"/>
        <v>24.3</v>
      </c>
    </row>
    <row r="231" spans="1:15">
      <c r="A231" s="420"/>
      <c r="B231" s="475"/>
      <c r="C231" s="475"/>
      <c r="D231" s="475"/>
      <c r="E231" s="475"/>
      <c r="F231" s="475"/>
      <c r="G231" s="475"/>
      <c r="H231" s="475"/>
      <c r="I231" s="475"/>
      <c r="J231" s="390"/>
    </row>
    <row r="232" spans="1:15" ht="14.25" thickBot="1">
      <c r="A232" s="390" t="s">
        <v>185</v>
      </c>
      <c r="B232" s="390"/>
      <c r="C232" s="390"/>
      <c r="D232" s="390"/>
      <c r="E232" s="393" t="s">
        <v>56</v>
      </c>
      <c r="F232" s="76">
        <f>$E217</f>
        <v>2222</v>
      </c>
      <c r="G232" s="390" t="s">
        <v>57</v>
      </c>
      <c r="H232" s="390"/>
      <c r="I232" s="390"/>
      <c r="J232" s="390"/>
    </row>
    <row r="233" spans="1:15">
      <c r="A233" s="1426" t="s">
        <v>323</v>
      </c>
      <c r="B233" s="1476" t="s">
        <v>277</v>
      </c>
      <c r="C233" s="1477"/>
      <c r="D233" s="1466" t="s">
        <v>278</v>
      </c>
      <c r="E233" s="1468"/>
      <c r="F233" s="1466" t="s">
        <v>279</v>
      </c>
      <c r="G233" s="1467"/>
      <c r="H233" s="1467"/>
      <c r="I233" s="1468"/>
      <c r="J233" s="534" t="s">
        <v>68</v>
      </c>
      <c r="K233" s="476"/>
    </row>
    <row r="234" spans="1:15">
      <c r="A234" s="1427"/>
      <c r="B234" s="400" t="str">
        <f>+B219</f>
        <v>휘발유</v>
      </c>
      <c r="C234" s="403" t="s">
        <v>269</v>
      </c>
      <c r="D234" s="400" t="str">
        <f t="shared" ref="D234:I234" si="57">+D219</f>
        <v>소형</v>
      </c>
      <c r="E234" s="512" t="str">
        <f t="shared" si="57"/>
        <v>대형</v>
      </c>
      <c r="F234" s="400" t="str">
        <f t="shared" si="57"/>
        <v>소형</v>
      </c>
      <c r="G234" s="401" t="str">
        <f t="shared" si="57"/>
        <v>중형</v>
      </c>
      <c r="H234" s="401" t="str">
        <f t="shared" si="57"/>
        <v>대형</v>
      </c>
      <c r="I234" s="512" t="str">
        <f t="shared" si="57"/>
        <v>특수</v>
      </c>
      <c r="J234" s="452" t="s">
        <v>183</v>
      </c>
      <c r="K234" s="481" t="s">
        <v>184</v>
      </c>
    </row>
    <row r="235" spans="1:15">
      <c r="A235" s="479">
        <f>+B227</f>
        <v>10</v>
      </c>
      <c r="B235" s="544">
        <f>ROUND((J235*($B$220/100)),3)</f>
        <v>51.545000000000002</v>
      </c>
      <c r="C235" s="545">
        <f>ROUND((J235*($C$220/100)),3)</f>
        <v>34.369999999999997</v>
      </c>
      <c r="D235" s="546">
        <f>ROUND((J235*($D$220/100)),3)</f>
        <v>0</v>
      </c>
      <c r="E235" s="540">
        <f>ROUND((J235*($E$220/100)),3)</f>
        <v>0.84799999999999998</v>
      </c>
      <c r="F235" s="544">
        <f>ROUND((J235*($F$220/100)),3)</f>
        <v>14.833</v>
      </c>
      <c r="G235" s="547">
        <f>ROUND((J235*($G$220/100)),3)</f>
        <v>3.1259999999999999</v>
      </c>
      <c r="H235" s="548">
        <f>ROUND((J235*($H$220/100)),3)</f>
        <v>0.33900000000000002</v>
      </c>
      <c r="I235" s="549">
        <f>ROUND((J235*($I$220/100)),3)</f>
        <v>0.89</v>
      </c>
      <c r="J235" s="475">
        <f>+B$230</f>
        <v>105.95</v>
      </c>
      <c r="K235" s="91">
        <f>ROUNDUP($J235*$A235*B11,0)</f>
        <v>1060</v>
      </c>
      <c r="N235" s="392">
        <f>ROUNDUP($B229*$A235*B11,0)</f>
        <v>1060</v>
      </c>
      <c r="O235" s="395" t="s">
        <v>210</v>
      </c>
    </row>
    <row r="236" spans="1:15">
      <c r="A236" s="399"/>
      <c r="B236" s="550"/>
      <c r="C236" s="551"/>
      <c r="D236" s="550"/>
      <c r="E236" s="422"/>
      <c r="F236" s="550"/>
      <c r="G236" s="552"/>
      <c r="H236" s="552"/>
      <c r="I236" s="553"/>
      <c r="J236" s="554"/>
      <c r="K236" s="481"/>
    </row>
    <row r="237" spans="1:15">
      <c r="A237" s="479">
        <f>+D227</f>
        <v>20</v>
      </c>
      <c r="B237" s="544">
        <f>ROUND((J237*($B$220/100)),3)</f>
        <v>37.357999999999997</v>
      </c>
      <c r="C237" s="545">
        <f>ROUND((J237*($C$220/100)),3)</f>
        <v>24.911000000000001</v>
      </c>
      <c r="D237" s="546">
        <f>ROUND((J237*($D$220/100)),3)</f>
        <v>0</v>
      </c>
      <c r="E237" s="540">
        <f>ROUND((J237*($E$220/100)),3)</f>
        <v>0.61399999999999999</v>
      </c>
      <c r="F237" s="544">
        <f>ROUND((J237*($F$220/100)),3)</f>
        <v>10.750999999999999</v>
      </c>
      <c r="G237" s="547">
        <f>ROUND((J237*($G$220/100)),3)</f>
        <v>2.2650000000000001</v>
      </c>
      <c r="H237" s="548">
        <f>ROUND((J237*($H$220/100)),3)</f>
        <v>0.246</v>
      </c>
      <c r="I237" s="555">
        <f>ROUND((J237*($I$220/100)),3)</f>
        <v>0.64500000000000002</v>
      </c>
      <c r="J237" s="475">
        <f>+$D230</f>
        <v>76.790000000000006</v>
      </c>
      <c r="K237" s="91">
        <f>ROUNDUP($J237*$A237*B11,0)</f>
        <v>1536</v>
      </c>
      <c r="N237" s="392">
        <f>ROUNDUP($D229*$A237*B11,0)</f>
        <v>1536</v>
      </c>
      <c r="O237" s="395" t="s">
        <v>210</v>
      </c>
    </row>
    <row r="238" spans="1:15">
      <c r="A238" s="515"/>
      <c r="B238" s="471"/>
      <c r="C238" s="556"/>
      <c r="D238" s="471"/>
      <c r="E238" s="557"/>
      <c r="F238" s="471"/>
      <c r="G238" s="558"/>
      <c r="H238" s="558"/>
      <c r="I238" s="559"/>
      <c r="K238" s="481"/>
    </row>
    <row r="239" spans="1:15">
      <c r="A239" s="479">
        <f>+E227</f>
        <v>30</v>
      </c>
      <c r="B239" s="544">
        <f>ROUND((J239*($B$220/100)),3)</f>
        <v>28.844999999999999</v>
      </c>
      <c r="C239" s="545">
        <f>ROUND((J239*($C$220/100)),3)</f>
        <v>19.234000000000002</v>
      </c>
      <c r="D239" s="546">
        <f>ROUND((J239*($D$220/100)),3)</f>
        <v>0</v>
      </c>
      <c r="E239" s="540">
        <f>ROUND((J239*($E$220/100)),3)</f>
        <v>0.47399999999999998</v>
      </c>
      <c r="F239" s="544">
        <f>ROUND((J239*($F$220/100)),3)</f>
        <v>8.3010000000000002</v>
      </c>
      <c r="G239" s="547">
        <f>ROUND((J239*($G$220/100)),3)</f>
        <v>1.7490000000000001</v>
      </c>
      <c r="H239" s="548">
        <f>ROUND((J239*($H$220/100)),3)</f>
        <v>0.19</v>
      </c>
      <c r="I239" s="555">
        <f>ROUND((J239*($I$220/100)),3)</f>
        <v>0.498</v>
      </c>
      <c r="J239" s="548">
        <f>+$E230</f>
        <v>59.29</v>
      </c>
      <c r="K239" s="216">
        <f>ROUNDUP($J239*$A239*B11,0)</f>
        <v>1779</v>
      </c>
      <c r="N239" s="392">
        <f>ROUNDUP($E229*$A239*B11,0)</f>
        <v>1779</v>
      </c>
      <c r="O239" s="395" t="s">
        <v>210</v>
      </c>
    </row>
    <row r="240" spans="1:15">
      <c r="A240" s="515"/>
      <c r="B240" s="471"/>
      <c r="C240" s="556"/>
      <c r="D240" s="471"/>
      <c r="E240" s="557"/>
      <c r="F240" s="471"/>
      <c r="G240" s="558"/>
      <c r="H240" s="558"/>
      <c r="I240" s="559"/>
      <c r="J240" s="554"/>
      <c r="K240" s="481"/>
    </row>
    <row r="241" spans="1:15">
      <c r="A241" s="479">
        <f>+F227</f>
        <v>40</v>
      </c>
      <c r="B241" s="544">
        <f>ROUND((J241*($B$220/100)),3)</f>
        <v>22.7</v>
      </c>
      <c r="C241" s="545">
        <f>ROUND((J241*($C$220/100)),3)</f>
        <v>15.137</v>
      </c>
      <c r="D241" s="546">
        <f>ROUND((J241*($D$220/100)),3)</f>
        <v>0</v>
      </c>
      <c r="E241" s="540">
        <f>ROUND((J241*($E$220/100)),3)</f>
        <v>0.373</v>
      </c>
      <c r="F241" s="544">
        <f>ROUND((J241*($F$220/100)),3)</f>
        <v>6.532</v>
      </c>
      <c r="G241" s="547">
        <f>ROUND((J241*($G$220/100)),3)</f>
        <v>1.3759999999999999</v>
      </c>
      <c r="H241" s="548">
        <f>ROUND((J241*($H$220/100)),3)</f>
        <v>0.14899999999999999</v>
      </c>
      <c r="I241" s="555">
        <f>ROUND((J241*($I$220/100)),3)</f>
        <v>0.39200000000000002</v>
      </c>
      <c r="J241" s="475">
        <f>ROUND(IF($M$241=2,K241/A241/$B$11,F230),2)</f>
        <v>46.66</v>
      </c>
      <c r="K241" s="91">
        <f>IF($M$241=2,$C$30,ROUNDUP($J241*$A241*B11,0))</f>
        <v>1867</v>
      </c>
      <c r="L241" s="392" t="str">
        <f>IF($C$4=2,IF($D$25&lt;4,"첨두시","용량적용"),"용량적용")</f>
        <v>용량적용</v>
      </c>
      <c r="M241" s="395">
        <f>IF($L$241="용량적용",1,2)</f>
        <v>1</v>
      </c>
      <c r="N241" s="392">
        <f>ROUNDUP($F229*$A241*B11,0)</f>
        <v>1867</v>
      </c>
      <c r="O241" s="395" t="s">
        <v>210</v>
      </c>
    </row>
    <row r="242" spans="1:15">
      <c r="A242" s="515"/>
      <c r="B242" s="471"/>
      <c r="C242" s="556"/>
      <c r="D242" s="471"/>
      <c r="E242" s="557"/>
      <c r="F242" s="471"/>
      <c r="G242" s="558"/>
      <c r="H242" s="558"/>
      <c r="I242" s="559"/>
      <c r="J242" s="554"/>
      <c r="K242" s="481"/>
    </row>
    <row r="243" spans="1:15">
      <c r="A243" s="479">
        <f>+G227</f>
        <v>50</v>
      </c>
      <c r="B243" s="544">
        <f>ROUND((J243*($B$220/100)),3)</f>
        <v>18.914999999999999</v>
      </c>
      <c r="C243" s="545">
        <f>ROUND((J243*($C$220/100)),3)</f>
        <v>12.613</v>
      </c>
      <c r="D243" s="546">
        <f>ROUND((J243*($D$220/100)),3)</f>
        <v>0</v>
      </c>
      <c r="E243" s="540">
        <f>ROUND((J243*($E$220/100)),3)</f>
        <v>0.311</v>
      </c>
      <c r="F243" s="544">
        <f>ROUND((J243*($F$220/100)),3)</f>
        <v>5.4429999999999996</v>
      </c>
      <c r="G243" s="547">
        <f>ROUND((J243*($G$220/100)),3)</f>
        <v>1.147</v>
      </c>
      <c r="H243" s="548">
        <f>ROUND((J243*($H$220/100)),3)</f>
        <v>0.124</v>
      </c>
      <c r="I243" s="555">
        <f>ROUND((J243*($I$220/100)),3)</f>
        <v>0.32700000000000001</v>
      </c>
      <c r="J243" s="475">
        <f>ROUND(IF($M$243=2,K243/A243/$B$11,G230),2)</f>
        <v>38.880000000000003</v>
      </c>
      <c r="K243" s="91">
        <f>IF($M$243=2,$C$30,ROUNDUP($J243*$A243*B11,0))</f>
        <v>1944</v>
      </c>
      <c r="L243" s="392" t="str">
        <f>IF($C$4=2,IF($D$25&lt;4,"첨두시","용량적용"),"용량적용")</f>
        <v>용량적용</v>
      </c>
      <c r="M243" s="395">
        <f>IF($L$243="용량적용",1,2)</f>
        <v>1</v>
      </c>
      <c r="N243" s="392">
        <f>ROUNDUP($G229*$A243*B11,0)</f>
        <v>1944</v>
      </c>
      <c r="O243" s="395" t="s">
        <v>210</v>
      </c>
    </row>
    <row r="244" spans="1:15">
      <c r="A244" s="515"/>
      <c r="B244" s="471"/>
      <c r="C244" s="556"/>
      <c r="D244" s="471"/>
      <c r="E244" s="557"/>
      <c r="F244" s="471"/>
      <c r="G244" s="558"/>
      <c r="H244" s="558"/>
      <c r="I244" s="559"/>
      <c r="J244" s="554"/>
      <c r="K244" s="481"/>
      <c r="M244" s="395"/>
    </row>
    <row r="245" spans="1:15">
      <c r="A245" s="479">
        <f>+H227</f>
        <v>60</v>
      </c>
      <c r="B245" s="544">
        <f>ROUND((J245*($B$220/100)),3)</f>
        <v>15.606999999999999</v>
      </c>
      <c r="C245" s="545">
        <f>ROUND((J245*($C$220/100)),3)</f>
        <v>10.407</v>
      </c>
      <c r="D245" s="546">
        <f>ROUND((J245*($D$220/100)),3)</f>
        <v>0</v>
      </c>
      <c r="E245" s="540">
        <f>ROUND((J245*($E$220/100)),3)</f>
        <v>0.25700000000000001</v>
      </c>
      <c r="F245" s="544">
        <f>ROUND((J245*($F$220/100)),3)</f>
        <v>4.4909999999999997</v>
      </c>
      <c r="G245" s="547">
        <f>ROUND((J245*($G$220/100)),3)</f>
        <v>0.94599999999999995</v>
      </c>
      <c r="H245" s="548">
        <f>ROUND((J245*($H$220/100)),3)</f>
        <v>0.10299999999999999</v>
      </c>
      <c r="I245" s="555">
        <f>ROUND((J245*($I$220/100)),3)</f>
        <v>0.26900000000000002</v>
      </c>
      <c r="J245" s="475">
        <f>ROUND(IF($D$25&lt;4,K245/A245/$B$11,H230),2)</f>
        <v>32.08</v>
      </c>
      <c r="K245" s="91">
        <f>IF($D$25&lt;4,$C$30,ROUNDUP($J245*$A245*B11,0))</f>
        <v>1925</v>
      </c>
      <c r="L245" s="392" t="str">
        <f>IF($C$4=1,IF($D$25&lt;4,"첨두시","용량적용"),IF($D$25&lt;4,"첨두시","용량적용"))</f>
        <v>용량적용</v>
      </c>
      <c r="M245" s="395">
        <f>IF($L$243="용량적용",1,2)</f>
        <v>1</v>
      </c>
      <c r="N245" s="392">
        <f>ROUNDUP($H229*$A245*B11,0)</f>
        <v>1925</v>
      </c>
      <c r="O245" s="395" t="s">
        <v>210</v>
      </c>
    </row>
    <row r="246" spans="1:15">
      <c r="A246" s="515"/>
      <c r="B246" s="471"/>
      <c r="C246" s="556"/>
      <c r="D246" s="471"/>
      <c r="E246" s="557"/>
      <c r="F246" s="471"/>
      <c r="G246" s="558"/>
      <c r="H246" s="558"/>
      <c r="I246" s="559"/>
      <c r="J246" s="554"/>
      <c r="K246" s="481"/>
    </row>
    <row r="247" spans="1:15">
      <c r="A247" s="479">
        <f>+I227</f>
        <v>70</v>
      </c>
      <c r="B247" s="544">
        <f>ROUND((J247*($B$220/100)),3)</f>
        <v>13.243</v>
      </c>
      <c r="C247" s="545">
        <f>ROUND((J247*($C$220/100)),3)</f>
        <v>8.83</v>
      </c>
      <c r="D247" s="546">
        <f>ROUND((J247*($D$220/100)),3)</f>
        <v>0</v>
      </c>
      <c r="E247" s="540">
        <f>ROUND((J247*($E$220/100)),3)</f>
        <v>0.218</v>
      </c>
      <c r="F247" s="544">
        <f>ROUND((J247*($F$220/100)),3)</f>
        <v>3.8109999999999999</v>
      </c>
      <c r="G247" s="547">
        <f>ROUND((J247*($G$220/100)),3)</f>
        <v>0.80300000000000005</v>
      </c>
      <c r="H247" s="548">
        <f>ROUND((J247*($H$220/100)),3)</f>
        <v>8.6999999999999994E-2</v>
      </c>
      <c r="I247" s="555">
        <f>ROUND((J247*($I$220/100)),3)</f>
        <v>0.22900000000000001</v>
      </c>
      <c r="J247" s="475">
        <f>ROUND(IF($D$25&lt;4,K247/A247/$B$11,I230),2)</f>
        <v>27.22</v>
      </c>
      <c r="K247" s="91">
        <f>IF($D$25&lt;4,$C$30,ROUNDUP($J247*$A247*B11,0))</f>
        <v>1906</v>
      </c>
      <c r="L247" s="392" t="str">
        <f>IF($C$4=1,IF($D$25&lt;4,"첨두시","용량적용"),IF($D$25&lt;4,"첨두시","용량적용"))</f>
        <v>용량적용</v>
      </c>
      <c r="M247" s="395">
        <f>IF($L$243="용량적용",1,2)</f>
        <v>1</v>
      </c>
      <c r="N247" s="392">
        <f>ROUNDUP($I229*$A247*B11,0)</f>
        <v>1906</v>
      </c>
      <c r="O247" s="395" t="s">
        <v>210</v>
      </c>
    </row>
    <row r="248" spans="1:15" ht="12.75" customHeight="1">
      <c r="A248" s="515"/>
      <c r="B248" s="471"/>
      <c r="C248" s="556"/>
      <c r="D248" s="471"/>
      <c r="E248" s="557"/>
      <c r="F248" s="471"/>
      <c r="G248" s="558"/>
      <c r="H248" s="558"/>
      <c r="I248" s="559"/>
      <c r="J248" s="554"/>
      <c r="K248" s="481"/>
    </row>
    <row r="249" spans="1:15">
      <c r="A249" s="479">
        <f>+J227</f>
        <v>80</v>
      </c>
      <c r="B249" s="544">
        <f>ROUND((J249*($B$220/100)),3)</f>
        <v>11.821999999999999</v>
      </c>
      <c r="C249" s="545">
        <f>ROUND((J249*($C$220/100)),3)</f>
        <v>7.883</v>
      </c>
      <c r="D249" s="546">
        <f>ROUND((J249*($D$220/100)),3)</f>
        <v>0</v>
      </c>
      <c r="E249" s="540">
        <f>ROUND((J249*($E$220/100)),3)</f>
        <v>0.19400000000000001</v>
      </c>
      <c r="F249" s="544">
        <f>ROUND((J249*($F$220/100)),3)</f>
        <v>3.4020000000000001</v>
      </c>
      <c r="G249" s="547">
        <f>ROUND((J249*($G$220/100)),3)</f>
        <v>0.71699999999999997</v>
      </c>
      <c r="H249" s="548">
        <f>ROUND((J249*($H$220/100)),3)</f>
        <v>7.8E-2</v>
      </c>
      <c r="I249" s="555">
        <f>ROUND((J249*($I$220/100)),3)</f>
        <v>0.20399999999999999</v>
      </c>
      <c r="J249" s="475">
        <f>ROUND(IF($D$25&lt;4,K249/A249/$B$11,J230),2)</f>
        <v>24.3</v>
      </c>
      <c r="K249" s="91">
        <f>IF($D$25&lt;4,$C$30,ROUNDUP($J249*$A249*B11,0))</f>
        <v>1944</v>
      </c>
      <c r="L249" s="392" t="str">
        <f>IF($C$4=1,IF($D$25&lt;4,"첨두시","용량적용"),IF($D$25&lt;4,"첨두시","용량적용"))</f>
        <v>용량적용</v>
      </c>
      <c r="M249" s="395">
        <f>IF($L$243="용량적용",1,2)</f>
        <v>1</v>
      </c>
      <c r="N249" s="392">
        <f>ROUNDUP($J229*$A249*B11,0)</f>
        <v>1944</v>
      </c>
      <c r="O249" s="395" t="s">
        <v>210</v>
      </c>
    </row>
    <row r="250" spans="1:15" ht="14.25" thickBot="1">
      <c r="A250" s="486"/>
      <c r="B250" s="560"/>
      <c r="C250" s="561"/>
      <c r="D250" s="560"/>
      <c r="E250" s="562"/>
      <c r="F250" s="560"/>
      <c r="G250" s="563"/>
      <c r="H250" s="563"/>
      <c r="I250" s="564"/>
      <c r="J250" s="565"/>
      <c r="K250" s="489"/>
    </row>
    <row r="251" spans="1:15">
      <c r="A251" s="475"/>
      <c r="B251" s="475"/>
      <c r="C251" s="475"/>
      <c r="D251" s="475"/>
      <c r="E251" s="475"/>
      <c r="F251" s="475"/>
      <c r="G251" s="475"/>
      <c r="H251" s="475"/>
      <c r="I251" s="475"/>
      <c r="J251" s="475"/>
    </row>
    <row r="252" spans="1:15" ht="17.100000000000001" customHeight="1" thickBot="1">
      <c r="A252" s="390" t="s">
        <v>315</v>
      </c>
      <c r="B252" s="390"/>
      <c r="C252" s="390"/>
      <c r="D252" s="390"/>
      <c r="E252" s="393"/>
      <c r="F252" s="213"/>
      <c r="G252" s="390"/>
      <c r="H252" s="390"/>
      <c r="I252" s="390"/>
      <c r="J252" s="390"/>
      <c r="K252" s="566"/>
    </row>
    <row r="253" spans="1:15" ht="17.100000000000001" customHeight="1">
      <c r="A253" s="1501" t="s">
        <v>294</v>
      </c>
      <c r="B253" s="1499" t="s">
        <v>293</v>
      </c>
      <c r="C253" s="1482" t="s">
        <v>277</v>
      </c>
      <c r="D253" s="1483"/>
      <c r="E253" s="1482" t="s">
        <v>278</v>
      </c>
      <c r="F253" s="1483"/>
      <c r="G253" s="1482" t="s">
        <v>279</v>
      </c>
      <c r="H253" s="1496"/>
      <c r="I253" s="1496"/>
      <c r="J253" s="1497"/>
      <c r="K253" s="430"/>
    </row>
    <row r="254" spans="1:15" ht="17.100000000000001" customHeight="1">
      <c r="A254" s="1502"/>
      <c r="B254" s="1500"/>
      <c r="C254" s="568" t="str">
        <f t="shared" ref="C254:J254" si="58">B234</f>
        <v>휘발유</v>
      </c>
      <c r="D254" s="569" t="str">
        <f t="shared" si="58"/>
        <v>경유</v>
      </c>
      <c r="E254" s="568" t="str">
        <f t="shared" si="58"/>
        <v>소형</v>
      </c>
      <c r="F254" s="570" t="str">
        <f t="shared" si="58"/>
        <v>대형</v>
      </c>
      <c r="G254" s="568" t="str">
        <f t="shared" si="58"/>
        <v>소형</v>
      </c>
      <c r="H254" s="571" t="str">
        <f t="shared" si="58"/>
        <v>중형</v>
      </c>
      <c r="I254" s="571" t="str">
        <f t="shared" si="58"/>
        <v>대형</v>
      </c>
      <c r="J254" s="572" t="str">
        <f t="shared" si="58"/>
        <v>특수</v>
      </c>
      <c r="K254" s="433"/>
    </row>
    <row r="255" spans="1:15" ht="17.100000000000001" customHeight="1">
      <c r="A255" s="1422">
        <v>10</v>
      </c>
      <c r="B255" s="573" t="str">
        <f>B7</f>
        <v>1구간</v>
      </c>
      <c r="C255" s="574">
        <f t="shared" ref="C255:J256" si="59">ROUND($M255*B$220/100,2)</f>
        <v>51.54</v>
      </c>
      <c r="D255" s="575">
        <f t="shared" si="59"/>
        <v>34.369999999999997</v>
      </c>
      <c r="E255" s="576">
        <f t="shared" si="59"/>
        <v>0</v>
      </c>
      <c r="F255" s="576">
        <f t="shared" si="59"/>
        <v>0.85</v>
      </c>
      <c r="G255" s="577">
        <f t="shared" si="59"/>
        <v>14.83</v>
      </c>
      <c r="H255" s="578">
        <f t="shared" si="59"/>
        <v>3.13</v>
      </c>
      <c r="I255" s="578">
        <f t="shared" si="59"/>
        <v>0.34</v>
      </c>
      <c r="J255" s="579">
        <f t="shared" si="59"/>
        <v>0.89</v>
      </c>
      <c r="K255" s="211"/>
      <c r="M255" s="441">
        <f>ROUND((($B$228*$A$235*(($B$9/1000)/$A$235)*$B$11)/$B$226),2)</f>
        <v>105.95</v>
      </c>
      <c r="O255" s="395"/>
    </row>
    <row r="256" spans="1:15" ht="17.100000000000001" customHeight="1">
      <c r="A256" s="1423"/>
      <c r="B256" s="580" t="str">
        <f>C7</f>
        <v>2구간</v>
      </c>
      <c r="C256" s="581">
        <f t="shared" si="59"/>
        <v>0</v>
      </c>
      <c r="D256" s="582">
        <f t="shared" si="59"/>
        <v>0</v>
      </c>
      <c r="E256" s="581">
        <f t="shared" si="59"/>
        <v>0</v>
      </c>
      <c r="F256" s="582">
        <f t="shared" si="59"/>
        <v>0</v>
      </c>
      <c r="G256" s="581">
        <f t="shared" si="59"/>
        <v>0</v>
      </c>
      <c r="H256" s="581">
        <f t="shared" si="59"/>
        <v>0</v>
      </c>
      <c r="I256" s="581">
        <f t="shared" si="59"/>
        <v>0</v>
      </c>
      <c r="J256" s="583">
        <f t="shared" si="59"/>
        <v>0</v>
      </c>
      <c r="K256" s="433"/>
      <c r="M256" s="448">
        <f>ROUND((($B$228*$A$235*(($C$9/1000)/$A$235)*$C$11)/$B$226),2)</f>
        <v>0</v>
      </c>
    </row>
    <row r="257" spans="1:16" ht="17.100000000000001" customHeight="1">
      <c r="A257" s="1423"/>
      <c r="B257" s="580" t="str">
        <f>D7</f>
        <v>3구간</v>
      </c>
      <c r="C257" s="581">
        <f t="shared" ref="C257:J259" si="60">ROUND($M257*B$220/100,2)</f>
        <v>0</v>
      </c>
      <c r="D257" s="582">
        <f t="shared" si="60"/>
        <v>0</v>
      </c>
      <c r="E257" s="581">
        <f t="shared" si="60"/>
        <v>0</v>
      </c>
      <c r="F257" s="582">
        <f t="shared" si="60"/>
        <v>0</v>
      </c>
      <c r="G257" s="581">
        <f t="shared" si="60"/>
        <v>0</v>
      </c>
      <c r="H257" s="581">
        <f t="shared" si="60"/>
        <v>0</v>
      </c>
      <c r="I257" s="581">
        <f t="shared" si="60"/>
        <v>0</v>
      </c>
      <c r="J257" s="583">
        <f t="shared" si="60"/>
        <v>0</v>
      </c>
      <c r="K257" s="433"/>
      <c r="M257" s="448">
        <f>ROUND((($B$228*$A$235*(($D$9/1000)/$A$235)*$D$11)/$B$226),2)</f>
        <v>0</v>
      </c>
      <c r="P257" s="421"/>
    </row>
    <row r="258" spans="1:16" ht="17.100000000000001" customHeight="1">
      <c r="A258" s="1423"/>
      <c r="B258" s="580" t="str">
        <f>E7</f>
        <v>4구간</v>
      </c>
      <c r="C258" s="581">
        <f t="shared" si="60"/>
        <v>0</v>
      </c>
      <c r="D258" s="582">
        <f t="shared" si="60"/>
        <v>0</v>
      </c>
      <c r="E258" s="581">
        <f t="shared" si="60"/>
        <v>0</v>
      </c>
      <c r="F258" s="582">
        <f t="shared" si="60"/>
        <v>0</v>
      </c>
      <c r="G258" s="581">
        <f t="shared" si="60"/>
        <v>0</v>
      </c>
      <c r="H258" s="581">
        <f t="shared" si="60"/>
        <v>0</v>
      </c>
      <c r="I258" s="581">
        <f t="shared" si="60"/>
        <v>0</v>
      </c>
      <c r="J258" s="583">
        <f t="shared" si="60"/>
        <v>0</v>
      </c>
      <c r="K258" s="433"/>
      <c r="M258" s="448">
        <f>ROUND((($B$228*$A$235*(($E$9/1000)/$A$235)*$E$11)/$B$226),2)</f>
        <v>0</v>
      </c>
    </row>
    <row r="259" spans="1:16" ht="17.100000000000001" customHeight="1">
      <c r="A259" s="1423"/>
      <c r="B259" s="580" t="str">
        <f>F7</f>
        <v>5구간</v>
      </c>
      <c r="C259" s="581">
        <f t="shared" si="60"/>
        <v>0</v>
      </c>
      <c r="D259" s="582">
        <f t="shared" si="60"/>
        <v>0</v>
      </c>
      <c r="E259" s="581">
        <f t="shared" si="60"/>
        <v>0</v>
      </c>
      <c r="F259" s="582">
        <f t="shared" si="60"/>
        <v>0</v>
      </c>
      <c r="G259" s="581">
        <f t="shared" si="60"/>
        <v>0</v>
      </c>
      <c r="H259" s="581">
        <f t="shared" si="60"/>
        <v>0</v>
      </c>
      <c r="I259" s="581">
        <f t="shared" si="60"/>
        <v>0</v>
      </c>
      <c r="J259" s="583">
        <f t="shared" si="60"/>
        <v>0</v>
      </c>
      <c r="K259" s="433"/>
      <c r="M259" s="448">
        <f>ROUND((($B$228*$A$235*(($F$9/1000)/$A$235)*$F$11)/$B$226),2)</f>
        <v>0</v>
      </c>
    </row>
    <row r="260" spans="1:16" ht="17.100000000000001" customHeight="1">
      <c r="A260" s="1423"/>
      <c r="B260" s="584" t="str">
        <f>B12</f>
        <v>6구간</v>
      </c>
      <c r="C260" s="585">
        <f t="shared" ref="C260:J260" si="61">ROUND($M260*B$220/100,2)</f>
        <v>0</v>
      </c>
      <c r="D260" s="586">
        <f t="shared" si="61"/>
        <v>0</v>
      </c>
      <c r="E260" s="587">
        <f t="shared" si="61"/>
        <v>0</v>
      </c>
      <c r="F260" s="587">
        <f t="shared" si="61"/>
        <v>0</v>
      </c>
      <c r="G260" s="588">
        <f t="shared" si="61"/>
        <v>0</v>
      </c>
      <c r="H260" s="589">
        <f t="shared" si="61"/>
        <v>0</v>
      </c>
      <c r="I260" s="589">
        <f t="shared" si="61"/>
        <v>0</v>
      </c>
      <c r="J260" s="590">
        <f t="shared" si="61"/>
        <v>0</v>
      </c>
      <c r="K260" s="211"/>
      <c r="M260" s="448">
        <f>ROUND((($B$228*$A$235*(($B$14/1000)/$A$235)*$B$16)/$B$226),2)</f>
        <v>0</v>
      </c>
      <c r="O260" s="395"/>
    </row>
    <row r="261" spans="1:16" ht="17.100000000000001" customHeight="1">
      <c r="A261" s="1423"/>
      <c r="B261" s="580" t="str">
        <f>C12</f>
        <v>7구간</v>
      </c>
      <c r="C261" s="581">
        <f t="shared" ref="C261:J261" si="62">ROUND($M261*B$220/100,2)</f>
        <v>0</v>
      </c>
      <c r="D261" s="582">
        <f t="shared" si="62"/>
        <v>0</v>
      </c>
      <c r="E261" s="581">
        <f t="shared" si="62"/>
        <v>0</v>
      </c>
      <c r="F261" s="582">
        <f t="shared" si="62"/>
        <v>0</v>
      </c>
      <c r="G261" s="581">
        <f t="shared" si="62"/>
        <v>0</v>
      </c>
      <c r="H261" s="581">
        <f t="shared" si="62"/>
        <v>0</v>
      </c>
      <c r="I261" s="581">
        <f t="shared" si="62"/>
        <v>0</v>
      </c>
      <c r="J261" s="583">
        <f t="shared" si="62"/>
        <v>0</v>
      </c>
      <c r="K261" s="433"/>
      <c r="M261" s="448">
        <f>ROUND((($B$228*$A$235*(($C$14/1000)/$A$235)*$C$16)/$B$226),2)</f>
        <v>0</v>
      </c>
    </row>
    <row r="262" spans="1:16" ht="17.100000000000001" customHeight="1">
      <c r="A262" s="1423"/>
      <c r="B262" s="580" t="str">
        <f>D12</f>
        <v>8구간</v>
      </c>
      <c r="C262" s="581">
        <f t="shared" ref="C262:J262" si="63">ROUND($M262*B$220/100,2)</f>
        <v>0</v>
      </c>
      <c r="D262" s="582">
        <f t="shared" si="63"/>
        <v>0</v>
      </c>
      <c r="E262" s="581">
        <f t="shared" si="63"/>
        <v>0</v>
      </c>
      <c r="F262" s="582">
        <f t="shared" si="63"/>
        <v>0</v>
      </c>
      <c r="G262" s="581">
        <f t="shared" si="63"/>
        <v>0</v>
      </c>
      <c r="H262" s="581">
        <f t="shared" si="63"/>
        <v>0</v>
      </c>
      <c r="I262" s="581">
        <f t="shared" si="63"/>
        <v>0</v>
      </c>
      <c r="J262" s="583">
        <f t="shared" si="63"/>
        <v>0</v>
      </c>
      <c r="K262" s="433"/>
      <c r="M262" s="448">
        <f>ROUND((($B$228*$A$235*(($D$14/1000)/$A$235)*$D$16)/$B$226),2)</f>
        <v>0</v>
      </c>
      <c r="P262" s="421"/>
    </row>
    <row r="263" spans="1:16" ht="17.100000000000001" customHeight="1">
      <c r="A263" s="1423"/>
      <c r="B263" s="580" t="str">
        <f>E12</f>
        <v>9구간</v>
      </c>
      <c r="C263" s="581">
        <f t="shared" ref="C263:J263" si="64">ROUND($M263*B$220/100,2)</f>
        <v>0</v>
      </c>
      <c r="D263" s="582">
        <f t="shared" si="64"/>
        <v>0</v>
      </c>
      <c r="E263" s="581">
        <f t="shared" si="64"/>
        <v>0</v>
      </c>
      <c r="F263" s="582">
        <f t="shared" si="64"/>
        <v>0</v>
      </c>
      <c r="G263" s="581">
        <f t="shared" si="64"/>
        <v>0</v>
      </c>
      <c r="H263" s="581">
        <f t="shared" si="64"/>
        <v>0</v>
      </c>
      <c r="I263" s="581">
        <f t="shared" si="64"/>
        <v>0</v>
      </c>
      <c r="J263" s="583">
        <f t="shared" si="64"/>
        <v>0</v>
      </c>
      <c r="K263" s="433"/>
      <c r="M263" s="448">
        <f>ROUND((($B$228*$A$235*(($E$14/1000)/$A$235)*$E$16)/$B$226),2)</f>
        <v>0</v>
      </c>
    </row>
    <row r="264" spans="1:16" ht="17.100000000000001" customHeight="1">
      <c r="A264" s="1423"/>
      <c r="B264" s="591" t="str">
        <f>F12</f>
        <v>10구간</v>
      </c>
      <c r="C264" s="592">
        <f t="shared" ref="C264:J264" si="65">ROUND($M264*B$220/100,2)</f>
        <v>0</v>
      </c>
      <c r="D264" s="593">
        <f t="shared" si="65"/>
        <v>0</v>
      </c>
      <c r="E264" s="592">
        <f t="shared" si="65"/>
        <v>0</v>
      </c>
      <c r="F264" s="593">
        <f t="shared" si="65"/>
        <v>0</v>
      </c>
      <c r="G264" s="592">
        <f t="shared" si="65"/>
        <v>0</v>
      </c>
      <c r="H264" s="592">
        <f t="shared" si="65"/>
        <v>0</v>
      </c>
      <c r="I264" s="592">
        <f t="shared" si="65"/>
        <v>0</v>
      </c>
      <c r="J264" s="594">
        <f t="shared" si="65"/>
        <v>0</v>
      </c>
      <c r="K264" s="433"/>
      <c r="M264" s="448">
        <f>ROUND((($B$228*$A$235*(($F$14/1000)/$A$235)*$F$16)/$B$226),2)</f>
        <v>0</v>
      </c>
    </row>
    <row r="265" spans="1:16" ht="17.100000000000001" customHeight="1">
      <c r="A265" s="1424"/>
      <c r="B265" s="595" t="s">
        <v>289</v>
      </c>
      <c r="C265" s="596">
        <f>SUM(C255:C264)</f>
        <v>51.54</v>
      </c>
      <c r="D265" s="596">
        <f t="shared" ref="D265:J265" si="66">SUM(D255:D264)</f>
        <v>34.369999999999997</v>
      </c>
      <c r="E265" s="596">
        <f t="shared" si="66"/>
        <v>0</v>
      </c>
      <c r="F265" s="596">
        <f t="shared" si="66"/>
        <v>0.85</v>
      </c>
      <c r="G265" s="596">
        <f t="shared" si="66"/>
        <v>14.83</v>
      </c>
      <c r="H265" s="596">
        <f t="shared" si="66"/>
        <v>3.13</v>
      </c>
      <c r="I265" s="596">
        <f t="shared" si="66"/>
        <v>0.34</v>
      </c>
      <c r="J265" s="597">
        <f t="shared" si="66"/>
        <v>0.89</v>
      </c>
      <c r="K265" s="598"/>
      <c r="M265" s="599">
        <f>SUM(M255:M264)</f>
        <v>105.95</v>
      </c>
    </row>
    <row r="266" spans="1:16" ht="17.100000000000001" customHeight="1">
      <c r="A266" s="1422">
        <v>20</v>
      </c>
      <c r="B266" s="600" t="str">
        <f t="shared" ref="B266:B297" si="67">B255</f>
        <v>1구간</v>
      </c>
      <c r="C266" s="601">
        <f t="shared" ref="C266:J267" si="68">ROUND($M266*B$220/100,2)</f>
        <v>37.36</v>
      </c>
      <c r="D266" s="575">
        <f t="shared" si="68"/>
        <v>24.91</v>
      </c>
      <c r="E266" s="576">
        <f t="shared" si="68"/>
        <v>0</v>
      </c>
      <c r="F266" s="575">
        <f t="shared" si="68"/>
        <v>0.61</v>
      </c>
      <c r="G266" s="576">
        <f t="shared" si="68"/>
        <v>10.75</v>
      </c>
      <c r="H266" s="578">
        <f t="shared" si="68"/>
        <v>2.27</v>
      </c>
      <c r="I266" s="578">
        <f t="shared" si="68"/>
        <v>0.25</v>
      </c>
      <c r="J266" s="579">
        <f t="shared" si="68"/>
        <v>0.65</v>
      </c>
      <c r="K266" s="211"/>
      <c r="L266" s="421"/>
      <c r="M266" s="448">
        <f>ROUND((($D$228*$A$237*(($B$9/1000)/$A$237)*$B$11)/$B$226),2)</f>
        <v>76.790000000000006</v>
      </c>
      <c r="O266" s="395"/>
    </row>
    <row r="267" spans="1:16" ht="17.100000000000001" customHeight="1">
      <c r="A267" s="1423"/>
      <c r="B267" s="580" t="str">
        <f t="shared" si="67"/>
        <v>2구간</v>
      </c>
      <c r="C267" s="581">
        <f t="shared" si="68"/>
        <v>0</v>
      </c>
      <c r="D267" s="582">
        <f t="shared" si="68"/>
        <v>0</v>
      </c>
      <c r="E267" s="581">
        <f t="shared" si="68"/>
        <v>0</v>
      </c>
      <c r="F267" s="582">
        <f t="shared" si="68"/>
        <v>0</v>
      </c>
      <c r="G267" s="581">
        <f t="shared" si="68"/>
        <v>0</v>
      </c>
      <c r="H267" s="581">
        <f t="shared" si="68"/>
        <v>0</v>
      </c>
      <c r="I267" s="581">
        <f t="shared" si="68"/>
        <v>0</v>
      </c>
      <c r="J267" s="583">
        <f t="shared" si="68"/>
        <v>0</v>
      </c>
      <c r="K267" s="433"/>
      <c r="L267" s="421"/>
      <c r="M267" s="448">
        <f>ROUND((($D$228*$A$237*(($C$9/1000)/$A$237)*$C$11)/$B$226),2)</f>
        <v>0</v>
      </c>
    </row>
    <row r="268" spans="1:16" ht="17.100000000000001" customHeight="1">
      <c r="A268" s="1423"/>
      <c r="B268" s="602" t="str">
        <f t="shared" si="67"/>
        <v>3구간</v>
      </c>
      <c r="C268" s="581">
        <f t="shared" ref="C268:J268" si="69">ROUND($M268*B$220/100,2)</f>
        <v>0</v>
      </c>
      <c r="D268" s="582">
        <f t="shared" si="69"/>
        <v>0</v>
      </c>
      <c r="E268" s="581">
        <f t="shared" si="69"/>
        <v>0</v>
      </c>
      <c r="F268" s="582">
        <f t="shared" si="69"/>
        <v>0</v>
      </c>
      <c r="G268" s="581">
        <f t="shared" si="69"/>
        <v>0</v>
      </c>
      <c r="H268" s="581">
        <f t="shared" si="69"/>
        <v>0</v>
      </c>
      <c r="I268" s="581">
        <f t="shared" si="69"/>
        <v>0</v>
      </c>
      <c r="J268" s="583">
        <f t="shared" si="69"/>
        <v>0</v>
      </c>
      <c r="K268" s="433"/>
      <c r="L268" s="421"/>
      <c r="M268" s="448">
        <f>ROUND((($D$228*$A$237*(($D$9/1000)/$A$237)*$D$11)/$B$226),2)</f>
        <v>0</v>
      </c>
    </row>
    <row r="269" spans="1:16" ht="17.100000000000001" customHeight="1">
      <c r="A269" s="1423"/>
      <c r="B269" s="580" t="str">
        <f t="shared" si="67"/>
        <v>4구간</v>
      </c>
      <c r="C269" s="581">
        <f t="shared" ref="C269:J269" si="70">ROUND($M269*B$220/100,2)</f>
        <v>0</v>
      </c>
      <c r="D269" s="582">
        <f t="shared" si="70"/>
        <v>0</v>
      </c>
      <c r="E269" s="581">
        <f t="shared" si="70"/>
        <v>0</v>
      </c>
      <c r="F269" s="582">
        <f t="shared" si="70"/>
        <v>0</v>
      </c>
      <c r="G269" s="581">
        <f t="shared" si="70"/>
        <v>0</v>
      </c>
      <c r="H269" s="581">
        <f t="shared" si="70"/>
        <v>0</v>
      </c>
      <c r="I269" s="581">
        <f t="shared" si="70"/>
        <v>0</v>
      </c>
      <c r="J269" s="583">
        <f t="shared" si="70"/>
        <v>0</v>
      </c>
      <c r="K269" s="433"/>
      <c r="L269" s="421"/>
      <c r="M269" s="448">
        <f>ROUND((($D$228*$A$237*(($E$9/1000)/$A$237)*$E$11)/$B$226),2)</f>
        <v>0</v>
      </c>
    </row>
    <row r="270" spans="1:16" ht="17.100000000000001" customHeight="1">
      <c r="A270" s="1423"/>
      <c r="B270" s="580" t="str">
        <f t="shared" si="67"/>
        <v>5구간</v>
      </c>
      <c r="C270" s="581">
        <f t="shared" ref="C270:J270" si="71">ROUND($M270*B$220/100,2)</f>
        <v>0</v>
      </c>
      <c r="D270" s="582">
        <f t="shared" si="71"/>
        <v>0</v>
      </c>
      <c r="E270" s="581">
        <f t="shared" si="71"/>
        <v>0</v>
      </c>
      <c r="F270" s="582">
        <f t="shared" si="71"/>
        <v>0</v>
      </c>
      <c r="G270" s="581">
        <f t="shared" si="71"/>
        <v>0</v>
      </c>
      <c r="H270" s="581">
        <f t="shared" si="71"/>
        <v>0</v>
      </c>
      <c r="I270" s="581">
        <f t="shared" si="71"/>
        <v>0</v>
      </c>
      <c r="J270" s="583">
        <f t="shared" si="71"/>
        <v>0</v>
      </c>
      <c r="K270" s="433"/>
      <c r="L270" s="421"/>
      <c r="M270" s="448">
        <f>ROUND((($D$228*$A$237*(($F$9/1000)/$A$237)*$F$11)/$B$226),2)</f>
        <v>0</v>
      </c>
    </row>
    <row r="271" spans="1:16" ht="17.100000000000001" customHeight="1">
      <c r="A271" s="1423"/>
      <c r="B271" s="602" t="str">
        <f t="shared" si="67"/>
        <v>6구간</v>
      </c>
      <c r="C271" s="603">
        <f t="shared" ref="C271:J271" si="72">ROUND($M271*B$220/100,2)</f>
        <v>0</v>
      </c>
      <c r="D271" s="586">
        <f t="shared" si="72"/>
        <v>0</v>
      </c>
      <c r="E271" s="587">
        <f t="shared" si="72"/>
        <v>0</v>
      </c>
      <c r="F271" s="586">
        <f t="shared" si="72"/>
        <v>0</v>
      </c>
      <c r="G271" s="587">
        <f t="shared" si="72"/>
        <v>0</v>
      </c>
      <c r="H271" s="589">
        <f t="shared" si="72"/>
        <v>0</v>
      </c>
      <c r="I271" s="589">
        <f t="shared" si="72"/>
        <v>0</v>
      </c>
      <c r="J271" s="590">
        <f t="shared" si="72"/>
        <v>0</v>
      </c>
      <c r="K271" s="211"/>
      <c r="L271" s="421"/>
      <c r="M271" s="448">
        <f>ROUND((($D$228*$A$237*(($B$14/1000)/$A$237)*$B$16)/$B$226),2)</f>
        <v>0</v>
      </c>
      <c r="O271" s="395"/>
    </row>
    <row r="272" spans="1:16" ht="17.100000000000001" customHeight="1">
      <c r="A272" s="1423"/>
      <c r="B272" s="580" t="str">
        <f t="shared" si="67"/>
        <v>7구간</v>
      </c>
      <c r="C272" s="581">
        <f t="shared" ref="C272:J272" si="73">ROUND($M272*B$220/100,2)</f>
        <v>0</v>
      </c>
      <c r="D272" s="582">
        <f t="shared" si="73"/>
        <v>0</v>
      </c>
      <c r="E272" s="581">
        <f t="shared" si="73"/>
        <v>0</v>
      </c>
      <c r="F272" s="582">
        <f t="shared" si="73"/>
        <v>0</v>
      </c>
      <c r="G272" s="581">
        <f t="shared" si="73"/>
        <v>0</v>
      </c>
      <c r="H272" s="581">
        <f t="shared" si="73"/>
        <v>0</v>
      </c>
      <c r="I272" s="581">
        <f t="shared" si="73"/>
        <v>0</v>
      </c>
      <c r="J272" s="583">
        <f t="shared" si="73"/>
        <v>0</v>
      </c>
      <c r="K272" s="433"/>
      <c r="L272" s="421"/>
      <c r="M272" s="448">
        <f>ROUND((($D$228*$A$237*(($C$14/1000)/$A$237)*$C$16)/$B$226),2)</f>
        <v>0</v>
      </c>
    </row>
    <row r="273" spans="1:15" ht="17.100000000000001" customHeight="1">
      <c r="A273" s="1423"/>
      <c r="B273" s="602" t="str">
        <f t="shared" si="67"/>
        <v>8구간</v>
      </c>
      <c r="C273" s="581">
        <f t="shared" ref="C273:J273" si="74">ROUND($M273*B$220/100,2)</f>
        <v>0</v>
      </c>
      <c r="D273" s="582">
        <f t="shared" si="74"/>
        <v>0</v>
      </c>
      <c r="E273" s="581">
        <f t="shared" si="74"/>
        <v>0</v>
      </c>
      <c r="F273" s="582">
        <f t="shared" si="74"/>
        <v>0</v>
      </c>
      <c r="G273" s="581">
        <f t="shared" si="74"/>
        <v>0</v>
      </c>
      <c r="H273" s="581">
        <f t="shared" si="74"/>
        <v>0</v>
      </c>
      <c r="I273" s="581">
        <f t="shared" si="74"/>
        <v>0</v>
      </c>
      <c r="J273" s="583">
        <f t="shared" si="74"/>
        <v>0</v>
      </c>
      <c r="K273" s="433"/>
      <c r="L273" s="421"/>
      <c r="M273" s="448">
        <f>ROUND((($D$228*$A$237*(($D$14/1000)/$A$237)*$D$16)/$B$226),2)</f>
        <v>0</v>
      </c>
    </row>
    <row r="274" spans="1:15" ht="17.100000000000001" customHeight="1">
      <c r="A274" s="1423"/>
      <c r="B274" s="580" t="str">
        <f t="shared" si="67"/>
        <v>9구간</v>
      </c>
      <c r="C274" s="581">
        <f t="shared" ref="C274:J274" si="75">ROUND($M274*B$220/100,2)</f>
        <v>0</v>
      </c>
      <c r="D274" s="582">
        <f t="shared" si="75"/>
        <v>0</v>
      </c>
      <c r="E274" s="581">
        <f t="shared" si="75"/>
        <v>0</v>
      </c>
      <c r="F274" s="582">
        <f t="shared" si="75"/>
        <v>0</v>
      </c>
      <c r="G274" s="581">
        <f t="shared" si="75"/>
        <v>0</v>
      </c>
      <c r="H274" s="581">
        <f t="shared" si="75"/>
        <v>0</v>
      </c>
      <c r="I274" s="581">
        <f t="shared" si="75"/>
        <v>0</v>
      </c>
      <c r="J274" s="583">
        <f t="shared" si="75"/>
        <v>0</v>
      </c>
      <c r="K274" s="433"/>
      <c r="L274" s="421"/>
      <c r="M274" s="448">
        <f>ROUND((($D$228*$A$237*(($E$14/1000)/$A$237)*$E$16)/$B$226),2)</f>
        <v>0</v>
      </c>
    </row>
    <row r="275" spans="1:15" ht="17.100000000000001" customHeight="1">
      <c r="A275" s="1423"/>
      <c r="B275" s="591" t="str">
        <f t="shared" si="67"/>
        <v>10구간</v>
      </c>
      <c r="C275" s="592">
        <f t="shared" ref="C275:J275" si="76">ROUND($M275*B$220/100,2)</f>
        <v>0</v>
      </c>
      <c r="D275" s="593">
        <f t="shared" si="76"/>
        <v>0</v>
      </c>
      <c r="E275" s="592">
        <f t="shared" si="76"/>
        <v>0</v>
      </c>
      <c r="F275" s="593">
        <f t="shared" si="76"/>
        <v>0</v>
      </c>
      <c r="G275" s="592">
        <f t="shared" si="76"/>
        <v>0</v>
      </c>
      <c r="H275" s="592">
        <f t="shared" si="76"/>
        <v>0</v>
      </c>
      <c r="I275" s="592">
        <f t="shared" si="76"/>
        <v>0</v>
      </c>
      <c r="J275" s="594">
        <f t="shared" si="76"/>
        <v>0</v>
      </c>
      <c r="K275" s="433"/>
      <c r="L275" s="421"/>
      <c r="M275" s="448">
        <f>ROUND((($D$228*$A$237*(($F$14/1000)/$A$237)*$F$16)/$B$226),2)</f>
        <v>0</v>
      </c>
    </row>
    <row r="276" spans="1:15" ht="17.100000000000001" customHeight="1">
      <c r="A276" s="1424"/>
      <c r="B276" s="595" t="s">
        <v>289</v>
      </c>
      <c r="C276" s="596">
        <f>SUM(C266:C275)</f>
        <v>37.36</v>
      </c>
      <c r="D276" s="596">
        <f t="shared" ref="D276:J276" si="77">SUM(D266:D275)</f>
        <v>24.91</v>
      </c>
      <c r="E276" s="596">
        <f t="shared" si="77"/>
        <v>0</v>
      </c>
      <c r="F276" s="596">
        <f t="shared" si="77"/>
        <v>0.61</v>
      </c>
      <c r="G276" s="596">
        <f t="shared" si="77"/>
        <v>10.75</v>
      </c>
      <c r="H276" s="596">
        <f t="shared" si="77"/>
        <v>2.27</v>
      </c>
      <c r="I276" s="596">
        <f t="shared" si="77"/>
        <v>0.25</v>
      </c>
      <c r="J276" s="597">
        <f t="shared" si="77"/>
        <v>0.65</v>
      </c>
      <c r="K276" s="433"/>
      <c r="L276" s="421"/>
      <c r="M276" s="599">
        <f>SUM(M266:M275)</f>
        <v>76.790000000000006</v>
      </c>
    </row>
    <row r="277" spans="1:15" ht="17.100000000000001" customHeight="1">
      <c r="A277" s="1422">
        <v>30</v>
      </c>
      <c r="B277" s="600" t="str">
        <f t="shared" si="67"/>
        <v>1구간</v>
      </c>
      <c r="C277" s="601">
        <f t="shared" ref="C277:J278" si="78">ROUND($M277*B$220/100,2)</f>
        <v>28.84</v>
      </c>
      <c r="D277" s="575">
        <f t="shared" si="78"/>
        <v>19.23</v>
      </c>
      <c r="E277" s="576">
        <f t="shared" si="78"/>
        <v>0</v>
      </c>
      <c r="F277" s="575">
        <f t="shared" si="78"/>
        <v>0.47</v>
      </c>
      <c r="G277" s="576">
        <f t="shared" si="78"/>
        <v>8.3000000000000007</v>
      </c>
      <c r="H277" s="578">
        <f t="shared" si="78"/>
        <v>1.75</v>
      </c>
      <c r="I277" s="578">
        <f t="shared" si="78"/>
        <v>0.19</v>
      </c>
      <c r="J277" s="579">
        <f t="shared" si="78"/>
        <v>0.5</v>
      </c>
      <c r="K277" s="211"/>
      <c r="M277" s="448">
        <f>ROUND((($E$228*$A$239*(($B$9/1000)/$A$239)*$B$11)/$B$226),2)</f>
        <v>59.29</v>
      </c>
      <c r="O277" s="395"/>
    </row>
    <row r="278" spans="1:15" ht="17.100000000000001" customHeight="1">
      <c r="A278" s="1423"/>
      <c r="B278" s="580" t="str">
        <f t="shared" si="67"/>
        <v>2구간</v>
      </c>
      <c r="C278" s="581">
        <f t="shared" si="78"/>
        <v>0</v>
      </c>
      <c r="D278" s="582">
        <f t="shared" si="78"/>
        <v>0</v>
      </c>
      <c r="E278" s="581">
        <f t="shared" si="78"/>
        <v>0</v>
      </c>
      <c r="F278" s="582">
        <f t="shared" si="78"/>
        <v>0</v>
      </c>
      <c r="G278" s="581">
        <f t="shared" si="78"/>
        <v>0</v>
      </c>
      <c r="H278" s="581">
        <f t="shared" si="78"/>
        <v>0</v>
      </c>
      <c r="I278" s="581">
        <f t="shared" si="78"/>
        <v>0</v>
      </c>
      <c r="J278" s="583">
        <f t="shared" si="78"/>
        <v>0</v>
      </c>
      <c r="K278" s="433"/>
      <c r="M278" s="448">
        <f>ROUND((($E$228*$A$239*(($C$9/1000)/$A$239)*$C$11)/$B$226),2)</f>
        <v>0</v>
      </c>
    </row>
    <row r="279" spans="1:15" ht="17.100000000000001" customHeight="1">
      <c r="A279" s="1423"/>
      <c r="B279" s="602" t="str">
        <f t="shared" si="67"/>
        <v>3구간</v>
      </c>
      <c r="C279" s="581">
        <f t="shared" ref="C279:J279" si="79">ROUND($M279*B$220/100,2)</f>
        <v>0</v>
      </c>
      <c r="D279" s="582">
        <f t="shared" si="79"/>
        <v>0</v>
      </c>
      <c r="E279" s="581">
        <f t="shared" si="79"/>
        <v>0</v>
      </c>
      <c r="F279" s="582">
        <f t="shared" si="79"/>
        <v>0</v>
      </c>
      <c r="G279" s="581">
        <f t="shared" si="79"/>
        <v>0</v>
      </c>
      <c r="H279" s="581">
        <f t="shared" si="79"/>
        <v>0</v>
      </c>
      <c r="I279" s="581">
        <f t="shared" si="79"/>
        <v>0</v>
      </c>
      <c r="J279" s="583">
        <f t="shared" si="79"/>
        <v>0</v>
      </c>
      <c r="K279" s="433"/>
      <c r="M279" s="448">
        <f>ROUND((($E$228*$A$239*(($D$9/1000)/$A$239)*$D$11)/$B$226),2)</f>
        <v>0</v>
      </c>
    </row>
    <row r="280" spans="1:15" ht="17.100000000000001" customHeight="1">
      <c r="A280" s="1423"/>
      <c r="B280" s="580" t="str">
        <f t="shared" si="67"/>
        <v>4구간</v>
      </c>
      <c r="C280" s="581">
        <f t="shared" ref="C280:J280" si="80">ROUND($M280*B$220/100,2)</f>
        <v>0</v>
      </c>
      <c r="D280" s="582">
        <f t="shared" si="80"/>
        <v>0</v>
      </c>
      <c r="E280" s="581">
        <f t="shared" si="80"/>
        <v>0</v>
      </c>
      <c r="F280" s="582">
        <f t="shared" si="80"/>
        <v>0</v>
      </c>
      <c r="G280" s="581">
        <f t="shared" si="80"/>
        <v>0</v>
      </c>
      <c r="H280" s="581">
        <f t="shared" si="80"/>
        <v>0</v>
      </c>
      <c r="I280" s="581">
        <f t="shared" si="80"/>
        <v>0</v>
      </c>
      <c r="J280" s="583">
        <f t="shared" si="80"/>
        <v>0</v>
      </c>
      <c r="K280" s="433"/>
      <c r="M280" s="448">
        <f>ROUND((($E$228*$A$239*(($E$9/1000)/$A$239)*$E$11)/$B$226),2)</f>
        <v>0</v>
      </c>
    </row>
    <row r="281" spans="1:15" ht="17.100000000000001" customHeight="1">
      <c r="A281" s="1423"/>
      <c r="B281" s="580" t="str">
        <f t="shared" si="67"/>
        <v>5구간</v>
      </c>
      <c r="C281" s="581">
        <f t="shared" ref="C281:J281" si="81">ROUND($M281*B$220/100,2)</f>
        <v>0</v>
      </c>
      <c r="D281" s="582">
        <f t="shared" si="81"/>
        <v>0</v>
      </c>
      <c r="E281" s="581">
        <f t="shared" si="81"/>
        <v>0</v>
      </c>
      <c r="F281" s="582">
        <f t="shared" si="81"/>
        <v>0</v>
      </c>
      <c r="G281" s="581">
        <f t="shared" si="81"/>
        <v>0</v>
      </c>
      <c r="H281" s="581">
        <f t="shared" si="81"/>
        <v>0</v>
      </c>
      <c r="I281" s="581">
        <f t="shared" si="81"/>
        <v>0</v>
      </c>
      <c r="J281" s="583">
        <f t="shared" si="81"/>
        <v>0</v>
      </c>
      <c r="K281" s="433"/>
      <c r="M281" s="448">
        <f>ROUND((($E$228*$A$239*(($F$9/1000)/$A$239)*$F$11)/$B$226),2)</f>
        <v>0</v>
      </c>
    </row>
    <row r="282" spans="1:15" ht="17.100000000000001" customHeight="1">
      <c r="A282" s="1423"/>
      <c r="B282" s="602" t="str">
        <f t="shared" si="67"/>
        <v>6구간</v>
      </c>
      <c r="C282" s="603">
        <f t="shared" ref="C282:J282" si="82">ROUND($M282*B$220/100,2)</f>
        <v>0</v>
      </c>
      <c r="D282" s="586">
        <f t="shared" si="82"/>
        <v>0</v>
      </c>
      <c r="E282" s="587">
        <f t="shared" si="82"/>
        <v>0</v>
      </c>
      <c r="F282" s="586">
        <f t="shared" si="82"/>
        <v>0</v>
      </c>
      <c r="G282" s="587">
        <f t="shared" si="82"/>
        <v>0</v>
      </c>
      <c r="H282" s="589">
        <f t="shared" si="82"/>
        <v>0</v>
      </c>
      <c r="I282" s="589">
        <f t="shared" si="82"/>
        <v>0</v>
      </c>
      <c r="J282" s="590">
        <f t="shared" si="82"/>
        <v>0</v>
      </c>
      <c r="K282" s="211"/>
      <c r="M282" s="448">
        <f>ROUND((($E$228*$A$239*(($B$14/1000)/$A$239)*$B$16)/$B$226),2)</f>
        <v>0</v>
      </c>
      <c r="O282" s="395"/>
    </row>
    <row r="283" spans="1:15" ht="17.100000000000001" customHeight="1">
      <c r="A283" s="1423"/>
      <c r="B283" s="580" t="str">
        <f t="shared" si="67"/>
        <v>7구간</v>
      </c>
      <c r="C283" s="581">
        <f t="shared" ref="C283:J283" si="83">ROUND($M283*B$220/100,2)</f>
        <v>0</v>
      </c>
      <c r="D283" s="582">
        <f t="shared" si="83"/>
        <v>0</v>
      </c>
      <c r="E283" s="581">
        <f t="shared" si="83"/>
        <v>0</v>
      </c>
      <c r="F283" s="582">
        <f t="shared" si="83"/>
        <v>0</v>
      </c>
      <c r="G283" s="581">
        <f t="shared" si="83"/>
        <v>0</v>
      </c>
      <c r="H283" s="581">
        <f t="shared" si="83"/>
        <v>0</v>
      </c>
      <c r="I283" s="581">
        <f t="shared" si="83"/>
        <v>0</v>
      </c>
      <c r="J283" s="583">
        <f t="shared" si="83"/>
        <v>0</v>
      </c>
      <c r="K283" s="433"/>
      <c r="M283" s="448">
        <f>ROUND((($E$228*$A$239*(($C$14/1000)/$A$239)*$C$16)/$B$226),2)</f>
        <v>0</v>
      </c>
    </row>
    <row r="284" spans="1:15" ht="17.100000000000001" customHeight="1">
      <c r="A284" s="1423"/>
      <c r="B284" s="602" t="str">
        <f t="shared" si="67"/>
        <v>8구간</v>
      </c>
      <c r="C284" s="581">
        <f t="shared" ref="C284:J284" si="84">ROUND($M284*B$220/100,2)</f>
        <v>0</v>
      </c>
      <c r="D284" s="582">
        <f t="shared" si="84"/>
        <v>0</v>
      </c>
      <c r="E284" s="581">
        <f t="shared" si="84"/>
        <v>0</v>
      </c>
      <c r="F284" s="582">
        <f t="shared" si="84"/>
        <v>0</v>
      </c>
      <c r="G284" s="581">
        <f t="shared" si="84"/>
        <v>0</v>
      </c>
      <c r="H284" s="581">
        <f t="shared" si="84"/>
        <v>0</v>
      </c>
      <c r="I284" s="581">
        <f t="shared" si="84"/>
        <v>0</v>
      </c>
      <c r="J284" s="583">
        <f t="shared" si="84"/>
        <v>0</v>
      </c>
      <c r="K284" s="433"/>
      <c r="M284" s="448">
        <f>ROUND((($E$228*$A$239*(($D$14/1000)/$A$239)*$D$16)/$B$226),2)</f>
        <v>0</v>
      </c>
    </row>
    <row r="285" spans="1:15" ht="17.100000000000001" customHeight="1">
      <c r="A285" s="1423"/>
      <c r="B285" s="580" t="str">
        <f t="shared" si="67"/>
        <v>9구간</v>
      </c>
      <c r="C285" s="581">
        <f t="shared" ref="C285:J285" si="85">ROUND($M285*B$220/100,2)</f>
        <v>0</v>
      </c>
      <c r="D285" s="582">
        <f t="shared" si="85"/>
        <v>0</v>
      </c>
      <c r="E285" s="581">
        <f t="shared" si="85"/>
        <v>0</v>
      </c>
      <c r="F285" s="582">
        <f t="shared" si="85"/>
        <v>0</v>
      </c>
      <c r="G285" s="581">
        <f t="shared" si="85"/>
        <v>0</v>
      </c>
      <c r="H285" s="581">
        <f t="shared" si="85"/>
        <v>0</v>
      </c>
      <c r="I285" s="581">
        <f t="shared" si="85"/>
        <v>0</v>
      </c>
      <c r="J285" s="583">
        <f t="shared" si="85"/>
        <v>0</v>
      </c>
      <c r="K285" s="433"/>
      <c r="M285" s="448">
        <f>ROUND((($E$228*$A$239*(($E$14/1000)/$A$239)*$E$16)/$B$226),2)</f>
        <v>0</v>
      </c>
    </row>
    <row r="286" spans="1:15" ht="16.5" customHeight="1">
      <c r="A286" s="1423"/>
      <c r="B286" s="591" t="str">
        <f t="shared" si="67"/>
        <v>10구간</v>
      </c>
      <c r="C286" s="592">
        <f t="shared" ref="C286:J286" si="86">ROUND($M286*B$220/100,2)</f>
        <v>0</v>
      </c>
      <c r="D286" s="593">
        <f t="shared" si="86"/>
        <v>0</v>
      </c>
      <c r="E286" s="592">
        <f t="shared" si="86"/>
        <v>0</v>
      </c>
      <c r="F286" s="593">
        <f t="shared" si="86"/>
        <v>0</v>
      </c>
      <c r="G286" s="592">
        <f t="shared" si="86"/>
        <v>0</v>
      </c>
      <c r="H286" s="592">
        <f t="shared" si="86"/>
        <v>0</v>
      </c>
      <c r="I286" s="592">
        <f t="shared" si="86"/>
        <v>0</v>
      </c>
      <c r="J286" s="594">
        <f t="shared" si="86"/>
        <v>0</v>
      </c>
      <c r="K286" s="433"/>
      <c r="M286" s="448">
        <f>ROUND((($E$228*$A$239*(($F$14/1000)/$A$239)*$F$16)/$B$226),2)</f>
        <v>0</v>
      </c>
    </row>
    <row r="287" spans="1:15" ht="17.100000000000001" customHeight="1">
      <c r="A287" s="1424"/>
      <c r="B287" s="595" t="s">
        <v>289</v>
      </c>
      <c r="C287" s="596">
        <f t="shared" ref="C287:J287" si="87">SUM(C277:C286)</f>
        <v>28.84</v>
      </c>
      <c r="D287" s="596">
        <f t="shared" si="87"/>
        <v>19.23</v>
      </c>
      <c r="E287" s="596">
        <f t="shared" si="87"/>
        <v>0</v>
      </c>
      <c r="F287" s="596">
        <f t="shared" si="87"/>
        <v>0.47</v>
      </c>
      <c r="G287" s="596">
        <f t="shared" si="87"/>
        <v>8.3000000000000007</v>
      </c>
      <c r="H287" s="596">
        <f t="shared" si="87"/>
        <v>1.75</v>
      </c>
      <c r="I287" s="596">
        <f t="shared" si="87"/>
        <v>0.19</v>
      </c>
      <c r="J287" s="597">
        <f t="shared" si="87"/>
        <v>0.5</v>
      </c>
      <c r="K287" s="433"/>
      <c r="L287" s="421"/>
      <c r="M287" s="599">
        <f>SUM(M277:M286)</f>
        <v>59.29</v>
      </c>
    </row>
    <row r="288" spans="1:15" ht="17.100000000000001" customHeight="1">
      <c r="A288" s="1422">
        <v>40</v>
      </c>
      <c r="B288" s="600" t="str">
        <f t="shared" si="67"/>
        <v>1구간</v>
      </c>
      <c r="C288" s="601">
        <f t="shared" ref="C288:J289" si="88">ROUND($M288*B$220/100,2)</f>
        <v>22.7</v>
      </c>
      <c r="D288" s="575">
        <f t="shared" si="88"/>
        <v>15.14</v>
      </c>
      <c r="E288" s="576">
        <f t="shared" si="88"/>
        <v>0</v>
      </c>
      <c r="F288" s="575">
        <f t="shared" si="88"/>
        <v>0.37</v>
      </c>
      <c r="G288" s="576">
        <f t="shared" si="88"/>
        <v>6.53</v>
      </c>
      <c r="H288" s="578">
        <f t="shared" si="88"/>
        <v>1.38</v>
      </c>
      <c r="I288" s="578">
        <f t="shared" si="88"/>
        <v>0.15</v>
      </c>
      <c r="J288" s="579">
        <f t="shared" si="88"/>
        <v>0.39</v>
      </c>
      <c r="K288" s="211"/>
      <c r="M288" s="448">
        <f>ROUND((($F$228*$A$241*(($B$9/1000)/$A$241)*$B$11)/$B$226),2)</f>
        <v>46.66</v>
      </c>
      <c r="O288" s="395"/>
    </row>
    <row r="289" spans="1:15" ht="17.100000000000001" customHeight="1">
      <c r="A289" s="1423"/>
      <c r="B289" s="580" t="str">
        <f t="shared" si="67"/>
        <v>2구간</v>
      </c>
      <c r="C289" s="581">
        <f t="shared" si="88"/>
        <v>0</v>
      </c>
      <c r="D289" s="582">
        <f t="shared" si="88"/>
        <v>0</v>
      </c>
      <c r="E289" s="581">
        <f t="shared" si="88"/>
        <v>0</v>
      </c>
      <c r="F289" s="582">
        <f t="shared" si="88"/>
        <v>0</v>
      </c>
      <c r="G289" s="581">
        <f t="shared" si="88"/>
        <v>0</v>
      </c>
      <c r="H289" s="581">
        <f t="shared" si="88"/>
        <v>0</v>
      </c>
      <c r="I289" s="581">
        <f t="shared" si="88"/>
        <v>0</v>
      </c>
      <c r="J289" s="583">
        <f t="shared" si="88"/>
        <v>0</v>
      </c>
      <c r="K289" s="433"/>
      <c r="M289" s="448">
        <f>ROUND((($F$228*$A$241*(($C$9/1000)/$A$241)*$C$11)/$B$226),2)</f>
        <v>0</v>
      </c>
    </row>
    <row r="290" spans="1:15" ht="17.100000000000001" customHeight="1">
      <c r="A290" s="1423"/>
      <c r="B290" s="602" t="str">
        <f t="shared" si="67"/>
        <v>3구간</v>
      </c>
      <c r="C290" s="581">
        <f t="shared" ref="C290:J290" si="89">ROUND($M290*B$220/100,2)</f>
        <v>0</v>
      </c>
      <c r="D290" s="582">
        <f t="shared" si="89"/>
        <v>0</v>
      </c>
      <c r="E290" s="581">
        <f t="shared" si="89"/>
        <v>0</v>
      </c>
      <c r="F290" s="582">
        <f t="shared" si="89"/>
        <v>0</v>
      </c>
      <c r="G290" s="581">
        <f t="shared" si="89"/>
        <v>0</v>
      </c>
      <c r="H290" s="581">
        <f t="shared" si="89"/>
        <v>0</v>
      </c>
      <c r="I290" s="581">
        <f t="shared" si="89"/>
        <v>0</v>
      </c>
      <c r="J290" s="583">
        <f t="shared" si="89"/>
        <v>0</v>
      </c>
      <c r="K290" s="433"/>
      <c r="M290" s="448">
        <f>ROUND((($F$228*$A$241*(($D$9/1000)/$A$241)*$D$11)/$B$226),2)</f>
        <v>0</v>
      </c>
    </row>
    <row r="291" spans="1:15" ht="17.100000000000001" customHeight="1">
      <c r="A291" s="1423"/>
      <c r="B291" s="580" t="str">
        <f t="shared" si="67"/>
        <v>4구간</v>
      </c>
      <c r="C291" s="581">
        <f t="shared" ref="C291:J291" si="90">ROUND($M291*B$220/100,2)</f>
        <v>0</v>
      </c>
      <c r="D291" s="582">
        <f t="shared" si="90"/>
        <v>0</v>
      </c>
      <c r="E291" s="581">
        <f t="shared" si="90"/>
        <v>0</v>
      </c>
      <c r="F291" s="582">
        <f t="shared" si="90"/>
        <v>0</v>
      </c>
      <c r="G291" s="581">
        <f t="shared" si="90"/>
        <v>0</v>
      </c>
      <c r="H291" s="581">
        <f t="shared" si="90"/>
        <v>0</v>
      </c>
      <c r="I291" s="581">
        <f t="shared" si="90"/>
        <v>0</v>
      </c>
      <c r="J291" s="583">
        <f t="shared" si="90"/>
        <v>0</v>
      </c>
      <c r="K291" s="433"/>
      <c r="M291" s="448">
        <f>ROUND((($F$228*$A$241*(($E$9/1000)/$A$241)*$E$11)/$B$226),2)</f>
        <v>0</v>
      </c>
    </row>
    <row r="292" spans="1:15" ht="17.100000000000001" customHeight="1">
      <c r="A292" s="1423"/>
      <c r="B292" s="580" t="str">
        <f t="shared" si="67"/>
        <v>5구간</v>
      </c>
      <c r="C292" s="581">
        <f t="shared" ref="C292:J292" si="91">ROUND($M292*B$220/100,2)</f>
        <v>0</v>
      </c>
      <c r="D292" s="582">
        <f t="shared" si="91"/>
        <v>0</v>
      </c>
      <c r="E292" s="581">
        <f t="shared" si="91"/>
        <v>0</v>
      </c>
      <c r="F292" s="582">
        <f t="shared" si="91"/>
        <v>0</v>
      </c>
      <c r="G292" s="581">
        <f t="shared" si="91"/>
        <v>0</v>
      </c>
      <c r="H292" s="581">
        <f t="shared" si="91"/>
        <v>0</v>
      </c>
      <c r="I292" s="581">
        <f t="shared" si="91"/>
        <v>0</v>
      </c>
      <c r="J292" s="583">
        <f t="shared" si="91"/>
        <v>0</v>
      </c>
      <c r="K292" s="433"/>
      <c r="M292" s="448">
        <f>ROUND((($F$228*$A$241*(($F$9/1000)/$A$241)*$F$11)/$B$226),2)</f>
        <v>0</v>
      </c>
    </row>
    <row r="293" spans="1:15" ht="17.100000000000001" customHeight="1">
      <c r="A293" s="1423"/>
      <c r="B293" s="602" t="str">
        <f t="shared" si="67"/>
        <v>6구간</v>
      </c>
      <c r="C293" s="603">
        <f t="shared" ref="C293:J293" si="92">ROUND($M293*B$220/100,2)</f>
        <v>0</v>
      </c>
      <c r="D293" s="586">
        <f t="shared" si="92"/>
        <v>0</v>
      </c>
      <c r="E293" s="587">
        <f t="shared" si="92"/>
        <v>0</v>
      </c>
      <c r="F293" s="586">
        <f t="shared" si="92"/>
        <v>0</v>
      </c>
      <c r="G293" s="587">
        <f t="shared" si="92"/>
        <v>0</v>
      </c>
      <c r="H293" s="589">
        <f t="shared" si="92"/>
        <v>0</v>
      </c>
      <c r="I293" s="589">
        <f t="shared" si="92"/>
        <v>0</v>
      </c>
      <c r="J293" s="590">
        <f t="shared" si="92"/>
        <v>0</v>
      </c>
      <c r="K293" s="211"/>
      <c r="M293" s="448">
        <f>ROUND((($F$228*$A$241*(($B$14/1000)/$A$241)*$B$16)/$B$226),2)</f>
        <v>0</v>
      </c>
      <c r="O293" s="395"/>
    </row>
    <row r="294" spans="1:15" ht="17.100000000000001" customHeight="1">
      <c r="A294" s="1423"/>
      <c r="B294" s="580" t="str">
        <f t="shared" si="67"/>
        <v>7구간</v>
      </c>
      <c r="C294" s="581">
        <f t="shared" ref="C294:J294" si="93">ROUND($M294*B$220/100,2)</f>
        <v>0</v>
      </c>
      <c r="D294" s="582">
        <f t="shared" si="93"/>
        <v>0</v>
      </c>
      <c r="E294" s="581">
        <f t="shared" si="93"/>
        <v>0</v>
      </c>
      <c r="F294" s="582">
        <f t="shared" si="93"/>
        <v>0</v>
      </c>
      <c r="G294" s="581">
        <f t="shared" si="93"/>
        <v>0</v>
      </c>
      <c r="H294" s="581">
        <f t="shared" si="93"/>
        <v>0</v>
      </c>
      <c r="I294" s="581">
        <f t="shared" si="93"/>
        <v>0</v>
      </c>
      <c r="J294" s="583">
        <f t="shared" si="93"/>
        <v>0</v>
      </c>
      <c r="K294" s="433"/>
      <c r="M294" s="448">
        <f>ROUND((($F$228*$A$241*(($C$14/1000)/$A$241)*$C$16)/$B$226),2)</f>
        <v>0</v>
      </c>
    </row>
    <row r="295" spans="1:15" ht="17.100000000000001" customHeight="1">
      <c r="A295" s="1423"/>
      <c r="B295" s="602" t="str">
        <f t="shared" si="67"/>
        <v>8구간</v>
      </c>
      <c r="C295" s="581">
        <f t="shared" ref="C295:J295" si="94">ROUND($M295*B$220/100,2)</f>
        <v>0</v>
      </c>
      <c r="D295" s="582">
        <f t="shared" si="94"/>
        <v>0</v>
      </c>
      <c r="E295" s="581">
        <f t="shared" si="94"/>
        <v>0</v>
      </c>
      <c r="F295" s="582">
        <f t="shared" si="94"/>
        <v>0</v>
      </c>
      <c r="G295" s="581">
        <f t="shared" si="94"/>
        <v>0</v>
      </c>
      <c r="H295" s="581">
        <f t="shared" si="94"/>
        <v>0</v>
      </c>
      <c r="I295" s="581">
        <f t="shared" si="94"/>
        <v>0</v>
      </c>
      <c r="J295" s="583">
        <f t="shared" si="94"/>
        <v>0</v>
      </c>
      <c r="K295" s="433"/>
      <c r="M295" s="448">
        <f>ROUND((($F$228*$A$241*(($D$14/1000)/$A$241)*$D$16)/$B$226),2)</f>
        <v>0</v>
      </c>
    </row>
    <row r="296" spans="1:15" ht="17.100000000000001" customHeight="1">
      <c r="A296" s="1423"/>
      <c r="B296" s="580" t="str">
        <f t="shared" si="67"/>
        <v>9구간</v>
      </c>
      <c r="C296" s="581">
        <f t="shared" ref="C296:J296" si="95">ROUND($M296*B$220/100,2)</f>
        <v>0</v>
      </c>
      <c r="D296" s="582">
        <f t="shared" si="95"/>
        <v>0</v>
      </c>
      <c r="E296" s="581">
        <f t="shared" si="95"/>
        <v>0</v>
      </c>
      <c r="F296" s="582">
        <f t="shared" si="95"/>
        <v>0</v>
      </c>
      <c r="G296" s="581">
        <f t="shared" si="95"/>
        <v>0</v>
      </c>
      <c r="H296" s="581">
        <f t="shared" si="95"/>
        <v>0</v>
      </c>
      <c r="I296" s="581">
        <f t="shared" si="95"/>
        <v>0</v>
      </c>
      <c r="J296" s="583">
        <f t="shared" si="95"/>
        <v>0</v>
      </c>
      <c r="K296" s="433"/>
      <c r="M296" s="448">
        <f>ROUND((($F$228*$A$241*(($E$14/1000)/$A$241)*$E$16)/$B$226),2)</f>
        <v>0</v>
      </c>
    </row>
    <row r="297" spans="1:15" ht="17.100000000000001" customHeight="1">
      <c r="A297" s="1423"/>
      <c r="B297" s="591" t="str">
        <f t="shared" si="67"/>
        <v>10구간</v>
      </c>
      <c r="C297" s="592">
        <f t="shared" ref="C297:J297" si="96">ROUND($M297*B$220/100,2)</f>
        <v>0</v>
      </c>
      <c r="D297" s="593">
        <f t="shared" si="96"/>
        <v>0</v>
      </c>
      <c r="E297" s="592">
        <f t="shared" si="96"/>
        <v>0</v>
      </c>
      <c r="F297" s="593">
        <f t="shared" si="96"/>
        <v>0</v>
      </c>
      <c r="G297" s="592">
        <f t="shared" si="96"/>
        <v>0</v>
      </c>
      <c r="H297" s="592">
        <f t="shared" si="96"/>
        <v>0</v>
      </c>
      <c r="I297" s="592">
        <f t="shared" si="96"/>
        <v>0</v>
      </c>
      <c r="J297" s="594">
        <f t="shared" si="96"/>
        <v>0</v>
      </c>
      <c r="K297" s="433"/>
      <c r="M297" s="448">
        <f>ROUND((($F$228*$A$241*(($F$14/1000)/$A$241)*$F$16)/$B$226),2)</f>
        <v>0</v>
      </c>
    </row>
    <row r="298" spans="1:15" ht="17.100000000000001" customHeight="1">
      <c r="A298" s="1424"/>
      <c r="B298" s="595" t="s">
        <v>289</v>
      </c>
      <c r="C298" s="596">
        <f t="shared" ref="C298:J298" si="97">SUM(C288:C297)</f>
        <v>22.7</v>
      </c>
      <c r="D298" s="596">
        <f t="shared" si="97"/>
        <v>15.14</v>
      </c>
      <c r="E298" s="596">
        <f t="shared" si="97"/>
        <v>0</v>
      </c>
      <c r="F298" s="596">
        <f t="shared" si="97"/>
        <v>0.37</v>
      </c>
      <c r="G298" s="596">
        <f t="shared" si="97"/>
        <v>6.53</v>
      </c>
      <c r="H298" s="596">
        <f t="shared" si="97"/>
        <v>1.38</v>
      </c>
      <c r="I298" s="596">
        <f t="shared" si="97"/>
        <v>0.15</v>
      </c>
      <c r="J298" s="597">
        <f t="shared" si="97"/>
        <v>0.39</v>
      </c>
      <c r="K298" s="433"/>
      <c r="L298" s="421"/>
      <c r="M298" s="599">
        <f>SUM(M288:M297)</f>
        <v>46.66</v>
      </c>
    </row>
    <row r="299" spans="1:15" ht="17.100000000000001" customHeight="1">
      <c r="A299" s="1422">
        <v>50</v>
      </c>
      <c r="B299" s="600" t="str">
        <f t="shared" ref="B299:B319" si="98">B288</f>
        <v>1구간</v>
      </c>
      <c r="C299" s="601">
        <f t="shared" ref="C299:J300" si="99">ROUND($M299*B$220/100,2)</f>
        <v>18.920000000000002</v>
      </c>
      <c r="D299" s="575">
        <f t="shared" si="99"/>
        <v>12.61</v>
      </c>
      <c r="E299" s="576">
        <f t="shared" si="99"/>
        <v>0</v>
      </c>
      <c r="F299" s="575">
        <f t="shared" si="99"/>
        <v>0.31</v>
      </c>
      <c r="G299" s="576">
        <f t="shared" si="99"/>
        <v>5.44</v>
      </c>
      <c r="H299" s="578">
        <f t="shared" si="99"/>
        <v>1.1499999999999999</v>
      </c>
      <c r="I299" s="578">
        <f t="shared" si="99"/>
        <v>0.12</v>
      </c>
      <c r="J299" s="579">
        <f t="shared" si="99"/>
        <v>0.33</v>
      </c>
      <c r="K299" s="211"/>
      <c r="M299" s="604">
        <f>ROUND((($G$228*$A$243*(($B$9/1000)/$A$243)*$B$11)/$B$226),2)</f>
        <v>38.880000000000003</v>
      </c>
      <c r="O299" s="395"/>
    </row>
    <row r="300" spans="1:15" ht="17.100000000000001" customHeight="1">
      <c r="A300" s="1423"/>
      <c r="B300" s="580" t="str">
        <f t="shared" si="98"/>
        <v>2구간</v>
      </c>
      <c r="C300" s="581">
        <f t="shared" si="99"/>
        <v>0</v>
      </c>
      <c r="D300" s="582">
        <f t="shared" si="99"/>
        <v>0</v>
      </c>
      <c r="E300" s="581">
        <f t="shared" si="99"/>
        <v>0</v>
      </c>
      <c r="F300" s="582">
        <f t="shared" si="99"/>
        <v>0</v>
      </c>
      <c r="G300" s="581">
        <f t="shared" si="99"/>
        <v>0</v>
      </c>
      <c r="H300" s="581">
        <f t="shared" si="99"/>
        <v>0</v>
      </c>
      <c r="I300" s="581">
        <f t="shared" si="99"/>
        <v>0</v>
      </c>
      <c r="J300" s="583">
        <f t="shared" si="99"/>
        <v>0</v>
      </c>
      <c r="K300" s="433"/>
      <c r="M300" s="604">
        <f>ROUND((($G$228*$A$243*(($C$9/1000)/$A$243)*$C$11)/$B$226),2)</f>
        <v>0</v>
      </c>
    </row>
    <row r="301" spans="1:15" ht="17.100000000000001" customHeight="1">
      <c r="A301" s="1423"/>
      <c r="B301" s="602" t="str">
        <f t="shared" si="98"/>
        <v>3구간</v>
      </c>
      <c r="C301" s="581">
        <f t="shared" ref="C301:J301" si="100">ROUND($M301*B$220/100,2)</f>
        <v>0</v>
      </c>
      <c r="D301" s="582">
        <f t="shared" si="100"/>
        <v>0</v>
      </c>
      <c r="E301" s="581">
        <f t="shared" si="100"/>
        <v>0</v>
      </c>
      <c r="F301" s="582">
        <f t="shared" si="100"/>
        <v>0</v>
      </c>
      <c r="G301" s="581">
        <f t="shared" si="100"/>
        <v>0</v>
      </c>
      <c r="H301" s="581">
        <f t="shared" si="100"/>
        <v>0</v>
      </c>
      <c r="I301" s="581">
        <f t="shared" si="100"/>
        <v>0</v>
      </c>
      <c r="J301" s="583">
        <f t="shared" si="100"/>
        <v>0</v>
      </c>
      <c r="K301" s="433"/>
      <c r="M301" s="604">
        <f>ROUND((($G$228*$A$243*(($D$9/1000)/$A$243)*$D$11)/$B$226),2)</f>
        <v>0</v>
      </c>
    </row>
    <row r="302" spans="1:15" ht="17.100000000000001" customHeight="1">
      <c r="A302" s="1423"/>
      <c r="B302" s="580" t="str">
        <f t="shared" si="98"/>
        <v>4구간</v>
      </c>
      <c r="C302" s="581">
        <f t="shared" ref="C302:J302" si="101">ROUND($M302*B$220/100,2)</f>
        <v>0</v>
      </c>
      <c r="D302" s="582">
        <f t="shared" si="101"/>
        <v>0</v>
      </c>
      <c r="E302" s="581">
        <f t="shared" si="101"/>
        <v>0</v>
      </c>
      <c r="F302" s="582">
        <f t="shared" si="101"/>
        <v>0</v>
      </c>
      <c r="G302" s="581">
        <f t="shared" si="101"/>
        <v>0</v>
      </c>
      <c r="H302" s="581">
        <f t="shared" si="101"/>
        <v>0</v>
      </c>
      <c r="I302" s="581">
        <f t="shared" si="101"/>
        <v>0</v>
      </c>
      <c r="J302" s="583">
        <f t="shared" si="101"/>
        <v>0</v>
      </c>
      <c r="K302" s="433"/>
      <c r="M302" s="604">
        <f>ROUND((($G$228*$A$243*(($E$9/1000)/$A$243)*$E$11)/$B$226),2)</f>
        <v>0</v>
      </c>
    </row>
    <row r="303" spans="1:15" ht="17.100000000000001" customHeight="1">
      <c r="A303" s="1423"/>
      <c r="B303" s="580" t="str">
        <f t="shared" si="98"/>
        <v>5구간</v>
      </c>
      <c r="C303" s="581">
        <f t="shared" ref="C303:J303" si="102">ROUND($M303*B$220/100,2)</f>
        <v>0</v>
      </c>
      <c r="D303" s="582">
        <f t="shared" si="102"/>
        <v>0</v>
      </c>
      <c r="E303" s="581">
        <f t="shared" si="102"/>
        <v>0</v>
      </c>
      <c r="F303" s="582">
        <f t="shared" si="102"/>
        <v>0</v>
      </c>
      <c r="G303" s="581">
        <f t="shared" si="102"/>
        <v>0</v>
      </c>
      <c r="H303" s="581">
        <f t="shared" si="102"/>
        <v>0</v>
      </c>
      <c r="I303" s="581">
        <f t="shared" si="102"/>
        <v>0</v>
      </c>
      <c r="J303" s="583">
        <f t="shared" si="102"/>
        <v>0</v>
      </c>
      <c r="K303" s="433"/>
      <c r="M303" s="604">
        <f>ROUND((($G$228*$A$243*(($F$9/1000)/$A$243)*$F$11)/$B$226),2)</f>
        <v>0</v>
      </c>
      <c r="N303" s="421"/>
    </row>
    <row r="304" spans="1:15" ht="17.100000000000001" customHeight="1">
      <c r="A304" s="1423"/>
      <c r="B304" s="602" t="str">
        <f t="shared" si="98"/>
        <v>6구간</v>
      </c>
      <c r="C304" s="603">
        <f t="shared" ref="C304:J304" si="103">ROUND($M304*B$220/100,2)</f>
        <v>0</v>
      </c>
      <c r="D304" s="586">
        <f t="shared" si="103"/>
        <v>0</v>
      </c>
      <c r="E304" s="587">
        <f t="shared" si="103"/>
        <v>0</v>
      </c>
      <c r="F304" s="586">
        <f t="shared" si="103"/>
        <v>0</v>
      </c>
      <c r="G304" s="587">
        <f t="shared" si="103"/>
        <v>0</v>
      </c>
      <c r="H304" s="589">
        <f t="shared" si="103"/>
        <v>0</v>
      </c>
      <c r="I304" s="589">
        <f t="shared" si="103"/>
        <v>0</v>
      </c>
      <c r="J304" s="590">
        <f t="shared" si="103"/>
        <v>0</v>
      </c>
      <c r="K304" s="211"/>
      <c r="M304" s="604">
        <f>ROUND((($G$228*$A$243*(($B$14/1000)/$A$243)*$B$16)/$B$226),2)</f>
        <v>0</v>
      </c>
      <c r="O304" s="395"/>
    </row>
    <row r="305" spans="1:15" ht="17.100000000000001" customHeight="1">
      <c r="A305" s="1423"/>
      <c r="B305" s="580" t="str">
        <f t="shared" si="98"/>
        <v>7구간</v>
      </c>
      <c r="C305" s="581">
        <f t="shared" ref="C305:J305" si="104">ROUND($M305*B$220/100,2)</f>
        <v>0</v>
      </c>
      <c r="D305" s="582">
        <f t="shared" si="104"/>
        <v>0</v>
      </c>
      <c r="E305" s="581">
        <f t="shared" si="104"/>
        <v>0</v>
      </c>
      <c r="F305" s="582">
        <f t="shared" si="104"/>
        <v>0</v>
      </c>
      <c r="G305" s="581">
        <f t="shared" si="104"/>
        <v>0</v>
      </c>
      <c r="H305" s="581">
        <f t="shared" si="104"/>
        <v>0</v>
      </c>
      <c r="I305" s="581">
        <f t="shared" si="104"/>
        <v>0</v>
      </c>
      <c r="J305" s="583">
        <f t="shared" si="104"/>
        <v>0</v>
      </c>
      <c r="K305" s="433"/>
      <c r="M305" s="604">
        <f>ROUND((($G$228*$A$243*(($C$14/1000)/$A$243)*$C$16)/$B$226),2)</f>
        <v>0</v>
      </c>
    </row>
    <row r="306" spans="1:15" ht="17.100000000000001" customHeight="1">
      <c r="A306" s="1423"/>
      <c r="B306" s="602" t="str">
        <f t="shared" si="98"/>
        <v>8구간</v>
      </c>
      <c r="C306" s="581">
        <f t="shared" ref="C306:J306" si="105">ROUND($M306*B$220/100,2)</f>
        <v>0</v>
      </c>
      <c r="D306" s="582">
        <f t="shared" si="105"/>
        <v>0</v>
      </c>
      <c r="E306" s="581">
        <f t="shared" si="105"/>
        <v>0</v>
      </c>
      <c r="F306" s="582">
        <f t="shared" si="105"/>
        <v>0</v>
      </c>
      <c r="G306" s="581">
        <f t="shared" si="105"/>
        <v>0</v>
      </c>
      <c r="H306" s="581">
        <f t="shared" si="105"/>
        <v>0</v>
      </c>
      <c r="I306" s="581">
        <f t="shared" si="105"/>
        <v>0</v>
      </c>
      <c r="J306" s="583">
        <f t="shared" si="105"/>
        <v>0</v>
      </c>
      <c r="K306" s="433"/>
      <c r="M306" s="604">
        <f>ROUND((($G$228*$A$243*(($D$14/1000)/$A$243)*$D$16)/$B$226),2)</f>
        <v>0</v>
      </c>
    </row>
    <row r="307" spans="1:15" ht="17.100000000000001" customHeight="1">
      <c r="A307" s="1423"/>
      <c r="B307" s="580" t="str">
        <f t="shared" si="98"/>
        <v>9구간</v>
      </c>
      <c r="C307" s="581">
        <f t="shared" ref="C307:J307" si="106">ROUND($M307*B$220/100,2)</f>
        <v>0</v>
      </c>
      <c r="D307" s="582">
        <f t="shared" si="106"/>
        <v>0</v>
      </c>
      <c r="E307" s="581">
        <f t="shared" si="106"/>
        <v>0</v>
      </c>
      <c r="F307" s="582">
        <f t="shared" si="106"/>
        <v>0</v>
      </c>
      <c r="G307" s="581">
        <f t="shared" si="106"/>
        <v>0</v>
      </c>
      <c r="H307" s="581">
        <f t="shared" si="106"/>
        <v>0</v>
      </c>
      <c r="I307" s="581">
        <f t="shared" si="106"/>
        <v>0</v>
      </c>
      <c r="J307" s="583">
        <f t="shared" si="106"/>
        <v>0</v>
      </c>
      <c r="K307" s="433"/>
      <c r="M307" s="604">
        <f>ROUND((($G$228*$A$243*(($E$14/1000)/$A$243)*$E$16)/$B$226),2)</f>
        <v>0</v>
      </c>
    </row>
    <row r="308" spans="1:15" ht="17.100000000000001" customHeight="1">
      <c r="A308" s="1423"/>
      <c r="B308" s="591" t="str">
        <f t="shared" si="98"/>
        <v>10구간</v>
      </c>
      <c r="C308" s="592">
        <f t="shared" ref="C308:J308" si="107">ROUND($M308*B$220/100,2)</f>
        <v>0</v>
      </c>
      <c r="D308" s="593">
        <f t="shared" si="107"/>
        <v>0</v>
      </c>
      <c r="E308" s="592">
        <f t="shared" si="107"/>
        <v>0</v>
      </c>
      <c r="F308" s="593">
        <f t="shared" si="107"/>
        <v>0</v>
      </c>
      <c r="G308" s="592">
        <f t="shared" si="107"/>
        <v>0</v>
      </c>
      <c r="H308" s="592">
        <f t="shared" si="107"/>
        <v>0</v>
      </c>
      <c r="I308" s="592">
        <f t="shared" si="107"/>
        <v>0</v>
      </c>
      <c r="J308" s="594">
        <f t="shared" si="107"/>
        <v>0</v>
      </c>
      <c r="K308" s="433"/>
      <c r="M308" s="604">
        <f>ROUND((($G$228*$A$243*(($F$14/1000)/$A$243)*$F$16)/$B$226),2)</f>
        <v>0</v>
      </c>
      <c r="N308" s="421"/>
    </row>
    <row r="309" spans="1:15" ht="17.100000000000001" customHeight="1">
      <c r="A309" s="1424"/>
      <c r="B309" s="595" t="s">
        <v>289</v>
      </c>
      <c r="C309" s="596">
        <f t="shared" ref="C309:J309" si="108">SUM(C299:C308)</f>
        <v>18.920000000000002</v>
      </c>
      <c r="D309" s="596">
        <f t="shared" si="108"/>
        <v>12.61</v>
      </c>
      <c r="E309" s="596">
        <f t="shared" si="108"/>
        <v>0</v>
      </c>
      <c r="F309" s="596">
        <f t="shared" si="108"/>
        <v>0.31</v>
      </c>
      <c r="G309" s="596">
        <f t="shared" si="108"/>
        <v>5.44</v>
      </c>
      <c r="H309" s="596">
        <f t="shared" si="108"/>
        <v>1.1499999999999999</v>
      </c>
      <c r="I309" s="596">
        <f t="shared" si="108"/>
        <v>0.12</v>
      </c>
      <c r="J309" s="597">
        <f t="shared" si="108"/>
        <v>0.33</v>
      </c>
      <c r="K309" s="433"/>
      <c r="L309" s="421"/>
      <c r="M309" s="599">
        <f>SUM(M299:M308)</f>
        <v>38.880000000000003</v>
      </c>
    </row>
    <row r="310" spans="1:15" ht="17.100000000000001" customHeight="1">
      <c r="A310" s="1422">
        <v>60</v>
      </c>
      <c r="B310" s="600" t="str">
        <f t="shared" si="98"/>
        <v>1구간</v>
      </c>
      <c r="C310" s="601">
        <f t="shared" ref="C310:J311" si="109">ROUND($M310*B$220/100,2)</f>
        <v>15.61</v>
      </c>
      <c r="D310" s="575">
        <f t="shared" si="109"/>
        <v>10.41</v>
      </c>
      <c r="E310" s="576">
        <f t="shared" si="109"/>
        <v>0</v>
      </c>
      <c r="F310" s="575">
        <f t="shared" si="109"/>
        <v>0.26</v>
      </c>
      <c r="G310" s="576">
        <f t="shared" si="109"/>
        <v>4.49</v>
      </c>
      <c r="H310" s="578">
        <f t="shared" si="109"/>
        <v>0.95</v>
      </c>
      <c r="I310" s="578">
        <f t="shared" si="109"/>
        <v>0.1</v>
      </c>
      <c r="J310" s="579">
        <f t="shared" si="109"/>
        <v>0.27</v>
      </c>
      <c r="K310" s="211"/>
      <c r="M310" s="448">
        <f>ROUND((($H$228*$A$245*(($B$9/1000)/$A$245)*$B$11)/$B$226),2)</f>
        <v>32.08</v>
      </c>
      <c r="O310" s="395"/>
    </row>
    <row r="311" spans="1:15" ht="17.100000000000001" customHeight="1">
      <c r="A311" s="1423"/>
      <c r="B311" s="580" t="str">
        <f t="shared" si="98"/>
        <v>2구간</v>
      </c>
      <c r="C311" s="581">
        <f t="shared" si="109"/>
        <v>0</v>
      </c>
      <c r="D311" s="582">
        <f t="shared" si="109"/>
        <v>0</v>
      </c>
      <c r="E311" s="581">
        <f t="shared" si="109"/>
        <v>0</v>
      </c>
      <c r="F311" s="582">
        <f t="shared" si="109"/>
        <v>0</v>
      </c>
      <c r="G311" s="581">
        <f t="shared" si="109"/>
        <v>0</v>
      </c>
      <c r="H311" s="581">
        <f t="shared" si="109"/>
        <v>0</v>
      </c>
      <c r="I311" s="581">
        <f t="shared" si="109"/>
        <v>0</v>
      </c>
      <c r="J311" s="583">
        <f t="shared" si="109"/>
        <v>0</v>
      </c>
      <c r="K311" s="433"/>
      <c r="M311" s="448">
        <f>ROUND((($H$228*$A$245*(($C$9/1000)/$A$245)*$C$11)/$B$226),2)</f>
        <v>0</v>
      </c>
    </row>
    <row r="312" spans="1:15" ht="17.100000000000001" customHeight="1">
      <c r="A312" s="1423"/>
      <c r="B312" s="602" t="str">
        <f t="shared" si="98"/>
        <v>3구간</v>
      </c>
      <c r="C312" s="581">
        <f t="shared" ref="C312:J312" si="110">ROUND($M312*B$220/100,2)</f>
        <v>0</v>
      </c>
      <c r="D312" s="582">
        <f t="shared" si="110"/>
        <v>0</v>
      </c>
      <c r="E312" s="581">
        <f t="shared" si="110"/>
        <v>0</v>
      </c>
      <c r="F312" s="582">
        <f t="shared" si="110"/>
        <v>0</v>
      </c>
      <c r="G312" s="581">
        <f t="shared" si="110"/>
        <v>0</v>
      </c>
      <c r="H312" s="581">
        <f t="shared" si="110"/>
        <v>0</v>
      </c>
      <c r="I312" s="581">
        <f t="shared" si="110"/>
        <v>0</v>
      </c>
      <c r="J312" s="583">
        <f t="shared" si="110"/>
        <v>0</v>
      </c>
      <c r="K312" s="433"/>
      <c r="L312" s="421"/>
      <c r="M312" s="448">
        <f>ROUND((($H$228*$A$245*(($D$9/1000)/$A$245)*$D$11)/$B$226),2)</f>
        <v>0</v>
      </c>
    </row>
    <row r="313" spans="1:15" ht="17.100000000000001" customHeight="1">
      <c r="A313" s="1423"/>
      <c r="B313" s="580" t="str">
        <f t="shared" si="98"/>
        <v>4구간</v>
      </c>
      <c r="C313" s="581">
        <f t="shared" ref="C313:J313" si="111">ROUND($M313*B$220/100,2)</f>
        <v>0</v>
      </c>
      <c r="D313" s="582">
        <f t="shared" si="111"/>
        <v>0</v>
      </c>
      <c r="E313" s="581">
        <f t="shared" si="111"/>
        <v>0</v>
      </c>
      <c r="F313" s="582">
        <f t="shared" si="111"/>
        <v>0</v>
      </c>
      <c r="G313" s="581">
        <f t="shared" si="111"/>
        <v>0</v>
      </c>
      <c r="H313" s="581">
        <f t="shared" si="111"/>
        <v>0</v>
      </c>
      <c r="I313" s="581">
        <f t="shared" si="111"/>
        <v>0</v>
      </c>
      <c r="J313" s="583">
        <f t="shared" si="111"/>
        <v>0</v>
      </c>
      <c r="K313" s="433"/>
      <c r="M313" s="448">
        <f>ROUND((($H$228*$A$245*(($E$9/1000)/$A$245)*$E$11)/$B$226),2)</f>
        <v>0</v>
      </c>
    </row>
    <row r="314" spans="1:15" ht="17.100000000000001" customHeight="1">
      <c r="A314" s="1423"/>
      <c r="B314" s="580" t="str">
        <f t="shared" si="98"/>
        <v>5구간</v>
      </c>
      <c r="C314" s="581">
        <f t="shared" ref="C314:J314" si="112">ROUND($M314*B$220/100,2)</f>
        <v>0</v>
      </c>
      <c r="D314" s="582">
        <f t="shared" si="112"/>
        <v>0</v>
      </c>
      <c r="E314" s="581">
        <f t="shared" si="112"/>
        <v>0</v>
      </c>
      <c r="F314" s="582">
        <f t="shared" si="112"/>
        <v>0</v>
      </c>
      <c r="G314" s="581">
        <f t="shared" si="112"/>
        <v>0</v>
      </c>
      <c r="H314" s="581">
        <f t="shared" si="112"/>
        <v>0</v>
      </c>
      <c r="I314" s="581">
        <f t="shared" si="112"/>
        <v>0</v>
      </c>
      <c r="J314" s="583">
        <f t="shared" si="112"/>
        <v>0</v>
      </c>
      <c r="K314" s="433"/>
      <c r="M314" s="448">
        <f>ROUND((($H$228*$A$245*(($F$9/1000)/$A$245)*$F$11)/$B$226),2)</f>
        <v>0</v>
      </c>
    </row>
    <row r="315" spans="1:15" ht="17.100000000000001" customHeight="1">
      <c r="A315" s="1423"/>
      <c r="B315" s="602" t="str">
        <f t="shared" si="98"/>
        <v>6구간</v>
      </c>
      <c r="C315" s="603">
        <f t="shared" ref="C315:J315" si="113">ROUND($M315*B$220/100,2)</f>
        <v>0</v>
      </c>
      <c r="D315" s="586">
        <f t="shared" si="113"/>
        <v>0</v>
      </c>
      <c r="E315" s="587">
        <f t="shared" si="113"/>
        <v>0</v>
      </c>
      <c r="F315" s="586">
        <f t="shared" si="113"/>
        <v>0</v>
      </c>
      <c r="G315" s="587">
        <f t="shared" si="113"/>
        <v>0</v>
      </c>
      <c r="H315" s="589">
        <f t="shared" si="113"/>
        <v>0</v>
      </c>
      <c r="I315" s="589">
        <f t="shared" si="113"/>
        <v>0</v>
      </c>
      <c r="J315" s="590">
        <f t="shared" si="113"/>
        <v>0</v>
      </c>
      <c r="K315" s="211"/>
      <c r="M315" s="448">
        <f>ROUND((($H$228*$A$245*(($B$14/1000)/$A$245)*$B$16)/$B$226),2)</f>
        <v>0</v>
      </c>
      <c r="O315" s="395"/>
    </row>
    <row r="316" spans="1:15" ht="17.100000000000001" customHeight="1">
      <c r="A316" s="1423"/>
      <c r="B316" s="580" t="str">
        <f t="shared" si="98"/>
        <v>7구간</v>
      </c>
      <c r="C316" s="581">
        <f t="shared" ref="C316:J316" si="114">ROUND($M316*B$220/100,2)</f>
        <v>0</v>
      </c>
      <c r="D316" s="582">
        <f t="shared" si="114"/>
        <v>0</v>
      </c>
      <c r="E316" s="581">
        <f t="shared" si="114"/>
        <v>0</v>
      </c>
      <c r="F316" s="582">
        <f t="shared" si="114"/>
        <v>0</v>
      </c>
      <c r="G316" s="581">
        <f t="shared" si="114"/>
        <v>0</v>
      </c>
      <c r="H316" s="581">
        <f t="shared" si="114"/>
        <v>0</v>
      </c>
      <c r="I316" s="581">
        <f t="shared" si="114"/>
        <v>0</v>
      </c>
      <c r="J316" s="583">
        <f t="shared" si="114"/>
        <v>0</v>
      </c>
      <c r="K316" s="433"/>
      <c r="M316" s="448">
        <f>ROUND((($H$228*$A$245*(($C$14/1000)/$A$245)*$C$16)/$B$226),2)</f>
        <v>0</v>
      </c>
    </row>
    <row r="317" spans="1:15" ht="17.100000000000001" customHeight="1">
      <c r="A317" s="1423"/>
      <c r="B317" s="602" t="str">
        <f t="shared" si="98"/>
        <v>8구간</v>
      </c>
      <c r="C317" s="581">
        <f t="shared" ref="C317:J317" si="115">ROUND($M317*B$220/100,2)</f>
        <v>0</v>
      </c>
      <c r="D317" s="582">
        <f t="shared" si="115"/>
        <v>0</v>
      </c>
      <c r="E317" s="581">
        <f t="shared" si="115"/>
        <v>0</v>
      </c>
      <c r="F317" s="582">
        <f t="shared" si="115"/>
        <v>0</v>
      </c>
      <c r="G317" s="581">
        <f t="shared" si="115"/>
        <v>0</v>
      </c>
      <c r="H317" s="581">
        <f t="shared" si="115"/>
        <v>0</v>
      </c>
      <c r="I317" s="581">
        <f t="shared" si="115"/>
        <v>0</v>
      </c>
      <c r="J317" s="583">
        <f t="shared" si="115"/>
        <v>0</v>
      </c>
      <c r="K317" s="433"/>
      <c r="L317" s="421"/>
      <c r="M317" s="448">
        <f>ROUND((($H$228*$A$245*(($D$14/1000)/$A$245)*$D$16)/$B$226),2)</f>
        <v>0</v>
      </c>
    </row>
    <row r="318" spans="1:15" ht="17.100000000000001" customHeight="1">
      <c r="A318" s="1423"/>
      <c r="B318" s="580" t="str">
        <f t="shared" si="98"/>
        <v>9구간</v>
      </c>
      <c r="C318" s="581">
        <f t="shared" ref="C318:J318" si="116">ROUND($M318*B$220/100,2)</f>
        <v>0</v>
      </c>
      <c r="D318" s="582">
        <f t="shared" si="116"/>
        <v>0</v>
      </c>
      <c r="E318" s="581">
        <f t="shared" si="116"/>
        <v>0</v>
      </c>
      <c r="F318" s="582">
        <f t="shared" si="116"/>
        <v>0</v>
      </c>
      <c r="G318" s="581">
        <f t="shared" si="116"/>
        <v>0</v>
      </c>
      <c r="H318" s="581">
        <f t="shared" si="116"/>
        <v>0</v>
      </c>
      <c r="I318" s="581">
        <f t="shared" si="116"/>
        <v>0</v>
      </c>
      <c r="J318" s="583">
        <f t="shared" si="116"/>
        <v>0</v>
      </c>
      <c r="K318" s="433"/>
      <c r="M318" s="448">
        <f>ROUND((($H$228*$A$245*(($E$14/1000)/$A$245)*$E$16)/$B$226),2)</f>
        <v>0</v>
      </c>
    </row>
    <row r="319" spans="1:15" ht="17.100000000000001" customHeight="1">
      <c r="A319" s="1423"/>
      <c r="B319" s="591" t="str">
        <f t="shared" si="98"/>
        <v>10구간</v>
      </c>
      <c r="C319" s="592">
        <f t="shared" ref="C319:J319" si="117">ROUND($M319*B$220/100,2)</f>
        <v>0</v>
      </c>
      <c r="D319" s="593">
        <f t="shared" si="117"/>
        <v>0</v>
      </c>
      <c r="E319" s="592">
        <f t="shared" si="117"/>
        <v>0</v>
      </c>
      <c r="F319" s="593">
        <f t="shared" si="117"/>
        <v>0</v>
      </c>
      <c r="G319" s="592">
        <f t="shared" si="117"/>
        <v>0</v>
      </c>
      <c r="H319" s="592">
        <f t="shared" si="117"/>
        <v>0</v>
      </c>
      <c r="I319" s="592">
        <f t="shared" si="117"/>
        <v>0</v>
      </c>
      <c r="J319" s="594">
        <f t="shared" si="117"/>
        <v>0</v>
      </c>
      <c r="K319" s="433"/>
      <c r="M319" s="448">
        <f>ROUND((($H$228*$A$245*(($F$14/1000)/$A$245)*$F$16)/$B$226),2)</f>
        <v>0</v>
      </c>
    </row>
    <row r="320" spans="1:15" ht="17.100000000000001" customHeight="1">
      <c r="A320" s="1424"/>
      <c r="B320" s="595" t="s">
        <v>289</v>
      </c>
      <c r="C320" s="596">
        <f t="shared" ref="C320:J320" si="118">SUM(C310:C319)</f>
        <v>15.61</v>
      </c>
      <c r="D320" s="596">
        <f t="shared" si="118"/>
        <v>10.41</v>
      </c>
      <c r="E320" s="596">
        <f t="shared" si="118"/>
        <v>0</v>
      </c>
      <c r="F320" s="596">
        <f t="shared" si="118"/>
        <v>0.26</v>
      </c>
      <c r="G320" s="596">
        <f t="shared" si="118"/>
        <v>4.49</v>
      </c>
      <c r="H320" s="596">
        <f t="shared" si="118"/>
        <v>0.95</v>
      </c>
      <c r="I320" s="596">
        <f t="shared" si="118"/>
        <v>0.1</v>
      </c>
      <c r="J320" s="597">
        <f t="shared" si="118"/>
        <v>0.27</v>
      </c>
      <c r="K320" s="433"/>
      <c r="L320" s="421"/>
      <c r="M320" s="599">
        <f>SUM(M310:M319)</f>
        <v>32.08</v>
      </c>
    </row>
    <row r="321" spans="1:15" ht="17.100000000000001" customHeight="1">
      <c r="A321" s="1422">
        <v>70</v>
      </c>
      <c r="B321" s="600" t="str">
        <f t="shared" ref="B321:B330" si="119">B310</f>
        <v>1구간</v>
      </c>
      <c r="C321" s="601">
        <f t="shared" ref="C321:J322" si="120">ROUND($M321*B$220/100,2)</f>
        <v>13.24</v>
      </c>
      <c r="D321" s="575">
        <f t="shared" si="120"/>
        <v>8.83</v>
      </c>
      <c r="E321" s="576">
        <f t="shared" si="120"/>
        <v>0</v>
      </c>
      <c r="F321" s="575">
        <f t="shared" si="120"/>
        <v>0.22</v>
      </c>
      <c r="G321" s="576">
        <f t="shared" si="120"/>
        <v>3.81</v>
      </c>
      <c r="H321" s="578">
        <f t="shared" si="120"/>
        <v>0.8</v>
      </c>
      <c r="I321" s="578">
        <f t="shared" si="120"/>
        <v>0.09</v>
      </c>
      <c r="J321" s="579">
        <f t="shared" si="120"/>
        <v>0.23</v>
      </c>
      <c r="K321" s="211"/>
      <c r="M321" s="448">
        <f>ROUND((($I$228*$A$247*(($B$9/1000)/$A$247)*$B$11)/$B$226),2)</f>
        <v>27.22</v>
      </c>
      <c r="N321" s="421"/>
      <c r="O321" s="395"/>
    </row>
    <row r="322" spans="1:15" ht="17.100000000000001" customHeight="1">
      <c r="A322" s="1423"/>
      <c r="B322" s="580" t="str">
        <f t="shared" si="119"/>
        <v>2구간</v>
      </c>
      <c r="C322" s="581">
        <f t="shared" si="120"/>
        <v>0</v>
      </c>
      <c r="D322" s="582">
        <f t="shared" si="120"/>
        <v>0</v>
      </c>
      <c r="E322" s="581">
        <f t="shared" si="120"/>
        <v>0</v>
      </c>
      <c r="F322" s="582">
        <f t="shared" si="120"/>
        <v>0</v>
      </c>
      <c r="G322" s="581">
        <f t="shared" si="120"/>
        <v>0</v>
      </c>
      <c r="H322" s="581">
        <f t="shared" si="120"/>
        <v>0</v>
      </c>
      <c r="I322" s="581">
        <f t="shared" si="120"/>
        <v>0</v>
      </c>
      <c r="J322" s="583">
        <f t="shared" si="120"/>
        <v>0</v>
      </c>
      <c r="K322" s="433"/>
      <c r="M322" s="448">
        <f>ROUND((($I$228*$A$247*(($C$9/1000)/$A$247)*$C$11)/$B$226),2)</f>
        <v>0</v>
      </c>
    </row>
    <row r="323" spans="1:15" ht="17.100000000000001" customHeight="1">
      <c r="A323" s="1423"/>
      <c r="B323" s="602" t="str">
        <f t="shared" si="119"/>
        <v>3구간</v>
      </c>
      <c r="C323" s="581">
        <f t="shared" ref="C323:J323" si="121">ROUND($M323*B$220/100,2)</f>
        <v>0</v>
      </c>
      <c r="D323" s="582">
        <f t="shared" si="121"/>
        <v>0</v>
      </c>
      <c r="E323" s="581">
        <f t="shared" si="121"/>
        <v>0</v>
      </c>
      <c r="F323" s="582">
        <f t="shared" si="121"/>
        <v>0</v>
      </c>
      <c r="G323" s="581">
        <f t="shared" si="121"/>
        <v>0</v>
      </c>
      <c r="H323" s="581">
        <f t="shared" si="121"/>
        <v>0</v>
      </c>
      <c r="I323" s="581">
        <f t="shared" si="121"/>
        <v>0</v>
      </c>
      <c r="J323" s="583">
        <f t="shared" si="121"/>
        <v>0</v>
      </c>
      <c r="K323" s="433"/>
      <c r="L323" s="421"/>
      <c r="M323" s="448">
        <f>ROUND((($I$228*$A$247*(($D$9/1000)/$A$247)*$D$11)/$B$226),2)</f>
        <v>0</v>
      </c>
    </row>
    <row r="324" spans="1:15" ht="17.100000000000001" customHeight="1">
      <c r="A324" s="1423"/>
      <c r="B324" s="580" t="str">
        <f t="shared" si="119"/>
        <v>4구간</v>
      </c>
      <c r="C324" s="581">
        <f t="shared" ref="C324:J324" si="122">ROUND($M324*B$220/100,2)</f>
        <v>0</v>
      </c>
      <c r="D324" s="582">
        <f t="shared" si="122"/>
        <v>0</v>
      </c>
      <c r="E324" s="581">
        <f t="shared" si="122"/>
        <v>0</v>
      </c>
      <c r="F324" s="582">
        <f t="shared" si="122"/>
        <v>0</v>
      </c>
      <c r="G324" s="581">
        <f t="shared" si="122"/>
        <v>0</v>
      </c>
      <c r="H324" s="581">
        <f t="shared" si="122"/>
        <v>0</v>
      </c>
      <c r="I324" s="581">
        <f t="shared" si="122"/>
        <v>0</v>
      </c>
      <c r="J324" s="583">
        <f t="shared" si="122"/>
        <v>0</v>
      </c>
      <c r="K324" s="433"/>
      <c r="M324" s="448">
        <f>ROUND((($I$228*$A$247*(($E$9/1000)/$A$247)*$E$11)/$B$226),2)</f>
        <v>0</v>
      </c>
    </row>
    <row r="325" spans="1:15" ht="17.100000000000001" customHeight="1">
      <c r="A325" s="1423"/>
      <c r="B325" s="580" t="str">
        <f t="shared" si="119"/>
        <v>5구간</v>
      </c>
      <c r="C325" s="581">
        <f t="shared" ref="C325:J325" si="123">ROUND($M325*B$220/100,2)</f>
        <v>0</v>
      </c>
      <c r="D325" s="582">
        <f t="shared" si="123"/>
        <v>0</v>
      </c>
      <c r="E325" s="581">
        <f t="shared" si="123"/>
        <v>0</v>
      </c>
      <c r="F325" s="582">
        <f t="shared" si="123"/>
        <v>0</v>
      </c>
      <c r="G325" s="581">
        <f t="shared" si="123"/>
        <v>0</v>
      </c>
      <c r="H325" s="581">
        <f t="shared" si="123"/>
        <v>0</v>
      </c>
      <c r="I325" s="581">
        <f t="shared" si="123"/>
        <v>0</v>
      </c>
      <c r="J325" s="583">
        <f t="shared" si="123"/>
        <v>0</v>
      </c>
      <c r="K325" s="433"/>
      <c r="M325" s="448">
        <f>ROUND((($I$228*$A$247*(($F$9/1000)/$A$247)*$F$11)/$B$226),2)</f>
        <v>0</v>
      </c>
    </row>
    <row r="326" spans="1:15" ht="17.100000000000001" customHeight="1">
      <c r="A326" s="1423"/>
      <c r="B326" s="602" t="str">
        <f t="shared" si="119"/>
        <v>6구간</v>
      </c>
      <c r="C326" s="603">
        <f t="shared" ref="C326:J326" si="124">ROUND($M326*B$220/100,2)</f>
        <v>0</v>
      </c>
      <c r="D326" s="586">
        <f t="shared" si="124"/>
        <v>0</v>
      </c>
      <c r="E326" s="587">
        <f t="shared" si="124"/>
        <v>0</v>
      </c>
      <c r="F326" s="586">
        <f t="shared" si="124"/>
        <v>0</v>
      </c>
      <c r="G326" s="587">
        <f t="shared" si="124"/>
        <v>0</v>
      </c>
      <c r="H326" s="589">
        <f t="shared" si="124"/>
        <v>0</v>
      </c>
      <c r="I326" s="589">
        <f t="shared" si="124"/>
        <v>0</v>
      </c>
      <c r="J326" s="590">
        <f t="shared" si="124"/>
        <v>0</v>
      </c>
      <c r="K326" s="211"/>
      <c r="M326" s="448">
        <f>ROUND((($I$228*$A$247*(($B$14/1000)/$A$247)*$B$16)/$B$226),2)</f>
        <v>0</v>
      </c>
      <c r="N326" s="421"/>
      <c r="O326" s="395"/>
    </row>
    <row r="327" spans="1:15" ht="17.100000000000001" customHeight="1">
      <c r="A327" s="1423"/>
      <c r="B327" s="580" t="str">
        <f t="shared" si="119"/>
        <v>7구간</v>
      </c>
      <c r="C327" s="581">
        <f t="shared" ref="C327:J327" si="125">ROUND($M327*B$220/100,2)</f>
        <v>0</v>
      </c>
      <c r="D327" s="582">
        <f t="shared" si="125"/>
        <v>0</v>
      </c>
      <c r="E327" s="581">
        <f t="shared" si="125"/>
        <v>0</v>
      </c>
      <c r="F327" s="582">
        <f t="shared" si="125"/>
        <v>0</v>
      </c>
      <c r="G327" s="581">
        <f t="shared" si="125"/>
        <v>0</v>
      </c>
      <c r="H327" s="581">
        <f t="shared" si="125"/>
        <v>0</v>
      </c>
      <c r="I327" s="581">
        <f t="shared" si="125"/>
        <v>0</v>
      </c>
      <c r="J327" s="583">
        <f t="shared" si="125"/>
        <v>0</v>
      </c>
      <c r="K327" s="433"/>
      <c r="M327" s="448">
        <f>ROUND((($I$228*$A$247*(($C$14/1000)/$A$247)*$C$16)/$B$226),2)</f>
        <v>0</v>
      </c>
    </row>
    <row r="328" spans="1:15" ht="17.100000000000001" customHeight="1">
      <c r="A328" s="1423"/>
      <c r="B328" s="602" t="str">
        <f t="shared" si="119"/>
        <v>8구간</v>
      </c>
      <c r="C328" s="581">
        <f t="shared" ref="C328:J328" si="126">ROUND($M328*B$220/100,2)</f>
        <v>0</v>
      </c>
      <c r="D328" s="582">
        <f t="shared" si="126"/>
        <v>0</v>
      </c>
      <c r="E328" s="581">
        <f t="shared" si="126"/>
        <v>0</v>
      </c>
      <c r="F328" s="582">
        <f t="shared" si="126"/>
        <v>0</v>
      </c>
      <c r="G328" s="581">
        <f t="shared" si="126"/>
        <v>0</v>
      </c>
      <c r="H328" s="581">
        <f t="shared" si="126"/>
        <v>0</v>
      </c>
      <c r="I328" s="581">
        <f t="shared" si="126"/>
        <v>0</v>
      </c>
      <c r="J328" s="583">
        <f t="shared" si="126"/>
        <v>0</v>
      </c>
      <c r="K328" s="433"/>
      <c r="L328" s="421"/>
      <c r="M328" s="448">
        <f>ROUND((($I$228*$A$247*(($D$14/1000)/$A$247)*$D$16)/$B$226),2)</f>
        <v>0</v>
      </c>
    </row>
    <row r="329" spans="1:15" ht="17.100000000000001" customHeight="1">
      <c r="A329" s="1423"/>
      <c r="B329" s="580" t="str">
        <f t="shared" si="119"/>
        <v>9구간</v>
      </c>
      <c r="C329" s="581">
        <f t="shared" ref="C329:J329" si="127">ROUND($M329*B$220/100,2)</f>
        <v>0</v>
      </c>
      <c r="D329" s="582">
        <f t="shared" si="127"/>
        <v>0</v>
      </c>
      <c r="E329" s="581">
        <f t="shared" si="127"/>
        <v>0</v>
      </c>
      <c r="F329" s="582">
        <f t="shared" si="127"/>
        <v>0</v>
      </c>
      <c r="G329" s="581">
        <f t="shared" si="127"/>
        <v>0</v>
      </c>
      <c r="H329" s="581">
        <f t="shared" si="127"/>
        <v>0</v>
      </c>
      <c r="I329" s="581">
        <f t="shared" si="127"/>
        <v>0</v>
      </c>
      <c r="J329" s="583">
        <f t="shared" si="127"/>
        <v>0</v>
      </c>
      <c r="K329" s="433"/>
      <c r="M329" s="448">
        <f>ROUND((($I$228*$A$247*(($E$14/1000)/$A$247)*$E$16)/$B$226),2)</f>
        <v>0</v>
      </c>
    </row>
    <row r="330" spans="1:15" ht="17.100000000000001" customHeight="1">
      <c r="A330" s="1423"/>
      <c r="B330" s="591" t="str">
        <f t="shared" si="119"/>
        <v>10구간</v>
      </c>
      <c r="C330" s="592">
        <f t="shared" ref="C330:J330" si="128">ROUND($M330*B$220/100,2)</f>
        <v>0</v>
      </c>
      <c r="D330" s="593">
        <f t="shared" si="128"/>
        <v>0</v>
      </c>
      <c r="E330" s="592">
        <f t="shared" si="128"/>
        <v>0</v>
      </c>
      <c r="F330" s="593">
        <f t="shared" si="128"/>
        <v>0</v>
      </c>
      <c r="G330" s="592">
        <f t="shared" si="128"/>
        <v>0</v>
      </c>
      <c r="H330" s="592">
        <f t="shared" si="128"/>
        <v>0</v>
      </c>
      <c r="I330" s="592">
        <f t="shared" si="128"/>
        <v>0</v>
      </c>
      <c r="J330" s="594">
        <f t="shared" si="128"/>
        <v>0</v>
      </c>
      <c r="K330" s="433"/>
      <c r="M330" s="448">
        <f>ROUND((($I$228*$A$247*(($F$14/1000)/$A$247)*$F$16)/$B$226),2)</f>
        <v>0</v>
      </c>
    </row>
    <row r="331" spans="1:15" ht="17.100000000000001" customHeight="1">
      <c r="A331" s="1424"/>
      <c r="B331" s="595" t="s">
        <v>289</v>
      </c>
      <c r="C331" s="596">
        <f t="shared" ref="C331:J331" si="129">SUM(C321:C330)</f>
        <v>13.24</v>
      </c>
      <c r="D331" s="596">
        <f t="shared" si="129"/>
        <v>8.83</v>
      </c>
      <c r="E331" s="596">
        <f t="shared" si="129"/>
        <v>0</v>
      </c>
      <c r="F331" s="596">
        <f t="shared" si="129"/>
        <v>0.22</v>
      </c>
      <c r="G331" s="596">
        <f t="shared" si="129"/>
        <v>3.81</v>
      </c>
      <c r="H331" s="596">
        <f t="shared" si="129"/>
        <v>0.8</v>
      </c>
      <c r="I331" s="596">
        <f t="shared" si="129"/>
        <v>0.09</v>
      </c>
      <c r="J331" s="597">
        <f t="shared" si="129"/>
        <v>0.23</v>
      </c>
      <c r="K331" s="433"/>
      <c r="L331" s="421"/>
      <c r="M331" s="599">
        <f>SUM(M321:M330)</f>
        <v>27.22</v>
      </c>
    </row>
    <row r="332" spans="1:15" ht="17.100000000000001" customHeight="1">
      <c r="A332" s="1422">
        <v>80</v>
      </c>
      <c r="B332" s="600" t="str">
        <f t="shared" ref="B332:B341" si="130">B321</f>
        <v>1구간</v>
      </c>
      <c r="C332" s="601">
        <f>ROUND($M332*B$220/100,2)</f>
        <v>11.82</v>
      </c>
      <c r="D332" s="575">
        <f t="shared" ref="D332:J333" si="131">ROUND($M332*C$220/100,2)</f>
        <v>7.88</v>
      </c>
      <c r="E332" s="576">
        <f t="shared" si="131"/>
        <v>0</v>
      </c>
      <c r="F332" s="575">
        <f t="shared" si="131"/>
        <v>0.19</v>
      </c>
      <c r="G332" s="576">
        <f t="shared" si="131"/>
        <v>3.4</v>
      </c>
      <c r="H332" s="578">
        <f t="shared" si="131"/>
        <v>0.72</v>
      </c>
      <c r="I332" s="578">
        <f t="shared" si="131"/>
        <v>0.08</v>
      </c>
      <c r="J332" s="579">
        <f t="shared" si="131"/>
        <v>0.2</v>
      </c>
      <c r="K332" s="211"/>
      <c r="M332" s="448">
        <f>ROUND((($J$228*$A$249*(($B$9/1000)/$A$249)*$B$11)/$B$226),2)</f>
        <v>24.3</v>
      </c>
      <c r="O332" s="395"/>
    </row>
    <row r="333" spans="1:15" ht="17.100000000000001" customHeight="1">
      <c r="A333" s="1423"/>
      <c r="B333" s="580" t="str">
        <f t="shared" si="130"/>
        <v>2구간</v>
      </c>
      <c r="C333" s="581">
        <f>ROUND($M333*B$220/100,2)</f>
        <v>0</v>
      </c>
      <c r="D333" s="582">
        <f t="shared" si="131"/>
        <v>0</v>
      </c>
      <c r="E333" s="581">
        <f t="shared" si="131"/>
        <v>0</v>
      </c>
      <c r="F333" s="582">
        <f t="shared" si="131"/>
        <v>0</v>
      </c>
      <c r="G333" s="581">
        <f t="shared" si="131"/>
        <v>0</v>
      </c>
      <c r="H333" s="581">
        <f t="shared" si="131"/>
        <v>0</v>
      </c>
      <c r="I333" s="581">
        <f t="shared" si="131"/>
        <v>0</v>
      </c>
      <c r="J333" s="583">
        <f t="shared" si="131"/>
        <v>0</v>
      </c>
      <c r="K333" s="433"/>
      <c r="M333" s="448">
        <f>ROUND((($J$228*$A$249*(($C$9/1000)/$A$249)*$C$11)/$B$226),2)</f>
        <v>0</v>
      </c>
    </row>
    <row r="334" spans="1:15" ht="17.100000000000001" customHeight="1">
      <c r="A334" s="1423"/>
      <c r="B334" s="602" t="str">
        <f t="shared" si="130"/>
        <v>3구간</v>
      </c>
      <c r="C334" s="581">
        <f t="shared" ref="C334:J334" si="132">ROUND($M334*B$220/100,2)</f>
        <v>0</v>
      </c>
      <c r="D334" s="582">
        <f t="shared" si="132"/>
        <v>0</v>
      </c>
      <c r="E334" s="581">
        <f t="shared" si="132"/>
        <v>0</v>
      </c>
      <c r="F334" s="582">
        <f t="shared" si="132"/>
        <v>0</v>
      </c>
      <c r="G334" s="581">
        <f t="shared" si="132"/>
        <v>0</v>
      </c>
      <c r="H334" s="581">
        <f t="shared" si="132"/>
        <v>0</v>
      </c>
      <c r="I334" s="581">
        <f t="shared" si="132"/>
        <v>0</v>
      </c>
      <c r="J334" s="583">
        <f t="shared" si="132"/>
        <v>0</v>
      </c>
      <c r="K334" s="433"/>
      <c r="M334" s="448">
        <f>ROUND((($J$228*$A$249*(($D$9/1000)/$A$249)*$D$11)/$B$226),2)</f>
        <v>0</v>
      </c>
    </row>
    <row r="335" spans="1:15" ht="17.100000000000001" customHeight="1">
      <c r="A335" s="1423"/>
      <c r="B335" s="580" t="str">
        <f t="shared" si="130"/>
        <v>4구간</v>
      </c>
      <c r="C335" s="581">
        <f t="shared" ref="C335:J335" si="133">ROUND($M335*B$220/100,2)</f>
        <v>0</v>
      </c>
      <c r="D335" s="582">
        <f t="shared" si="133"/>
        <v>0</v>
      </c>
      <c r="E335" s="581">
        <f t="shared" si="133"/>
        <v>0</v>
      </c>
      <c r="F335" s="582">
        <f t="shared" si="133"/>
        <v>0</v>
      </c>
      <c r="G335" s="581">
        <f t="shared" si="133"/>
        <v>0</v>
      </c>
      <c r="H335" s="581">
        <f t="shared" si="133"/>
        <v>0</v>
      </c>
      <c r="I335" s="581">
        <f t="shared" si="133"/>
        <v>0</v>
      </c>
      <c r="J335" s="583">
        <f t="shared" si="133"/>
        <v>0</v>
      </c>
      <c r="K335" s="433"/>
      <c r="M335" s="448">
        <f>ROUND((($J$228*$A$249*(($E$9/1000)/$A$249)*$E$11)/$B$226),2)</f>
        <v>0</v>
      </c>
    </row>
    <row r="336" spans="1:15" ht="17.100000000000001" customHeight="1">
      <c r="A336" s="1423"/>
      <c r="B336" s="580" t="str">
        <f t="shared" si="130"/>
        <v>5구간</v>
      </c>
      <c r="C336" s="605">
        <f t="shared" ref="C336:J336" si="134">ROUND($M336*B$220/100,2)</f>
        <v>0</v>
      </c>
      <c r="D336" s="582">
        <f t="shared" si="134"/>
        <v>0</v>
      </c>
      <c r="E336" s="581">
        <f t="shared" si="134"/>
        <v>0</v>
      </c>
      <c r="F336" s="582">
        <f t="shared" si="134"/>
        <v>0</v>
      </c>
      <c r="G336" s="581">
        <f t="shared" si="134"/>
        <v>0</v>
      </c>
      <c r="H336" s="581">
        <f t="shared" si="134"/>
        <v>0</v>
      </c>
      <c r="I336" s="581">
        <f t="shared" si="134"/>
        <v>0</v>
      </c>
      <c r="J336" s="583">
        <f t="shared" si="134"/>
        <v>0</v>
      </c>
      <c r="K336" s="433"/>
      <c r="M336" s="448">
        <f>ROUND((($J$228*$A$249*(($F$9/1000)/$A$249)*$F$11)/$B$226),2)</f>
        <v>0</v>
      </c>
    </row>
    <row r="337" spans="1:15" ht="17.100000000000001" customHeight="1">
      <c r="A337" s="1423"/>
      <c r="B337" s="602" t="str">
        <f t="shared" si="130"/>
        <v>6구간</v>
      </c>
      <c r="C337" s="603">
        <f t="shared" ref="C337:J337" si="135">ROUND($M337*B$220/100,2)</f>
        <v>0</v>
      </c>
      <c r="D337" s="586">
        <f t="shared" si="135"/>
        <v>0</v>
      </c>
      <c r="E337" s="587">
        <f t="shared" si="135"/>
        <v>0</v>
      </c>
      <c r="F337" s="586">
        <f t="shared" si="135"/>
        <v>0</v>
      </c>
      <c r="G337" s="587">
        <f t="shared" si="135"/>
        <v>0</v>
      </c>
      <c r="H337" s="589">
        <f t="shared" si="135"/>
        <v>0</v>
      </c>
      <c r="I337" s="589">
        <f t="shared" si="135"/>
        <v>0</v>
      </c>
      <c r="J337" s="590">
        <f t="shared" si="135"/>
        <v>0</v>
      </c>
      <c r="K337" s="211"/>
      <c r="M337" s="448">
        <f>ROUND((($J$228*$A$249*(($B$14/1000)/$A$249)*$B$16)/$B$226),2)</f>
        <v>0</v>
      </c>
      <c r="O337" s="395"/>
    </row>
    <row r="338" spans="1:15" ht="17.100000000000001" customHeight="1">
      <c r="A338" s="1423"/>
      <c r="B338" s="580" t="str">
        <f t="shared" si="130"/>
        <v>7구간</v>
      </c>
      <c r="C338" s="581">
        <f t="shared" ref="C338:J338" si="136">ROUND($M338*B$220/100,2)</f>
        <v>0</v>
      </c>
      <c r="D338" s="582">
        <f t="shared" si="136"/>
        <v>0</v>
      </c>
      <c r="E338" s="581">
        <f t="shared" si="136"/>
        <v>0</v>
      </c>
      <c r="F338" s="582">
        <f t="shared" si="136"/>
        <v>0</v>
      </c>
      <c r="G338" s="581">
        <f t="shared" si="136"/>
        <v>0</v>
      </c>
      <c r="H338" s="581">
        <f t="shared" si="136"/>
        <v>0</v>
      </c>
      <c r="I338" s="581">
        <f t="shared" si="136"/>
        <v>0</v>
      </c>
      <c r="J338" s="583">
        <f t="shared" si="136"/>
        <v>0</v>
      </c>
      <c r="K338" s="433"/>
      <c r="M338" s="448">
        <f>ROUND((($J$228*$A$249*(($C$14/1000)/$A$249)*$C$16)/$B$226),2)</f>
        <v>0</v>
      </c>
    </row>
    <row r="339" spans="1:15" ht="17.100000000000001" customHeight="1">
      <c r="A339" s="1423"/>
      <c r="B339" s="602" t="str">
        <f t="shared" si="130"/>
        <v>8구간</v>
      </c>
      <c r="C339" s="581">
        <f t="shared" ref="C339:J339" si="137">ROUND($M339*B$220/100,2)</f>
        <v>0</v>
      </c>
      <c r="D339" s="582">
        <f t="shared" si="137"/>
        <v>0</v>
      </c>
      <c r="E339" s="581">
        <f t="shared" si="137"/>
        <v>0</v>
      </c>
      <c r="F339" s="582">
        <f t="shared" si="137"/>
        <v>0</v>
      </c>
      <c r="G339" s="581">
        <f t="shared" si="137"/>
        <v>0</v>
      </c>
      <c r="H339" s="581">
        <f t="shared" si="137"/>
        <v>0</v>
      </c>
      <c r="I339" s="581">
        <f t="shared" si="137"/>
        <v>0</v>
      </c>
      <c r="J339" s="583">
        <f t="shared" si="137"/>
        <v>0</v>
      </c>
      <c r="K339" s="433"/>
      <c r="M339" s="448">
        <f>ROUND((($J$228*$A$249*(($D$14/1000)/$A$249)*$D$16)/$B$226),2)</f>
        <v>0</v>
      </c>
    </row>
    <row r="340" spans="1:15" ht="17.100000000000001" customHeight="1">
      <c r="A340" s="1423"/>
      <c r="B340" s="580" t="str">
        <f t="shared" si="130"/>
        <v>9구간</v>
      </c>
      <c r="C340" s="581">
        <f t="shared" ref="C340:J340" si="138">ROUND($M340*B$220/100,2)</f>
        <v>0</v>
      </c>
      <c r="D340" s="582">
        <f t="shared" si="138"/>
        <v>0</v>
      </c>
      <c r="E340" s="581">
        <f t="shared" si="138"/>
        <v>0</v>
      </c>
      <c r="F340" s="582">
        <f t="shared" si="138"/>
        <v>0</v>
      </c>
      <c r="G340" s="581">
        <f t="shared" si="138"/>
        <v>0</v>
      </c>
      <c r="H340" s="581">
        <f t="shared" si="138"/>
        <v>0</v>
      </c>
      <c r="I340" s="581">
        <f t="shared" si="138"/>
        <v>0</v>
      </c>
      <c r="J340" s="583">
        <f t="shared" si="138"/>
        <v>0</v>
      </c>
      <c r="K340" s="433"/>
      <c r="M340" s="448">
        <f>ROUND((($J$228*$A$249*(($E$14/1000)/$A$249)*$E$16)/$B$226),2)</f>
        <v>0</v>
      </c>
    </row>
    <row r="341" spans="1:15" ht="17.100000000000001" customHeight="1">
      <c r="A341" s="1423"/>
      <c r="B341" s="606" t="str">
        <f t="shared" si="130"/>
        <v>10구간</v>
      </c>
      <c r="C341" s="607">
        <f t="shared" ref="C341:J341" si="139">ROUND($M341*B$220/100,2)</f>
        <v>0</v>
      </c>
      <c r="D341" s="593">
        <f t="shared" si="139"/>
        <v>0</v>
      </c>
      <c r="E341" s="592">
        <f t="shared" si="139"/>
        <v>0</v>
      </c>
      <c r="F341" s="593">
        <f t="shared" si="139"/>
        <v>0</v>
      </c>
      <c r="G341" s="592">
        <f t="shared" si="139"/>
        <v>0</v>
      </c>
      <c r="H341" s="592">
        <f t="shared" si="139"/>
        <v>0</v>
      </c>
      <c r="I341" s="592">
        <f t="shared" si="139"/>
        <v>0</v>
      </c>
      <c r="J341" s="594">
        <f t="shared" si="139"/>
        <v>0</v>
      </c>
      <c r="K341" s="433"/>
      <c r="M341" s="448">
        <f>ROUND((($J$228*$A$249*(($F$14/1000)/$A$249)*$F$16)/$B$226),2)</f>
        <v>0</v>
      </c>
    </row>
    <row r="342" spans="1:15" ht="17.100000000000001" customHeight="1" thickBot="1">
      <c r="A342" s="1425"/>
      <c r="B342" s="608" t="str">
        <f>B331</f>
        <v>합계</v>
      </c>
      <c r="C342" s="609">
        <f t="shared" ref="C342:J342" si="140">SUM(C332:C341)</f>
        <v>11.82</v>
      </c>
      <c r="D342" s="609">
        <f t="shared" si="140"/>
        <v>7.88</v>
      </c>
      <c r="E342" s="609">
        <f t="shared" si="140"/>
        <v>0</v>
      </c>
      <c r="F342" s="609">
        <f t="shared" si="140"/>
        <v>0.19</v>
      </c>
      <c r="G342" s="609">
        <f t="shared" si="140"/>
        <v>3.4</v>
      </c>
      <c r="H342" s="609">
        <f t="shared" si="140"/>
        <v>0.72</v>
      </c>
      <c r="I342" s="609">
        <f t="shared" si="140"/>
        <v>0.08</v>
      </c>
      <c r="J342" s="610">
        <f t="shared" si="140"/>
        <v>0.2</v>
      </c>
      <c r="K342" s="433"/>
      <c r="L342" s="421"/>
      <c r="M342" s="599">
        <f>SUM(M332:M341)</f>
        <v>24.3</v>
      </c>
    </row>
    <row r="343" spans="1:15">
      <c r="A343" s="475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</row>
    <row r="344" spans="1:15">
      <c r="A344" s="70" t="s">
        <v>69</v>
      </c>
      <c r="B344" s="390"/>
      <c r="C344" s="76" t="str">
        <f>B51</f>
        <v>진주</v>
      </c>
      <c r="D344" s="432" t="str">
        <f>C51</f>
        <v>⇒</v>
      </c>
      <c r="E344" s="76" t="str">
        <f>D51</f>
        <v>마산</v>
      </c>
      <c r="F344" s="390"/>
      <c r="G344" s="390"/>
      <c r="H344" s="390"/>
      <c r="I344" s="390"/>
      <c r="J344" s="430"/>
    </row>
    <row r="345" spans="1:15">
      <c r="A345" s="390"/>
      <c r="B345" s="390"/>
      <c r="C345" s="390"/>
      <c r="D345" s="390"/>
      <c r="E345" s="390"/>
      <c r="F345" s="390"/>
      <c r="G345" s="390"/>
      <c r="H345" s="390"/>
      <c r="I345" s="390"/>
      <c r="J345" s="430"/>
    </row>
    <row r="346" spans="1:15" ht="14.25" thickBot="1">
      <c r="A346" s="390" t="s">
        <v>55</v>
      </c>
      <c r="B346" s="390"/>
      <c r="C346" s="390"/>
      <c r="D346" s="393" t="s">
        <v>56</v>
      </c>
      <c r="E346" s="76">
        <f>H51</f>
        <v>2222</v>
      </c>
      <c r="F346" s="390" t="s">
        <v>57</v>
      </c>
      <c r="G346" s="390" t="s">
        <v>1</v>
      </c>
      <c r="H346" s="390"/>
      <c r="I346" s="86"/>
      <c r="J346" s="430"/>
    </row>
    <row r="347" spans="1:15">
      <c r="A347" s="1426" t="s">
        <v>60</v>
      </c>
      <c r="B347" s="1466" t="s">
        <v>276</v>
      </c>
      <c r="C347" s="1468"/>
      <c r="D347" s="534" t="s">
        <v>58</v>
      </c>
      <c r="E347" s="466"/>
      <c r="F347" s="534" t="s">
        <v>59</v>
      </c>
      <c r="G347" s="466"/>
      <c r="H347" s="466"/>
      <c r="I347" s="535"/>
      <c r="J347" s="476"/>
    </row>
    <row r="348" spans="1:15">
      <c r="A348" s="1427"/>
      <c r="B348" s="536" t="s">
        <v>268</v>
      </c>
      <c r="C348" s="495" t="s">
        <v>269</v>
      </c>
      <c r="D348" s="452" t="s">
        <v>19</v>
      </c>
      <c r="E348" s="452" t="s">
        <v>20</v>
      </c>
      <c r="F348" s="452" t="s">
        <v>19</v>
      </c>
      <c r="G348" s="452" t="s">
        <v>21</v>
      </c>
      <c r="H348" s="452" t="s">
        <v>20</v>
      </c>
      <c r="I348" s="1264" t="s">
        <v>22</v>
      </c>
      <c r="J348" s="537"/>
    </row>
    <row r="349" spans="1:15">
      <c r="A349" s="515" t="s">
        <v>61</v>
      </c>
      <c r="B349" s="536">
        <f t="shared" ref="B349:I349" si="141">IF($E346=$A63,C64,IF($E346=$A61,C62,IF($E346=$A59,C60,IF($E346=$A57,C58,IF($E346=$A55,C56)))))</f>
        <v>48.65</v>
      </c>
      <c r="C349" s="536">
        <f t="shared" si="141"/>
        <v>32.44</v>
      </c>
      <c r="D349" s="536">
        <f t="shared" si="141"/>
        <v>0</v>
      </c>
      <c r="E349" s="536">
        <f t="shared" si="141"/>
        <v>0.8</v>
      </c>
      <c r="F349" s="536">
        <f t="shared" si="141"/>
        <v>14</v>
      </c>
      <c r="G349" s="536">
        <f t="shared" si="141"/>
        <v>2.95</v>
      </c>
      <c r="H349" s="536">
        <f t="shared" si="141"/>
        <v>0.32</v>
      </c>
      <c r="I349" s="536">
        <f t="shared" si="141"/>
        <v>0.84</v>
      </c>
      <c r="J349" s="478"/>
    </row>
    <row r="350" spans="1:15" hidden="1">
      <c r="A350" s="515" t="s">
        <v>224</v>
      </c>
      <c r="B350" s="536">
        <v>1.37</v>
      </c>
      <c r="C350" s="536">
        <v>1.37</v>
      </c>
      <c r="D350" s="452">
        <v>2.2000000000000002</v>
      </c>
      <c r="E350" s="452">
        <v>12.16</v>
      </c>
      <c r="F350" s="452">
        <v>2.39</v>
      </c>
      <c r="G350" s="452">
        <v>6.22</v>
      </c>
      <c r="H350" s="452">
        <v>18.55</v>
      </c>
      <c r="I350" s="1264">
        <v>40.74</v>
      </c>
      <c r="J350" s="90" t="s">
        <v>62</v>
      </c>
    </row>
    <row r="351" spans="1:15" hidden="1">
      <c r="A351" s="515" t="s">
        <v>225</v>
      </c>
      <c r="B351" s="536">
        <v>1.3120000000000001</v>
      </c>
      <c r="C351" s="536">
        <v>1.3120000000000001</v>
      </c>
      <c r="D351" s="452">
        <v>2.06</v>
      </c>
      <c r="E351" s="452">
        <v>11.63</v>
      </c>
      <c r="F351" s="452">
        <v>2.19</v>
      </c>
      <c r="G351" s="452">
        <v>5.63</v>
      </c>
      <c r="H351" s="452">
        <v>16.5</v>
      </c>
      <c r="I351" s="1264">
        <v>35.42</v>
      </c>
      <c r="J351" s="198" t="s">
        <v>63</v>
      </c>
    </row>
    <row r="352" spans="1:15" ht="15.75">
      <c r="A352" s="515" t="s">
        <v>450</v>
      </c>
      <c r="B352" s="536">
        <f>$F$93</f>
        <v>0</v>
      </c>
      <c r="C352" s="495">
        <f>$F$94</f>
        <v>0.87119999999999997</v>
      </c>
      <c r="D352" s="452">
        <f>$F$95</f>
        <v>0.87119999999999997</v>
      </c>
      <c r="E352" s="452">
        <f>$F$98</f>
        <v>7.7916999999999996</v>
      </c>
      <c r="F352" s="452">
        <f>$F$96</f>
        <v>0.87119999999999997</v>
      </c>
      <c r="G352" s="452">
        <f>$F$97</f>
        <v>3.8269000000000002</v>
      </c>
      <c r="H352" s="452">
        <f>$F$99</f>
        <v>8.6190999999999995</v>
      </c>
      <c r="I352" s="1264">
        <f>$F$100</f>
        <v>11.1532</v>
      </c>
      <c r="J352" s="478"/>
    </row>
    <row r="353" spans="1:15">
      <c r="A353" s="515" t="s">
        <v>64</v>
      </c>
      <c r="B353" s="199">
        <v>1</v>
      </c>
      <c r="C353" s="199">
        <v>1</v>
      </c>
      <c r="D353" s="117">
        <v>1</v>
      </c>
      <c r="E353" s="118">
        <v>1.5</v>
      </c>
      <c r="F353" s="118">
        <v>1</v>
      </c>
      <c r="G353" s="118">
        <v>1.5</v>
      </c>
      <c r="H353" s="118">
        <v>1.5</v>
      </c>
      <c r="I353" s="119">
        <f>IF($C$4=3,1.9,2)</f>
        <v>2</v>
      </c>
      <c r="J353" s="478"/>
    </row>
    <row r="354" spans="1:15">
      <c r="A354" s="515"/>
      <c r="B354" s="538">
        <f>B353*B349</f>
        <v>48.65</v>
      </c>
      <c r="C354" s="611">
        <f>C349*C353</f>
        <v>32.44</v>
      </c>
      <c r="D354" s="538">
        <f t="shared" ref="D354:I354" si="142">D353*D349</f>
        <v>0</v>
      </c>
      <c r="E354" s="538">
        <f t="shared" si="142"/>
        <v>1.2000000000000002</v>
      </c>
      <c r="F354" s="538">
        <f t="shared" si="142"/>
        <v>14</v>
      </c>
      <c r="G354" s="538">
        <f t="shared" si="142"/>
        <v>4.4250000000000007</v>
      </c>
      <c r="H354" s="538">
        <f t="shared" si="142"/>
        <v>0.48</v>
      </c>
      <c r="I354" s="538">
        <f t="shared" si="142"/>
        <v>1.68</v>
      </c>
      <c r="J354" s="478"/>
    </row>
    <row r="355" spans="1:15">
      <c r="A355" s="515" t="s">
        <v>65</v>
      </c>
      <c r="B355" s="477">
        <f>ROUND(SUM(B354:I354)/100,4)</f>
        <v>1.0287999999999999</v>
      </c>
      <c r="C355" s="477" t="s">
        <v>66</v>
      </c>
      <c r="D355" s="421"/>
      <c r="E355" s="477"/>
      <c r="F355" s="477"/>
      <c r="G355" s="477"/>
      <c r="H355" s="477"/>
      <c r="I355" s="477"/>
      <c r="J355" s="478"/>
    </row>
    <row r="356" spans="1:15">
      <c r="A356" s="515" t="s">
        <v>67</v>
      </c>
      <c r="B356" s="1486">
        <f>+B210</f>
        <v>10</v>
      </c>
      <c r="C356" s="1487"/>
      <c r="D356" s="536">
        <f t="shared" ref="D356:J357" si="143">+C210</f>
        <v>20</v>
      </c>
      <c r="E356" s="536">
        <f t="shared" si="143"/>
        <v>30</v>
      </c>
      <c r="F356" s="536">
        <f t="shared" si="143"/>
        <v>40</v>
      </c>
      <c r="G356" s="536">
        <f t="shared" si="143"/>
        <v>50</v>
      </c>
      <c r="H356" s="536">
        <f t="shared" si="143"/>
        <v>60</v>
      </c>
      <c r="I356" s="536">
        <f t="shared" si="143"/>
        <v>70</v>
      </c>
      <c r="J356" s="612">
        <f t="shared" si="143"/>
        <v>80</v>
      </c>
    </row>
    <row r="357" spans="1:15">
      <c r="A357" s="515" t="s">
        <v>181</v>
      </c>
      <c r="B357" s="1265">
        <f>+B211</f>
        <v>109</v>
      </c>
      <c r="C357" s="536">
        <f>+B211</f>
        <v>109</v>
      </c>
      <c r="D357" s="452">
        <f t="shared" si="143"/>
        <v>79</v>
      </c>
      <c r="E357" s="452">
        <f t="shared" si="143"/>
        <v>61</v>
      </c>
      <c r="F357" s="452">
        <f t="shared" si="143"/>
        <v>48</v>
      </c>
      <c r="G357" s="452">
        <f t="shared" si="143"/>
        <v>40</v>
      </c>
      <c r="H357" s="452">
        <f t="shared" si="143"/>
        <v>33</v>
      </c>
      <c r="I357" s="452">
        <f t="shared" si="143"/>
        <v>28</v>
      </c>
      <c r="J357" s="513">
        <f t="shared" si="143"/>
        <v>25</v>
      </c>
    </row>
    <row r="358" spans="1:15" hidden="1">
      <c r="A358" s="479" t="s">
        <v>212</v>
      </c>
      <c r="B358" s="441">
        <f>ROUND(B357/$B$226*IF($E$217=$A$38,$M$38,IF($E$217=$A$40,$M$40,IF($A$42=$E$217,$M$42,IF($E$217=$A$44,$M$44,IF($E$217=$A$46,$M$46))))),2)</f>
        <v>105.95</v>
      </c>
      <c r="C358" s="421"/>
      <c r="D358" s="442">
        <f t="shared" ref="D358:J358" si="144">ROUND(D357/$B$226*IF($E$217=$A$38,$M$38,IF($E$217=$A$40,$M$40,IF($A$42=$E$217,$M$42,IF($E$217=$A$44,$M$44,IF($E$217=$A$46,$M$46))))),2)</f>
        <v>76.790000000000006</v>
      </c>
      <c r="E358" s="442">
        <f t="shared" si="144"/>
        <v>59.29</v>
      </c>
      <c r="F358" s="442">
        <f t="shared" si="144"/>
        <v>46.66</v>
      </c>
      <c r="G358" s="442">
        <f t="shared" si="144"/>
        <v>38.880000000000003</v>
      </c>
      <c r="H358" s="442">
        <f t="shared" si="144"/>
        <v>32.08</v>
      </c>
      <c r="I358" s="442">
        <f t="shared" si="144"/>
        <v>27.22</v>
      </c>
      <c r="J358" s="449">
        <f t="shared" si="144"/>
        <v>24.3</v>
      </c>
    </row>
    <row r="359" spans="1:15" ht="14.25" thickBot="1">
      <c r="A359" s="486" t="s">
        <v>182</v>
      </c>
      <c r="B359" s="542">
        <f t="shared" ref="B359:J359" si="145">ROUND(B357/$B$226*IF($E$217=$A$38,$M$38,IF($E$217=$A$40,$M$40,IF($A$42=$E$217,$M$42,IF($E$217=$A$44,$M$44,IF($E$217=$A$46,$M$46))))),2)</f>
        <v>105.95</v>
      </c>
      <c r="C359" s="541">
        <f t="shared" si="145"/>
        <v>105.95</v>
      </c>
      <c r="D359" s="487">
        <f t="shared" si="145"/>
        <v>76.790000000000006</v>
      </c>
      <c r="E359" s="487">
        <f t="shared" si="145"/>
        <v>59.29</v>
      </c>
      <c r="F359" s="487">
        <f t="shared" si="145"/>
        <v>46.66</v>
      </c>
      <c r="G359" s="487">
        <f t="shared" si="145"/>
        <v>38.880000000000003</v>
      </c>
      <c r="H359" s="487">
        <f t="shared" si="145"/>
        <v>32.08</v>
      </c>
      <c r="I359" s="487">
        <f t="shared" si="145"/>
        <v>27.22</v>
      </c>
      <c r="J359" s="543">
        <f t="shared" si="145"/>
        <v>24.3</v>
      </c>
    </row>
    <row r="360" spans="1:15">
      <c r="A360" s="420"/>
      <c r="B360" s="475"/>
      <c r="C360" s="475"/>
      <c r="D360" s="475"/>
      <c r="E360" s="475"/>
      <c r="F360" s="475"/>
      <c r="G360" s="475"/>
      <c r="H360" s="475"/>
      <c r="I360" s="475"/>
      <c r="J360" s="430"/>
    </row>
    <row r="361" spans="1:15" ht="14.25" thickBot="1">
      <c r="A361" s="390" t="s">
        <v>185</v>
      </c>
      <c r="B361" s="390"/>
      <c r="C361" s="390"/>
      <c r="D361" s="390"/>
      <c r="E361" s="393" t="s">
        <v>56</v>
      </c>
      <c r="F361" s="76">
        <f>$E346</f>
        <v>2222</v>
      </c>
      <c r="G361" s="390" t="s">
        <v>57</v>
      </c>
      <c r="H361" s="390"/>
      <c r="I361" s="390"/>
      <c r="J361" s="390"/>
    </row>
    <row r="362" spans="1:15">
      <c r="A362" s="1426" t="s">
        <v>324</v>
      </c>
      <c r="B362" s="1476" t="s">
        <v>277</v>
      </c>
      <c r="C362" s="1477"/>
      <c r="D362" s="1466" t="s">
        <v>278</v>
      </c>
      <c r="E362" s="1468"/>
      <c r="F362" s="1466" t="s">
        <v>279</v>
      </c>
      <c r="G362" s="1467"/>
      <c r="H362" s="1467"/>
      <c r="I362" s="1468"/>
      <c r="J362" s="534" t="s">
        <v>68</v>
      </c>
      <c r="K362" s="476"/>
    </row>
    <row r="363" spans="1:15">
      <c r="A363" s="1427"/>
      <c r="B363" s="443" t="str">
        <f>+B348</f>
        <v>휘발유</v>
      </c>
      <c r="C363" s="403" t="s">
        <v>269</v>
      </c>
      <c r="D363" s="452" t="str">
        <f t="shared" ref="D363:I363" si="146">D348</f>
        <v>소형</v>
      </c>
      <c r="E363" s="453" t="str">
        <f t="shared" si="146"/>
        <v>대형</v>
      </c>
      <c r="F363" s="452" t="str">
        <f t="shared" si="146"/>
        <v>소형</v>
      </c>
      <c r="G363" s="453" t="str">
        <f t="shared" si="146"/>
        <v>중형</v>
      </c>
      <c r="H363" s="453" t="str">
        <f t="shared" si="146"/>
        <v>대형</v>
      </c>
      <c r="I363" s="453" t="str">
        <f t="shared" si="146"/>
        <v>특수</v>
      </c>
      <c r="J363" s="452" t="s">
        <v>183</v>
      </c>
      <c r="K363" s="481" t="s">
        <v>184</v>
      </c>
    </row>
    <row r="364" spans="1:15">
      <c r="A364" s="479">
        <f>+B356</f>
        <v>10</v>
      </c>
      <c r="B364" s="544">
        <f>ROUND((J364*($B$349/100)),3)</f>
        <v>51.545000000000002</v>
      </c>
      <c r="C364" s="540">
        <f>ROUND((J364*($C$349/100)),3)</f>
        <v>34.369999999999997</v>
      </c>
      <c r="D364" s="546">
        <f>ROUND((J364*($D$349/100)),3)</f>
        <v>0</v>
      </c>
      <c r="E364" s="540">
        <f>ROUND((J364*($E$349/100)),3)</f>
        <v>0.84799999999999998</v>
      </c>
      <c r="F364" s="546">
        <f>ROUND((J364*($F$349/100)),3)</f>
        <v>14.833</v>
      </c>
      <c r="G364" s="523">
        <f>ROUND((J364*($G$349/100)),3)</f>
        <v>3.1259999999999999</v>
      </c>
      <c r="H364" s="523">
        <f>ROUND((J364*($H$349/100)),3)</f>
        <v>0.33900000000000002</v>
      </c>
      <c r="I364" s="475">
        <f>ROUND((J364*($I$349/100)),3)</f>
        <v>0.89</v>
      </c>
      <c r="J364" s="442">
        <f>B359</f>
        <v>105.95</v>
      </c>
      <c r="K364" s="91">
        <f>ROUNDUP($J364*$A364*$G$11,0)</f>
        <v>2119</v>
      </c>
      <c r="N364" s="392">
        <f>ROUNDUP($B358*$A364*G11,0)</f>
        <v>2119</v>
      </c>
      <c r="O364" s="395" t="s">
        <v>210</v>
      </c>
    </row>
    <row r="365" spans="1:15" hidden="1">
      <c r="A365" s="479"/>
      <c r="B365" s="546">
        <f>$B$352</f>
        <v>0</v>
      </c>
      <c r="C365" s="510">
        <f>$C$352</f>
        <v>0.87119999999999997</v>
      </c>
      <c r="D365" s="442">
        <f t="shared" ref="D365:I365" si="147">C352</f>
        <v>0.87119999999999997</v>
      </c>
      <c r="E365" s="469">
        <f t="shared" si="147"/>
        <v>0.87119999999999997</v>
      </c>
      <c r="F365" s="442">
        <f t="shared" si="147"/>
        <v>7.7916999999999996</v>
      </c>
      <c r="G365" s="469">
        <f t="shared" si="147"/>
        <v>0.87119999999999997</v>
      </c>
      <c r="H365" s="469">
        <f t="shared" si="147"/>
        <v>3.8269000000000002</v>
      </c>
      <c r="I365" s="469">
        <f t="shared" si="147"/>
        <v>8.6190999999999995</v>
      </c>
      <c r="J365" s="442"/>
      <c r="K365" s="470"/>
    </row>
    <row r="366" spans="1:15">
      <c r="A366" s="515"/>
      <c r="B366" s="471"/>
      <c r="C366" s="416"/>
      <c r="D366" s="452"/>
      <c r="E366" s="453"/>
      <c r="F366" s="452"/>
      <c r="G366" s="453"/>
      <c r="H366" s="453"/>
      <c r="I366" s="453"/>
      <c r="J366" s="452"/>
      <c r="K366" s="481"/>
    </row>
    <row r="367" spans="1:15">
      <c r="A367" s="479">
        <f>+D356</f>
        <v>20</v>
      </c>
      <c r="B367" s="544">
        <f>ROUND((J367*($B$349/100)),3)</f>
        <v>37.357999999999997</v>
      </c>
      <c r="C367" s="540">
        <f>ROUND((J367*($C$349/100)),3)</f>
        <v>24.911000000000001</v>
      </c>
      <c r="D367" s="546">
        <f>ROUND((J367*($D$349/100)),3)</f>
        <v>0</v>
      </c>
      <c r="E367" s="540">
        <f>ROUND((J367*($E$349/100)),3)</f>
        <v>0.61399999999999999</v>
      </c>
      <c r="F367" s="546">
        <f>ROUND((J367*($F$349/100)),3)</f>
        <v>10.750999999999999</v>
      </c>
      <c r="G367" s="523">
        <f>ROUND((J367*($G$349/100)),3)</f>
        <v>2.2650000000000001</v>
      </c>
      <c r="H367" s="523">
        <f>ROUND((J367*($H$349/100)),3)</f>
        <v>0.246</v>
      </c>
      <c r="I367" s="475">
        <f>ROUND((J367*($I$349/100)),3)</f>
        <v>0.64500000000000002</v>
      </c>
      <c r="J367" s="442">
        <f>D359</f>
        <v>76.790000000000006</v>
      </c>
      <c r="K367" s="91">
        <f>ROUNDUP($J367*$A367*$G$11,0)</f>
        <v>3072</v>
      </c>
      <c r="N367" s="392">
        <f>ROUNDUP($D358*$A367*G11,0)</f>
        <v>3072</v>
      </c>
      <c r="O367" s="395" t="s">
        <v>210</v>
      </c>
    </row>
    <row r="368" spans="1:15" hidden="1">
      <c r="A368" s="479"/>
      <c r="B368" s="546">
        <f>$B$352</f>
        <v>0</v>
      </c>
      <c r="C368" s="510">
        <f>$C$352</f>
        <v>0.87119999999999997</v>
      </c>
      <c r="D368" s="442">
        <f t="shared" ref="D368:I368" si="148">D365</f>
        <v>0.87119999999999997</v>
      </c>
      <c r="E368" s="469">
        <f t="shared" si="148"/>
        <v>0.87119999999999997</v>
      </c>
      <c r="F368" s="442">
        <f t="shared" si="148"/>
        <v>7.7916999999999996</v>
      </c>
      <c r="G368" s="469">
        <f t="shared" si="148"/>
        <v>0.87119999999999997</v>
      </c>
      <c r="H368" s="469">
        <f t="shared" si="148"/>
        <v>3.8269000000000002</v>
      </c>
      <c r="I368" s="469">
        <f t="shared" si="148"/>
        <v>8.6190999999999995</v>
      </c>
      <c r="J368" s="442"/>
      <c r="K368" s="470"/>
    </row>
    <row r="369" spans="1:15">
      <c r="A369" s="515"/>
      <c r="B369" s="471"/>
      <c r="C369" s="416"/>
      <c r="D369" s="452"/>
      <c r="E369" s="453"/>
      <c r="F369" s="452"/>
      <c r="G369" s="453"/>
      <c r="H369" s="453"/>
      <c r="I369" s="453"/>
      <c r="J369" s="452"/>
      <c r="K369" s="481"/>
    </row>
    <row r="370" spans="1:15">
      <c r="A370" s="479">
        <f>+E356</f>
        <v>30</v>
      </c>
      <c r="B370" s="544">
        <f>ROUND((J370*($B$349/100)),3)</f>
        <v>28.844999999999999</v>
      </c>
      <c r="C370" s="540">
        <f>ROUND((J370*($C$349/100)),3)</f>
        <v>19.234000000000002</v>
      </c>
      <c r="D370" s="546">
        <f>ROUND((J370*($D$349/100)),3)</f>
        <v>0</v>
      </c>
      <c r="E370" s="540">
        <f>ROUND((J370*($E$349/100)),3)</f>
        <v>0.47399999999999998</v>
      </c>
      <c r="F370" s="546">
        <f>ROUND((J370*($F$349/100)),3)</f>
        <v>8.3010000000000002</v>
      </c>
      <c r="G370" s="523">
        <f>ROUND((J370*($G$349/100)),3)</f>
        <v>1.7490000000000001</v>
      </c>
      <c r="H370" s="523">
        <f>ROUND((J370*($H$349/100)),3)</f>
        <v>0.19</v>
      </c>
      <c r="I370" s="475">
        <f>ROUND((J370*($I$349/100)),3)</f>
        <v>0.498</v>
      </c>
      <c r="J370" s="442">
        <f>E359</f>
        <v>59.29</v>
      </c>
      <c r="K370" s="91">
        <f>ROUNDUP($J370*$A370*$G$11,0)</f>
        <v>3558</v>
      </c>
      <c r="N370" s="392">
        <f>ROUNDUP($E358*$A370*G11,0)</f>
        <v>3558</v>
      </c>
      <c r="O370" s="395" t="s">
        <v>210</v>
      </c>
    </row>
    <row r="371" spans="1:15" hidden="1">
      <c r="A371" s="479"/>
      <c r="B371" s="546">
        <f>$B$352</f>
        <v>0</v>
      </c>
      <c r="C371" s="510">
        <f>$C$352</f>
        <v>0.87119999999999997</v>
      </c>
      <c r="D371" s="442">
        <f t="shared" ref="D371:I371" si="149">D365</f>
        <v>0.87119999999999997</v>
      </c>
      <c r="E371" s="469">
        <f t="shared" si="149"/>
        <v>0.87119999999999997</v>
      </c>
      <c r="F371" s="442">
        <f t="shared" si="149"/>
        <v>7.7916999999999996</v>
      </c>
      <c r="G371" s="469">
        <f t="shared" si="149"/>
        <v>0.87119999999999997</v>
      </c>
      <c r="H371" s="469">
        <f t="shared" si="149"/>
        <v>3.8269000000000002</v>
      </c>
      <c r="I371" s="469">
        <f t="shared" si="149"/>
        <v>8.6190999999999995</v>
      </c>
      <c r="J371" s="442"/>
      <c r="K371" s="470"/>
    </row>
    <row r="372" spans="1:15">
      <c r="A372" s="515"/>
      <c r="B372" s="471"/>
      <c r="C372" s="416"/>
      <c r="D372" s="452"/>
      <c r="E372" s="453"/>
      <c r="F372" s="452"/>
      <c r="G372" s="453"/>
      <c r="H372" s="453"/>
      <c r="I372" s="453"/>
      <c r="J372" s="452"/>
      <c r="K372" s="481"/>
    </row>
    <row r="373" spans="1:15">
      <c r="A373" s="479">
        <f>+F356</f>
        <v>40</v>
      </c>
      <c r="B373" s="544">
        <f>ROUND((J373*($B$349/100)),3)</f>
        <v>22.7</v>
      </c>
      <c r="C373" s="540">
        <f>ROUND((J373*($C$349/100)),3)</f>
        <v>15.137</v>
      </c>
      <c r="D373" s="546">
        <f>ROUND((J373*($D$349/100)),3)</f>
        <v>0</v>
      </c>
      <c r="E373" s="540">
        <f>ROUND((J373*($E$349/100)),3)</f>
        <v>0.373</v>
      </c>
      <c r="F373" s="546">
        <f>ROUND((J373*($F$349/100)),3)</f>
        <v>6.532</v>
      </c>
      <c r="G373" s="523">
        <f>ROUND((J373*($G$349/100)),3)</f>
        <v>1.3759999999999999</v>
      </c>
      <c r="H373" s="523">
        <f>ROUND((J373*($H$349/100)),3)</f>
        <v>0.14899999999999999</v>
      </c>
      <c r="I373" s="475">
        <f>ROUND((J373*($I$349/100)),3)</f>
        <v>0.39200000000000002</v>
      </c>
      <c r="J373" s="442">
        <f>ROUND(IF($M$373=2,K373/A373/$G$11,F359),2)</f>
        <v>46.66</v>
      </c>
      <c r="K373" s="91">
        <f>IF($M$373=2,$C$31,ROUNDUP($J373*$A373*$G$11,0))</f>
        <v>3733</v>
      </c>
      <c r="L373" s="392" t="str">
        <f>IF($C$4=2,IF($D$25&lt;4,"첨두시","용량적용"),"용량적용")</f>
        <v>용량적용</v>
      </c>
      <c r="M373" s="395">
        <f>IF($L$373="용량적용",1,2)</f>
        <v>1</v>
      </c>
      <c r="N373" s="392">
        <f>ROUNDUP($F358*$A373*G11,0)</f>
        <v>3733</v>
      </c>
      <c r="O373" s="395" t="s">
        <v>210</v>
      </c>
    </row>
    <row r="374" spans="1:15" hidden="1">
      <c r="A374" s="479"/>
      <c r="B374" s="546">
        <f>$B$352</f>
        <v>0</v>
      </c>
      <c r="C374" s="510">
        <f>$C$352</f>
        <v>0.87119999999999997</v>
      </c>
      <c r="D374" s="442">
        <f t="shared" ref="D374:I374" si="150">D365</f>
        <v>0.87119999999999997</v>
      </c>
      <c r="E374" s="469">
        <f t="shared" si="150"/>
        <v>0.87119999999999997</v>
      </c>
      <c r="F374" s="442">
        <f t="shared" si="150"/>
        <v>7.7916999999999996</v>
      </c>
      <c r="G374" s="469">
        <f t="shared" si="150"/>
        <v>0.87119999999999997</v>
      </c>
      <c r="H374" s="469">
        <f t="shared" si="150"/>
        <v>3.8269000000000002</v>
      </c>
      <c r="I374" s="469">
        <f t="shared" si="150"/>
        <v>8.6190999999999995</v>
      </c>
      <c r="J374" s="442"/>
      <c r="K374" s="470"/>
    </row>
    <row r="375" spans="1:15">
      <c r="A375" s="515"/>
      <c r="B375" s="471"/>
      <c r="C375" s="416"/>
      <c r="D375" s="452"/>
      <c r="E375" s="453"/>
      <c r="F375" s="452"/>
      <c r="G375" s="453"/>
      <c r="H375" s="453"/>
      <c r="I375" s="453"/>
      <c r="J375" s="452"/>
      <c r="K375" s="481"/>
      <c r="M375" s="395"/>
    </row>
    <row r="376" spans="1:15">
      <c r="A376" s="479">
        <f>+G356</f>
        <v>50</v>
      </c>
      <c r="B376" s="544">
        <f>ROUND((J376*($B$349/100)),3)</f>
        <v>18.914999999999999</v>
      </c>
      <c r="C376" s="540">
        <f>ROUND((J376*($C$349/100)),3)</f>
        <v>12.613</v>
      </c>
      <c r="D376" s="546">
        <f>ROUND((J376*($D$349/100)),3)</f>
        <v>0</v>
      </c>
      <c r="E376" s="540">
        <f>ROUND((J376*($E$349/100)),3)</f>
        <v>0.311</v>
      </c>
      <c r="F376" s="546">
        <f>ROUND((J376*($F$349/100)),3)</f>
        <v>5.4429999999999996</v>
      </c>
      <c r="G376" s="523">
        <f>ROUND((J376*($G$349/100)),3)</f>
        <v>1.147</v>
      </c>
      <c r="H376" s="523">
        <f>ROUND((J376*($H$349/100)),3)</f>
        <v>0.124</v>
      </c>
      <c r="I376" s="475">
        <f>ROUND((J376*($I$349/100)),3)</f>
        <v>0.32700000000000001</v>
      </c>
      <c r="J376" s="442">
        <f>ROUND(IF($M$376=2,K376/A376/$G$11,G359),2)</f>
        <v>38.880000000000003</v>
      </c>
      <c r="K376" s="91">
        <f>IF($M$376=2,$C$31,ROUNDUP($J376*$A376*$G$11,0))</f>
        <v>3888</v>
      </c>
      <c r="L376" s="392" t="str">
        <f>IF($C$4=2,IF($D$25&lt;4,"첨두시","용량적용"),"용량적용")</f>
        <v>용량적용</v>
      </c>
      <c r="M376" s="395">
        <f>IF($L$376="용량적용",1,2)</f>
        <v>1</v>
      </c>
      <c r="N376" s="392">
        <f>ROUNDUP($G358*$A376*G11,0)</f>
        <v>3888</v>
      </c>
      <c r="O376" s="395" t="s">
        <v>210</v>
      </c>
    </row>
    <row r="377" spans="1:15" hidden="1">
      <c r="A377" s="479"/>
      <c r="B377" s="546">
        <f>$B$352</f>
        <v>0</v>
      </c>
      <c r="C377" s="510">
        <f>$C$352</f>
        <v>0.87119999999999997</v>
      </c>
      <c r="D377" s="442">
        <f t="shared" ref="D377:I377" si="151">D365</f>
        <v>0.87119999999999997</v>
      </c>
      <c r="E377" s="469">
        <f t="shared" si="151"/>
        <v>0.87119999999999997</v>
      </c>
      <c r="F377" s="442">
        <f t="shared" si="151"/>
        <v>7.7916999999999996</v>
      </c>
      <c r="G377" s="469">
        <f t="shared" si="151"/>
        <v>0.87119999999999997</v>
      </c>
      <c r="H377" s="469">
        <f t="shared" si="151"/>
        <v>3.8269000000000002</v>
      </c>
      <c r="I377" s="469">
        <f t="shared" si="151"/>
        <v>8.6190999999999995</v>
      </c>
      <c r="J377" s="442"/>
      <c r="K377" s="470"/>
      <c r="M377" s="395"/>
    </row>
    <row r="378" spans="1:15">
      <c r="A378" s="515"/>
      <c r="B378" s="471"/>
      <c r="C378" s="416"/>
      <c r="D378" s="452"/>
      <c r="E378" s="453"/>
      <c r="F378" s="452"/>
      <c r="G378" s="453"/>
      <c r="H378" s="453"/>
      <c r="I378" s="453"/>
      <c r="J378" s="452"/>
      <c r="K378" s="481"/>
    </row>
    <row r="379" spans="1:15">
      <c r="A379" s="479">
        <f>+H356</f>
        <v>60</v>
      </c>
      <c r="B379" s="544">
        <f>ROUND((J379*($B$349/100)),3)</f>
        <v>15.606999999999999</v>
      </c>
      <c r="C379" s="540">
        <f>ROUND((J379*($C$349/100)),3)</f>
        <v>10.407</v>
      </c>
      <c r="D379" s="546">
        <f>ROUND((J379*($D$349/100)),3)</f>
        <v>0</v>
      </c>
      <c r="E379" s="540">
        <f>ROUND((J379*($E$349/100)),3)</f>
        <v>0.25700000000000001</v>
      </c>
      <c r="F379" s="546">
        <f>ROUND((J379*($F$349/100)),3)</f>
        <v>4.4909999999999997</v>
      </c>
      <c r="G379" s="523">
        <f>ROUND((J379*($G$349/100)),3)</f>
        <v>0.94599999999999995</v>
      </c>
      <c r="H379" s="523">
        <f>ROUND((J379*($H$349/100)),3)</f>
        <v>0.10299999999999999</v>
      </c>
      <c r="I379" s="475">
        <f>ROUND((J379*($I$349/100)),3)</f>
        <v>0.26900000000000002</v>
      </c>
      <c r="J379" s="442">
        <f>ROUND(IF($D$25&lt;4,K379/A379/$G$11,H359),2)</f>
        <v>32.08</v>
      </c>
      <c r="K379" s="91">
        <f>IF($D$25&lt;4,$C$31,ROUNDUP($J379*$A379*$G$11,0))</f>
        <v>3850</v>
      </c>
      <c r="L379" s="392" t="str">
        <f>IF($C$4=1,IF($D$25&lt;4,"첨두시","용량적용"),IF($D$25&lt;4,"첨두시","용량적용"))</f>
        <v>용량적용</v>
      </c>
      <c r="M379" s="395">
        <f>IF($L$379="용량적용",1,2)</f>
        <v>1</v>
      </c>
      <c r="N379" s="392">
        <f>ROUNDUP($H358*$A379*G11,0)</f>
        <v>3850</v>
      </c>
      <c r="O379" s="395" t="s">
        <v>210</v>
      </c>
    </row>
    <row r="380" spans="1:15" hidden="1">
      <c r="A380" s="479"/>
      <c r="B380" s="546">
        <f>$B$352</f>
        <v>0</v>
      </c>
      <c r="C380" s="510">
        <f>$C$352</f>
        <v>0.87119999999999997</v>
      </c>
      <c r="D380" s="442">
        <f t="shared" ref="D380:I380" si="152">D365</f>
        <v>0.87119999999999997</v>
      </c>
      <c r="E380" s="469">
        <f t="shared" si="152"/>
        <v>0.87119999999999997</v>
      </c>
      <c r="F380" s="442">
        <f t="shared" si="152"/>
        <v>7.7916999999999996</v>
      </c>
      <c r="G380" s="469">
        <f t="shared" si="152"/>
        <v>0.87119999999999997</v>
      </c>
      <c r="H380" s="469">
        <f t="shared" si="152"/>
        <v>3.8269000000000002</v>
      </c>
      <c r="I380" s="469">
        <f t="shared" si="152"/>
        <v>8.6190999999999995</v>
      </c>
      <c r="J380" s="442"/>
      <c r="K380" s="470"/>
    </row>
    <row r="381" spans="1:15">
      <c r="A381" s="515"/>
      <c r="B381" s="471"/>
      <c r="C381" s="416"/>
      <c r="D381" s="452"/>
      <c r="E381" s="453"/>
      <c r="F381" s="452"/>
      <c r="G381" s="453"/>
      <c r="H381" s="453"/>
      <c r="I381" s="453"/>
      <c r="J381" s="452"/>
      <c r="K381" s="481"/>
      <c r="M381" s="395"/>
    </row>
    <row r="382" spans="1:15">
      <c r="A382" s="479">
        <f>+I356</f>
        <v>70</v>
      </c>
      <c r="B382" s="544">
        <f>ROUND((J382*($B$349/100)),3)</f>
        <v>13.243</v>
      </c>
      <c r="C382" s="540">
        <f>ROUND((J382*($C$349/100)),3)</f>
        <v>8.83</v>
      </c>
      <c r="D382" s="546">
        <f>ROUND((J382*($D$349/100)),3)</f>
        <v>0</v>
      </c>
      <c r="E382" s="540">
        <f>ROUND((J382*($E$349/100)),3)</f>
        <v>0.218</v>
      </c>
      <c r="F382" s="546">
        <f>ROUND((J382*($F$349/100)),3)</f>
        <v>3.8109999999999999</v>
      </c>
      <c r="G382" s="523">
        <f>ROUND((J382*($G$349/100)),3)</f>
        <v>0.80300000000000005</v>
      </c>
      <c r="H382" s="523">
        <f>ROUND((J382*($H$349/100)),3)</f>
        <v>8.6999999999999994E-2</v>
      </c>
      <c r="I382" s="475">
        <f>ROUND((J382*($I$349/100)),3)</f>
        <v>0.22900000000000001</v>
      </c>
      <c r="J382" s="442">
        <f>ROUND(IF($D$25&lt;4,K382/A382/$G$11,I359),2)</f>
        <v>27.22</v>
      </c>
      <c r="K382" s="91">
        <f>IF($D$25&lt;4,$C$31,ROUNDUP($J382*$A382*$G$11,0))</f>
        <v>3811</v>
      </c>
      <c r="L382" s="392" t="str">
        <f>IF($C$4=1,IF($D$25&lt;4,"첨두시","용량적용"),IF($D$25&lt;4,"첨두시","용량적용"))</f>
        <v>용량적용</v>
      </c>
      <c r="M382" s="395">
        <f>IF($L$382="용량적용",1,2)</f>
        <v>1</v>
      </c>
      <c r="N382" s="392">
        <f>ROUNDUP($I358*$A382*G11,0)</f>
        <v>3811</v>
      </c>
      <c r="O382" s="395" t="s">
        <v>210</v>
      </c>
    </row>
    <row r="383" spans="1:15" hidden="1">
      <c r="A383" s="479"/>
      <c r="B383" s="546">
        <f>$B$352</f>
        <v>0</v>
      </c>
      <c r="C383" s="510">
        <f>$C$352</f>
        <v>0.87119999999999997</v>
      </c>
      <c r="D383" s="442">
        <f t="shared" ref="D383:I383" si="153">D365</f>
        <v>0.87119999999999997</v>
      </c>
      <c r="E383" s="469">
        <f t="shared" si="153"/>
        <v>0.87119999999999997</v>
      </c>
      <c r="F383" s="442">
        <f t="shared" si="153"/>
        <v>7.7916999999999996</v>
      </c>
      <c r="G383" s="469">
        <f t="shared" si="153"/>
        <v>0.87119999999999997</v>
      </c>
      <c r="H383" s="469">
        <f t="shared" si="153"/>
        <v>3.8269000000000002</v>
      </c>
      <c r="I383" s="469">
        <f t="shared" si="153"/>
        <v>8.6190999999999995</v>
      </c>
      <c r="J383" s="442"/>
      <c r="K383" s="470"/>
    </row>
    <row r="384" spans="1:15">
      <c r="A384" s="515"/>
      <c r="B384" s="471"/>
      <c r="C384" s="416"/>
      <c r="D384" s="452"/>
      <c r="E384" s="453"/>
      <c r="F384" s="452"/>
      <c r="G384" s="453"/>
      <c r="H384" s="453"/>
      <c r="I384" s="453"/>
      <c r="J384" s="452"/>
      <c r="K384" s="481"/>
    </row>
    <row r="385" spans="1:16">
      <c r="A385" s="479">
        <f>+J356</f>
        <v>80</v>
      </c>
      <c r="B385" s="544">
        <f>ROUND((J385*($B$349/100)),3)</f>
        <v>11.821999999999999</v>
      </c>
      <c r="C385" s="540">
        <f>ROUND((J385*($C$349/100)),3)</f>
        <v>7.883</v>
      </c>
      <c r="D385" s="546">
        <f>ROUND((J385*($D$349/100)),3)</f>
        <v>0</v>
      </c>
      <c r="E385" s="540">
        <f>ROUND((J385*($E$349/100)),3)</f>
        <v>0.19400000000000001</v>
      </c>
      <c r="F385" s="546">
        <f>ROUND((J385*($F$349/100)),3)</f>
        <v>3.4020000000000001</v>
      </c>
      <c r="G385" s="523">
        <f>ROUND((J385*($G$349/100)),3)</f>
        <v>0.71699999999999997</v>
      </c>
      <c r="H385" s="523">
        <f>ROUND((J385*($H$349/100)),3)</f>
        <v>7.8E-2</v>
      </c>
      <c r="I385" s="475">
        <f>ROUND((J385*($I$349/100)),3)</f>
        <v>0.20399999999999999</v>
      </c>
      <c r="J385" s="442">
        <f>ROUND(IF($D$25&lt;4,K385/A385/$G$11,J359),2)</f>
        <v>24.3</v>
      </c>
      <c r="K385" s="91">
        <f>IF($D$25&lt;4,$C$31,ROUNDUP($J385*$A385*$G$11,0))</f>
        <v>3888</v>
      </c>
      <c r="L385" s="392" t="str">
        <f>IF($C$4=1,IF($D$25&lt;4,"첨두시","용량적용"),IF($D$25&lt;4,"첨두시","용량적용"))</f>
        <v>용량적용</v>
      </c>
      <c r="M385" s="395">
        <f>IF($L$385="용량적용",1,2)</f>
        <v>1</v>
      </c>
      <c r="N385" s="392">
        <f>ROUNDUP($J358*$A385*G11,0)</f>
        <v>3888</v>
      </c>
      <c r="O385" s="395" t="s">
        <v>210</v>
      </c>
    </row>
    <row r="386" spans="1:16" hidden="1">
      <c r="A386" s="479"/>
      <c r="B386" s="546">
        <f>$B$352</f>
        <v>0</v>
      </c>
      <c r="C386" s="510">
        <f>$C$352</f>
        <v>0.87119999999999997</v>
      </c>
      <c r="D386" s="442">
        <f t="shared" ref="D386:I386" si="154">D365</f>
        <v>0.87119999999999997</v>
      </c>
      <c r="E386" s="469">
        <f t="shared" si="154"/>
        <v>0.87119999999999997</v>
      </c>
      <c r="F386" s="442">
        <f t="shared" si="154"/>
        <v>7.7916999999999996</v>
      </c>
      <c r="G386" s="469">
        <f t="shared" si="154"/>
        <v>0.87119999999999997</v>
      </c>
      <c r="H386" s="469">
        <f t="shared" si="154"/>
        <v>3.8269000000000002</v>
      </c>
      <c r="I386" s="469">
        <f t="shared" si="154"/>
        <v>8.6190999999999995</v>
      </c>
      <c r="J386" s="442"/>
      <c r="K386" s="470"/>
    </row>
    <row r="387" spans="1:16" ht="14.25" thickBot="1">
      <c r="A387" s="613"/>
      <c r="B387" s="560"/>
      <c r="C387" s="427"/>
      <c r="D387" s="560"/>
      <c r="E387" s="488"/>
      <c r="F387" s="487"/>
      <c r="G387" s="488"/>
      <c r="H387" s="488"/>
      <c r="I387" s="488"/>
      <c r="J387" s="560"/>
      <c r="K387" s="489"/>
    </row>
    <row r="388" spans="1:16">
      <c r="A388" s="475"/>
      <c r="B388" s="475"/>
      <c r="C388" s="421"/>
      <c r="D388" s="475"/>
      <c r="E388" s="475"/>
      <c r="F388" s="475"/>
      <c r="G388" s="475"/>
      <c r="H388" s="475"/>
      <c r="I388" s="475"/>
      <c r="J388" s="475"/>
      <c r="K388" s="475"/>
    </row>
    <row r="389" spans="1:16" ht="14.25" thickBot="1">
      <c r="A389" s="390" t="s">
        <v>315</v>
      </c>
      <c r="B389" s="390"/>
      <c r="C389" s="390"/>
      <c r="D389" s="390"/>
      <c r="E389" s="393"/>
      <c r="F389" s="213"/>
      <c r="G389" s="390"/>
      <c r="H389" s="390"/>
      <c r="I389" s="390"/>
      <c r="J389" s="390"/>
      <c r="K389" s="566"/>
    </row>
    <row r="390" spans="1:16" ht="17.100000000000001" customHeight="1">
      <c r="A390" s="1426" t="s">
        <v>324</v>
      </c>
      <c r="B390" s="1477" t="s">
        <v>359</v>
      </c>
      <c r="C390" s="1466" t="s">
        <v>277</v>
      </c>
      <c r="D390" s="1468"/>
      <c r="E390" s="1466" t="s">
        <v>278</v>
      </c>
      <c r="F390" s="1468"/>
      <c r="G390" s="1466" t="s">
        <v>279</v>
      </c>
      <c r="H390" s="1467"/>
      <c r="I390" s="1467"/>
      <c r="J390" s="1485"/>
      <c r="K390" s="430"/>
    </row>
    <row r="391" spans="1:16" ht="17.100000000000001" customHeight="1">
      <c r="A391" s="1427"/>
      <c r="B391" s="1505"/>
      <c r="C391" s="400" t="str">
        <f>B363</f>
        <v>휘발유</v>
      </c>
      <c r="D391" s="403" t="str">
        <f>C363</f>
        <v>경유</v>
      </c>
      <c r="E391" s="400" t="str">
        <f t="shared" ref="E391:J391" si="155">D363</f>
        <v>소형</v>
      </c>
      <c r="F391" s="614" t="str">
        <f t="shared" si="155"/>
        <v>대형</v>
      </c>
      <c r="G391" s="400" t="str">
        <f t="shared" si="155"/>
        <v>소형</v>
      </c>
      <c r="H391" s="401" t="str">
        <f t="shared" si="155"/>
        <v>중형</v>
      </c>
      <c r="I391" s="401" t="str">
        <f t="shared" si="155"/>
        <v>대형</v>
      </c>
      <c r="J391" s="615" t="str">
        <f t="shared" si="155"/>
        <v>특수</v>
      </c>
      <c r="K391" s="433"/>
    </row>
    <row r="392" spans="1:16" ht="17.100000000000001" customHeight="1">
      <c r="A392" s="1434">
        <v>10</v>
      </c>
      <c r="B392" s="616" t="str">
        <f>G7</f>
        <v>1구간</v>
      </c>
      <c r="C392" s="574">
        <f>ROUND($M392*$B$349/100,2)</f>
        <v>93.25</v>
      </c>
      <c r="D392" s="575">
        <f>ROUND($M392*$C$349/100,2)</f>
        <v>62.18</v>
      </c>
      <c r="E392" s="617">
        <f>ROUND($M392*$D$349/100,2)</f>
        <v>0</v>
      </c>
      <c r="F392" s="618">
        <f>ROUND($M392*$E$349/100,2)</f>
        <v>1.53</v>
      </c>
      <c r="G392" s="617">
        <f>ROUND($M392*$F$349/100,2)</f>
        <v>26.83</v>
      </c>
      <c r="H392" s="619">
        <f>ROUND($M392*$G$349/100,2)</f>
        <v>5.65</v>
      </c>
      <c r="I392" s="619">
        <f>ROUND($M392*$H$349/100,2)</f>
        <v>0.61</v>
      </c>
      <c r="J392" s="620">
        <f>ROUND($M392*$I$349/100,2)</f>
        <v>1.61</v>
      </c>
      <c r="K392" s="211"/>
      <c r="L392" s="621"/>
      <c r="M392" s="441">
        <f>ROUND((($B$357*$A$392*(($G$9/1000)/$A$392)*$G$11)/$B$355),2)</f>
        <v>191.67</v>
      </c>
      <c r="O392" s="395"/>
    </row>
    <row r="393" spans="1:16" ht="17.100000000000001" customHeight="1">
      <c r="A393" s="1435"/>
      <c r="B393" s="622" t="str">
        <f>H7</f>
        <v>2구간</v>
      </c>
      <c r="C393" s="623">
        <f>ROUND($M393*$B$349/100,2)</f>
        <v>0</v>
      </c>
      <c r="D393" s="624">
        <f>ROUND($M393*$C$349/100,2)</f>
        <v>0</v>
      </c>
      <c r="E393" s="623">
        <f>ROUND($M393*$D$349/100,2)</f>
        <v>0</v>
      </c>
      <c r="F393" s="624">
        <f>ROUND($M393*$E$349/100,2)</f>
        <v>0</v>
      </c>
      <c r="G393" s="623">
        <f>ROUND($M393*$F$349/100,2)</f>
        <v>0</v>
      </c>
      <c r="H393" s="625">
        <f>ROUND($M393*$G$349/100,2)</f>
        <v>0</v>
      </c>
      <c r="I393" s="625">
        <f>ROUND($M393*$H$349/100,2)</f>
        <v>0</v>
      </c>
      <c r="J393" s="626">
        <f>ROUND($M393*$I$349/100,2)</f>
        <v>0</v>
      </c>
      <c r="K393" s="433"/>
      <c r="M393" s="448">
        <f>ROUND((($B$357*$A$392*(($H$9/1000)/$A$392)*$H$11)/$B$355),2)</f>
        <v>0</v>
      </c>
    </row>
    <row r="394" spans="1:16" ht="17.100000000000001" customHeight="1">
      <c r="A394" s="1435"/>
      <c r="B394" s="622" t="str">
        <f>I7</f>
        <v>3구간</v>
      </c>
      <c r="C394" s="623">
        <f t="shared" ref="C394:C474" si="156">ROUND($M394*$B$349/100,2)</f>
        <v>0</v>
      </c>
      <c r="D394" s="624">
        <f t="shared" ref="D394:D474" si="157">ROUND($M394*$C$349/100,2)</f>
        <v>0</v>
      </c>
      <c r="E394" s="623">
        <f t="shared" ref="E394:E474" si="158">ROUND($M394*$D$349/100,2)</f>
        <v>0</v>
      </c>
      <c r="F394" s="624">
        <f t="shared" ref="F394:F474" si="159">ROUND($M394*$E$349/100,2)</f>
        <v>0</v>
      </c>
      <c r="G394" s="623">
        <f t="shared" ref="G394:G474" si="160">ROUND($M394*$F$349/100,2)</f>
        <v>0</v>
      </c>
      <c r="H394" s="625">
        <f t="shared" ref="H394:H474" si="161">ROUND($M394*$G$349/100,2)</f>
        <v>0</v>
      </c>
      <c r="I394" s="625">
        <f t="shared" ref="I394:I474" si="162">ROUND($M394*$H$349/100,2)</f>
        <v>0</v>
      </c>
      <c r="J394" s="626">
        <f t="shared" ref="J394:J474" si="163">ROUND($M394*$I$349/100,2)</f>
        <v>0</v>
      </c>
      <c r="K394" s="433"/>
      <c r="M394" s="448">
        <f>ROUND((($B$357*$A$235*(($I$9/1000)/$A$235)*$I$11)/$B$355),2)</f>
        <v>0</v>
      </c>
      <c r="P394" s="421"/>
    </row>
    <row r="395" spans="1:16" ht="17.100000000000001" customHeight="1">
      <c r="A395" s="1435"/>
      <c r="B395" s="622" t="str">
        <f>J7</f>
        <v>4구간</v>
      </c>
      <c r="C395" s="623">
        <f t="shared" si="156"/>
        <v>0</v>
      </c>
      <c r="D395" s="624">
        <f t="shared" si="157"/>
        <v>0</v>
      </c>
      <c r="E395" s="623">
        <f t="shared" si="158"/>
        <v>0</v>
      </c>
      <c r="F395" s="624">
        <f t="shared" si="159"/>
        <v>0</v>
      </c>
      <c r="G395" s="623">
        <f t="shared" si="160"/>
        <v>0</v>
      </c>
      <c r="H395" s="625">
        <f t="shared" si="161"/>
        <v>0</v>
      </c>
      <c r="I395" s="625">
        <f t="shared" si="162"/>
        <v>0</v>
      </c>
      <c r="J395" s="626">
        <f t="shared" si="163"/>
        <v>0</v>
      </c>
      <c r="K395" s="433"/>
      <c r="M395" s="448">
        <f>ROUND((($B$357*$A$235*(($J$9/1000)/$A$235)*$J$11)/$B$355),2)</f>
        <v>0</v>
      </c>
    </row>
    <row r="396" spans="1:16" ht="17.100000000000001" customHeight="1">
      <c r="A396" s="1435"/>
      <c r="B396" s="622" t="str">
        <f>K7</f>
        <v>5구간</v>
      </c>
      <c r="C396" s="623">
        <f t="shared" si="156"/>
        <v>0</v>
      </c>
      <c r="D396" s="624">
        <f t="shared" si="157"/>
        <v>0</v>
      </c>
      <c r="E396" s="623">
        <f t="shared" si="158"/>
        <v>0</v>
      </c>
      <c r="F396" s="624">
        <f t="shared" si="159"/>
        <v>0</v>
      </c>
      <c r="G396" s="623">
        <f t="shared" si="160"/>
        <v>0</v>
      </c>
      <c r="H396" s="625">
        <f t="shared" si="161"/>
        <v>0</v>
      </c>
      <c r="I396" s="625">
        <f t="shared" si="162"/>
        <v>0</v>
      </c>
      <c r="J396" s="626">
        <f t="shared" si="163"/>
        <v>0</v>
      </c>
      <c r="K396" s="433"/>
      <c r="M396" s="448">
        <f>ROUND((($B$357*$A$235*(($K$9/1000)/$A$235)*$K$11)/$B$355),2)</f>
        <v>0</v>
      </c>
    </row>
    <row r="397" spans="1:16" ht="17.100000000000001" customHeight="1">
      <c r="A397" s="1435"/>
      <c r="B397" s="483" t="str">
        <f>G12</f>
        <v>6구간</v>
      </c>
      <c r="C397" s="585">
        <f t="shared" si="156"/>
        <v>0</v>
      </c>
      <c r="D397" s="586">
        <f t="shared" si="157"/>
        <v>0</v>
      </c>
      <c r="E397" s="627">
        <f>ROUND($M397*$D$349/100,2)</f>
        <v>0</v>
      </c>
      <c r="F397" s="628">
        <f t="shared" si="159"/>
        <v>0</v>
      </c>
      <c r="G397" s="627">
        <f t="shared" si="160"/>
        <v>0</v>
      </c>
      <c r="H397" s="629">
        <f t="shared" si="161"/>
        <v>0</v>
      </c>
      <c r="I397" s="629">
        <f>ROUND($M397*$H$349/100,2)</f>
        <v>0</v>
      </c>
      <c r="J397" s="630">
        <f t="shared" si="163"/>
        <v>0</v>
      </c>
      <c r="K397" s="211"/>
      <c r="M397" s="448">
        <f>ROUND((($B$357*$A$392*(($G$14/1000)/$A$392)*$G$16)/$B$355),2)</f>
        <v>0</v>
      </c>
      <c r="O397" s="395"/>
    </row>
    <row r="398" spans="1:16" ht="17.100000000000001" customHeight="1">
      <c r="A398" s="1435"/>
      <c r="B398" s="622" t="str">
        <f>H12</f>
        <v>7구간</v>
      </c>
      <c r="C398" s="623">
        <f t="shared" si="156"/>
        <v>0</v>
      </c>
      <c r="D398" s="624">
        <f t="shared" si="157"/>
        <v>0</v>
      </c>
      <c r="E398" s="623">
        <f>ROUND($M398*$D$349/100,2)</f>
        <v>0</v>
      </c>
      <c r="F398" s="624">
        <f t="shared" si="159"/>
        <v>0</v>
      </c>
      <c r="G398" s="623">
        <f t="shared" si="160"/>
        <v>0</v>
      </c>
      <c r="H398" s="625">
        <f t="shared" si="161"/>
        <v>0</v>
      </c>
      <c r="I398" s="625">
        <f>ROUND($M398*$H$349/100,2)</f>
        <v>0</v>
      </c>
      <c r="J398" s="626">
        <f t="shared" si="163"/>
        <v>0</v>
      </c>
      <c r="K398" s="433"/>
      <c r="M398" s="448">
        <f>ROUND((($B$357*$A$392*(($H$14/1000)/$A$392)*$H$16)/$B$355),2)</f>
        <v>0</v>
      </c>
    </row>
    <row r="399" spans="1:16" ht="17.100000000000001" customHeight="1">
      <c r="A399" s="1435"/>
      <c r="B399" s="622" t="str">
        <f>I12</f>
        <v>8구간</v>
      </c>
      <c r="C399" s="623">
        <f t="shared" si="156"/>
        <v>0</v>
      </c>
      <c r="D399" s="624">
        <f t="shared" si="157"/>
        <v>0</v>
      </c>
      <c r="E399" s="623">
        <f t="shared" si="158"/>
        <v>0</v>
      </c>
      <c r="F399" s="624">
        <f t="shared" si="159"/>
        <v>0</v>
      </c>
      <c r="G399" s="623">
        <f t="shared" si="160"/>
        <v>0</v>
      </c>
      <c r="H399" s="625">
        <f t="shared" si="161"/>
        <v>0</v>
      </c>
      <c r="I399" s="625">
        <f t="shared" si="162"/>
        <v>0</v>
      </c>
      <c r="J399" s="626">
        <f t="shared" si="163"/>
        <v>0</v>
      </c>
      <c r="K399" s="433"/>
      <c r="M399" s="448">
        <f>ROUND((($B$357*$A$235*(($I$14/1000)/$A$235)*$I$16)/$B$355),2)</f>
        <v>0</v>
      </c>
      <c r="P399" s="421"/>
    </row>
    <row r="400" spans="1:16" ht="17.100000000000001" customHeight="1">
      <c r="A400" s="1435"/>
      <c r="B400" s="622" t="str">
        <f>J12</f>
        <v>9구간</v>
      </c>
      <c r="C400" s="623">
        <f t="shared" si="156"/>
        <v>0</v>
      </c>
      <c r="D400" s="624">
        <f t="shared" si="157"/>
        <v>0</v>
      </c>
      <c r="E400" s="623">
        <f t="shared" si="158"/>
        <v>0</v>
      </c>
      <c r="F400" s="624">
        <f t="shared" si="159"/>
        <v>0</v>
      </c>
      <c r="G400" s="623">
        <f t="shared" si="160"/>
        <v>0</v>
      </c>
      <c r="H400" s="625">
        <f t="shared" si="161"/>
        <v>0</v>
      </c>
      <c r="I400" s="625">
        <f t="shared" si="162"/>
        <v>0</v>
      </c>
      <c r="J400" s="626">
        <f t="shared" si="163"/>
        <v>0</v>
      </c>
      <c r="K400" s="433"/>
      <c r="M400" s="448">
        <f>ROUND((($B$357*$A$235*(($J$14/1000)/$A$235)*$J$16)/$B$355),2)</f>
        <v>0</v>
      </c>
    </row>
    <row r="401" spans="1:15" ht="17.100000000000001" customHeight="1">
      <c r="A401" s="1435"/>
      <c r="B401" s="448" t="str">
        <f>K12</f>
        <v>10구간</v>
      </c>
      <c r="C401" s="631">
        <f t="shared" si="156"/>
        <v>0</v>
      </c>
      <c r="D401" s="632">
        <f t="shared" si="157"/>
        <v>0</v>
      </c>
      <c r="E401" s="631">
        <f t="shared" si="158"/>
        <v>0</v>
      </c>
      <c r="F401" s="632">
        <f t="shared" si="159"/>
        <v>0</v>
      </c>
      <c r="G401" s="631">
        <f t="shared" si="160"/>
        <v>0</v>
      </c>
      <c r="H401" s="633">
        <f t="shared" si="161"/>
        <v>0</v>
      </c>
      <c r="I401" s="633">
        <f t="shared" si="162"/>
        <v>0</v>
      </c>
      <c r="J401" s="634">
        <f t="shared" si="163"/>
        <v>0</v>
      </c>
      <c r="K401" s="433"/>
      <c r="M401" s="448">
        <f>ROUND((($B$357*$A$235*(($K$14/1000)/$A$235)*$K$16)/$B$355),2)</f>
        <v>0</v>
      </c>
    </row>
    <row r="402" spans="1:15" ht="17.100000000000001" customHeight="1">
      <c r="A402" s="1503"/>
      <c r="B402" s="595" t="s">
        <v>289</v>
      </c>
      <c r="C402" s="635">
        <f t="shared" ref="C402:J402" si="164">SUM(C392:C401)</f>
        <v>93.25</v>
      </c>
      <c r="D402" s="636">
        <f t="shared" si="164"/>
        <v>62.18</v>
      </c>
      <c r="E402" s="635">
        <f t="shared" si="164"/>
        <v>0</v>
      </c>
      <c r="F402" s="636">
        <f t="shared" si="164"/>
        <v>1.53</v>
      </c>
      <c r="G402" s="635">
        <f t="shared" si="164"/>
        <v>26.83</v>
      </c>
      <c r="H402" s="596">
        <f t="shared" si="164"/>
        <v>5.65</v>
      </c>
      <c r="I402" s="596">
        <f t="shared" si="164"/>
        <v>0.61</v>
      </c>
      <c r="J402" s="597">
        <f t="shared" si="164"/>
        <v>1.61</v>
      </c>
      <c r="K402" s="433"/>
      <c r="M402" s="599">
        <f>SUM(M392:M401)</f>
        <v>191.67</v>
      </c>
    </row>
    <row r="403" spans="1:15" ht="17.100000000000001" customHeight="1">
      <c r="A403" s="1434">
        <v>20</v>
      </c>
      <c r="B403" s="637" t="str">
        <f t="shared" ref="B403:B412" si="165">B392</f>
        <v>1구간</v>
      </c>
      <c r="C403" s="638">
        <f t="shared" si="156"/>
        <v>67.58</v>
      </c>
      <c r="D403" s="639">
        <f t="shared" si="157"/>
        <v>45.07</v>
      </c>
      <c r="E403" s="627">
        <f t="shared" si="158"/>
        <v>0</v>
      </c>
      <c r="F403" s="639">
        <f t="shared" si="159"/>
        <v>1.1100000000000001</v>
      </c>
      <c r="G403" s="627">
        <f t="shared" si="160"/>
        <v>19.45</v>
      </c>
      <c r="H403" s="629">
        <f t="shared" si="161"/>
        <v>4.0999999999999996</v>
      </c>
      <c r="I403" s="629">
        <f t="shared" si="162"/>
        <v>0.44</v>
      </c>
      <c r="J403" s="630">
        <f t="shared" si="163"/>
        <v>1.17</v>
      </c>
      <c r="K403" s="211"/>
      <c r="L403" s="421"/>
      <c r="M403" s="448">
        <f>ROUND((($D$357*$A$237*(($G$9/1000)/$A$237)*$G$11)/$B$355),2)</f>
        <v>138.91999999999999</v>
      </c>
      <c r="O403" s="395"/>
    </row>
    <row r="404" spans="1:15" ht="17.100000000000001" customHeight="1">
      <c r="A404" s="1435"/>
      <c r="B404" s="622" t="str">
        <f t="shared" si="165"/>
        <v>2구간</v>
      </c>
      <c r="C404" s="623">
        <f t="shared" si="156"/>
        <v>0</v>
      </c>
      <c r="D404" s="624">
        <f t="shared" si="157"/>
        <v>0</v>
      </c>
      <c r="E404" s="623">
        <f t="shared" si="158"/>
        <v>0</v>
      </c>
      <c r="F404" s="624">
        <f t="shared" si="159"/>
        <v>0</v>
      </c>
      <c r="G404" s="623">
        <f t="shared" si="160"/>
        <v>0</v>
      </c>
      <c r="H404" s="625">
        <f t="shared" si="161"/>
        <v>0</v>
      </c>
      <c r="I404" s="625">
        <f t="shared" si="162"/>
        <v>0</v>
      </c>
      <c r="J404" s="626">
        <f t="shared" si="163"/>
        <v>0</v>
      </c>
      <c r="K404" s="433"/>
      <c r="L404" s="421"/>
      <c r="M404" s="448">
        <f>ROUND((($D$357*$A$237*(($H$9/1000)/$A$237)*$H$11)/$B$355),2)</f>
        <v>0</v>
      </c>
    </row>
    <row r="405" spans="1:15" ht="17.100000000000001" customHeight="1">
      <c r="A405" s="1435"/>
      <c r="B405" s="637" t="str">
        <f t="shared" si="165"/>
        <v>3구간</v>
      </c>
      <c r="C405" s="623">
        <f t="shared" si="156"/>
        <v>0</v>
      </c>
      <c r="D405" s="624">
        <f t="shared" si="157"/>
        <v>0</v>
      </c>
      <c r="E405" s="623">
        <f t="shared" si="158"/>
        <v>0</v>
      </c>
      <c r="F405" s="624">
        <f t="shared" si="159"/>
        <v>0</v>
      </c>
      <c r="G405" s="623">
        <f t="shared" si="160"/>
        <v>0</v>
      </c>
      <c r="H405" s="625">
        <f t="shared" si="161"/>
        <v>0</v>
      </c>
      <c r="I405" s="625">
        <f t="shared" si="162"/>
        <v>0</v>
      </c>
      <c r="J405" s="626">
        <f t="shared" si="163"/>
        <v>0</v>
      </c>
      <c r="K405" s="433"/>
      <c r="L405" s="421"/>
      <c r="M405" s="448">
        <f>ROUND((($D$357*$A$237*(($I$9/1000)/$A$237)*$I$11)/$B$355),2)</f>
        <v>0</v>
      </c>
    </row>
    <row r="406" spans="1:15" ht="17.100000000000001" customHeight="1">
      <c r="A406" s="1435"/>
      <c r="B406" s="622" t="str">
        <f t="shared" si="165"/>
        <v>4구간</v>
      </c>
      <c r="C406" s="623">
        <f t="shared" si="156"/>
        <v>0</v>
      </c>
      <c r="D406" s="624">
        <f t="shared" si="157"/>
        <v>0</v>
      </c>
      <c r="E406" s="623">
        <f t="shared" si="158"/>
        <v>0</v>
      </c>
      <c r="F406" s="624">
        <f t="shared" si="159"/>
        <v>0</v>
      </c>
      <c r="G406" s="623">
        <f t="shared" si="160"/>
        <v>0</v>
      </c>
      <c r="H406" s="625">
        <f t="shared" si="161"/>
        <v>0</v>
      </c>
      <c r="I406" s="625">
        <f t="shared" si="162"/>
        <v>0</v>
      </c>
      <c r="J406" s="626">
        <f t="shared" si="163"/>
        <v>0</v>
      </c>
      <c r="K406" s="433"/>
      <c r="L406" s="421"/>
      <c r="M406" s="448">
        <f>ROUND((($D$357*$A$237*(($J$9/1000)/$A$237)*$J$11)/$B$355),2)</f>
        <v>0</v>
      </c>
    </row>
    <row r="407" spans="1:15" ht="17.100000000000001" customHeight="1">
      <c r="A407" s="1435"/>
      <c r="B407" s="622" t="str">
        <f t="shared" si="165"/>
        <v>5구간</v>
      </c>
      <c r="C407" s="623">
        <f t="shared" si="156"/>
        <v>0</v>
      </c>
      <c r="D407" s="624">
        <f t="shared" si="157"/>
        <v>0</v>
      </c>
      <c r="E407" s="623">
        <f t="shared" si="158"/>
        <v>0</v>
      </c>
      <c r="F407" s="624">
        <f t="shared" si="159"/>
        <v>0</v>
      </c>
      <c r="G407" s="623">
        <f t="shared" si="160"/>
        <v>0</v>
      </c>
      <c r="H407" s="625">
        <f t="shared" si="161"/>
        <v>0</v>
      </c>
      <c r="I407" s="625">
        <f t="shared" si="162"/>
        <v>0</v>
      </c>
      <c r="J407" s="626">
        <f t="shared" si="163"/>
        <v>0</v>
      </c>
      <c r="K407" s="433"/>
      <c r="L407" s="421"/>
      <c r="M407" s="448">
        <f>ROUND((($D$357*$A$237*(($K$9/1000)/$A$237)*$K$11)/$B$355),2)</f>
        <v>0</v>
      </c>
    </row>
    <row r="408" spans="1:15" ht="17.100000000000001" customHeight="1">
      <c r="A408" s="1435"/>
      <c r="B408" s="637" t="str">
        <f t="shared" si="165"/>
        <v>6구간</v>
      </c>
      <c r="C408" s="638">
        <f t="shared" si="156"/>
        <v>0</v>
      </c>
      <c r="D408" s="639">
        <f t="shared" si="157"/>
        <v>0</v>
      </c>
      <c r="E408" s="627">
        <f t="shared" si="158"/>
        <v>0</v>
      </c>
      <c r="F408" s="639">
        <f t="shared" si="159"/>
        <v>0</v>
      </c>
      <c r="G408" s="627">
        <f t="shared" si="160"/>
        <v>0</v>
      </c>
      <c r="H408" s="629">
        <f t="shared" si="161"/>
        <v>0</v>
      </c>
      <c r="I408" s="629">
        <f t="shared" si="162"/>
        <v>0</v>
      </c>
      <c r="J408" s="630">
        <f t="shared" si="163"/>
        <v>0</v>
      </c>
      <c r="K408" s="211"/>
      <c r="L408" s="421"/>
      <c r="M408" s="448">
        <f>ROUND((($D$357*$A$237*(($G$14/1000)/$A$237)*$G$16)/$B$355),2)</f>
        <v>0</v>
      </c>
      <c r="O408" s="395"/>
    </row>
    <row r="409" spans="1:15" ht="17.100000000000001" customHeight="1">
      <c r="A409" s="1435"/>
      <c r="B409" s="622" t="str">
        <f t="shared" si="165"/>
        <v>7구간</v>
      </c>
      <c r="C409" s="623">
        <f t="shared" si="156"/>
        <v>0</v>
      </c>
      <c r="D409" s="624">
        <f t="shared" si="157"/>
        <v>0</v>
      </c>
      <c r="E409" s="623">
        <f t="shared" si="158"/>
        <v>0</v>
      </c>
      <c r="F409" s="624">
        <f t="shared" si="159"/>
        <v>0</v>
      </c>
      <c r="G409" s="623">
        <f t="shared" si="160"/>
        <v>0</v>
      </c>
      <c r="H409" s="625">
        <f t="shared" si="161"/>
        <v>0</v>
      </c>
      <c r="I409" s="625">
        <f t="shared" si="162"/>
        <v>0</v>
      </c>
      <c r="J409" s="626">
        <f t="shared" si="163"/>
        <v>0</v>
      </c>
      <c r="K409" s="433"/>
      <c r="L409" s="421"/>
      <c r="M409" s="448">
        <f>ROUND((($D$357*$A$237*(($H$14/1000)/$A$237)*$H$16)/$B$355),2)</f>
        <v>0</v>
      </c>
    </row>
    <row r="410" spans="1:15" ht="17.100000000000001" customHeight="1">
      <c r="A410" s="1435"/>
      <c r="B410" s="637" t="str">
        <f t="shared" si="165"/>
        <v>8구간</v>
      </c>
      <c r="C410" s="623">
        <f t="shared" si="156"/>
        <v>0</v>
      </c>
      <c r="D410" s="624">
        <f t="shared" si="157"/>
        <v>0</v>
      </c>
      <c r="E410" s="623">
        <f t="shared" si="158"/>
        <v>0</v>
      </c>
      <c r="F410" s="624">
        <f t="shared" si="159"/>
        <v>0</v>
      </c>
      <c r="G410" s="623">
        <f t="shared" si="160"/>
        <v>0</v>
      </c>
      <c r="H410" s="625">
        <f t="shared" si="161"/>
        <v>0</v>
      </c>
      <c r="I410" s="625">
        <f t="shared" si="162"/>
        <v>0</v>
      </c>
      <c r="J410" s="626">
        <f t="shared" si="163"/>
        <v>0</v>
      </c>
      <c r="K410" s="433"/>
      <c r="L410" s="421"/>
      <c r="M410" s="448">
        <f>ROUND((($D$357*$A$237*(($I$14/1000)/$A$237)*$I$16)/$B$355),2)</f>
        <v>0</v>
      </c>
    </row>
    <row r="411" spans="1:15" ht="17.100000000000001" customHeight="1">
      <c r="A411" s="1435"/>
      <c r="B411" s="622" t="str">
        <f t="shared" si="165"/>
        <v>9구간</v>
      </c>
      <c r="C411" s="623">
        <f t="shared" si="156"/>
        <v>0</v>
      </c>
      <c r="D411" s="624">
        <f t="shared" si="157"/>
        <v>0</v>
      </c>
      <c r="E411" s="623">
        <f t="shared" si="158"/>
        <v>0</v>
      </c>
      <c r="F411" s="624">
        <f t="shared" si="159"/>
        <v>0</v>
      </c>
      <c r="G411" s="623">
        <f t="shared" si="160"/>
        <v>0</v>
      </c>
      <c r="H411" s="625">
        <f t="shared" si="161"/>
        <v>0</v>
      </c>
      <c r="I411" s="625">
        <f t="shared" si="162"/>
        <v>0</v>
      </c>
      <c r="J411" s="626">
        <f t="shared" si="163"/>
        <v>0</v>
      </c>
      <c r="K411" s="433"/>
      <c r="L411" s="421"/>
      <c r="M411" s="448">
        <f>ROUND((($D$357*$A$237*(($J$14/1000)/$A$237)*$J$16)/$B$355),2)</f>
        <v>0</v>
      </c>
    </row>
    <row r="412" spans="1:15" ht="17.100000000000001" customHeight="1">
      <c r="A412" s="1435"/>
      <c r="B412" s="448" t="str">
        <f t="shared" si="165"/>
        <v>10구간</v>
      </c>
      <c r="C412" s="631">
        <f t="shared" si="156"/>
        <v>0</v>
      </c>
      <c r="D412" s="632">
        <f t="shared" si="157"/>
        <v>0</v>
      </c>
      <c r="E412" s="631">
        <f t="shared" si="158"/>
        <v>0</v>
      </c>
      <c r="F412" s="632">
        <f t="shared" si="159"/>
        <v>0</v>
      </c>
      <c r="G412" s="631">
        <f t="shared" si="160"/>
        <v>0</v>
      </c>
      <c r="H412" s="633">
        <f t="shared" si="161"/>
        <v>0</v>
      </c>
      <c r="I412" s="633">
        <f t="shared" si="162"/>
        <v>0</v>
      </c>
      <c r="J412" s="634">
        <f t="shared" si="163"/>
        <v>0</v>
      </c>
      <c r="K412" s="433"/>
      <c r="L412" s="421"/>
      <c r="M412" s="448">
        <f>ROUND((($D$357*$A$237*(($K$14/1000)/$A$237)*$K$16)/$B$355),2)</f>
        <v>0</v>
      </c>
    </row>
    <row r="413" spans="1:15" ht="17.100000000000001" customHeight="1">
      <c r="A413" s="1503"/>
      <c r="B413" s="595" t="s">
        <v>289</v>
      </c>
      <c r="C413" s="635">
        <f t="shared" ref="C413:J413" si="166">SUM(C403:C412)</f>
        <v>67.58</v>
      </c>
      <c r="D413" s="636">
        <f t="shared" si="166"/>
        <v>45.07</v>
      </c>
      <c r="E413" s="635">
        <f t="shared" si="166"/>
        <v>0</v>
      </c>
      <c r="F413" s="636">
        <f t="shared" si="166"/>
        <v>1.1100000000000001</v>
      </c>
      <c r="G413" s="635">
        <f t="shared" si="166"/>
        <v>19.45</v>
      </c>
      <c r="H413" s="596">
        <f t="shared" si="166"/>
        <v>4.0999999999999996</v>
      </c>
      <c r="I413" s="596">
        <f t="shared" si="166"/>
        <v>0.44</v>
      </c>
      <c r="J413" s="597">
        <f t="shared" si="166"/>
        <v>1.17</v>
      </c>
      <c r="K413" s="433"/>
      <c r="M413" s="599">
        <f>SUM(M403:M412)</f>
        <v>138.91999999999999</v>
      </c>
    </row>
    <row r="414" spans="1:15" ht="17.100000000000001" customHeight="1">
      <c r="A414" s="1434">
        <v>30</v>
      </c>
      <c r="B414" s="637" t="str">
        <f t="shared" ref="B414:B423" si="167">B403</f>
        <v>1구간</v>
      </c>
      <c r="C414" s="638">
        <f t="shared" si="156"/>
        <v>52.19</v>
      </c>
      <c r="D414" s="639">
        <f t="shared" si="157"/>
        <v>34.799999999999997</v>
      </c>
      <c r="E414" s="627">
        <f t="shared" si="158"/>
        <v>0</v>
      </c>
      <c r="F414" s="639">
        <f t="shared" si="159"/>
        <v>0.86</v>
      </c>
      <c r="G414" s="627">
        <f t="shared" si="160"/>
        <v>15.02</v>
      </c>
      <c r="H414" s="629">
        <f t="shared" si="161"/>
        <v>3.16</v>
      </c>
      <c r="I414" s="629">
        <f t="shared" si="162"/>
        <v>0.34</v>
      </c>
      <c r="J414" s="630">
        <f t="shared" si="163"/>
        <v>0.9</v>
      </c>
      <c r="K414" s="211"/>
      <c r="M414" s="448">
        <f>ROUND((($E$357*$A$239*(($G$9/1000)/$A$239)*$G$11)/$B$355),2)</f>
        <v>107.27</v>
      </c>
      <c r="O414" s="395"/>
    </row>
    <row r="415" spans="1:15" ht="17.100000000000001" customHeight="1">
      <c r="A415" s="1435"/>
      <c r="B415" s="622" t="str">
        <f t="shared" si="167"/>
        <v>2구간</v>
      </c>
      <c r="C415" s="623">
        <f t="shared" si="156"/>
        <v>0</v>
      </c>
      <c r="D415" s="624">
        <f t="shared" si="157"/>
        <v>0</v>
      </c>
      <c r="E415" s="623">
        <f t="shared" si="158"/>
        <v>0</v>
      </c>
      <c r="F415" s="624">
        <f t="shared" si="159"/>
        <v>0</v>
      </c>
      <c r="G415" s="623">
        <f t="shared" si="160"/>
        <v>0</v>
      </c>
      <c r="H415" s="625">
        <f t="shared" si="161"/>
        <v>0</v>
      </c>
      <c r="I415" s="625">
        <f t="shared" si="162"/>
        <v>0</v>
      </c>
      <c r="J415" s="626">
        <f t="shared" si="163"/>
        <v>0</v>
      </c>
      <c r="K415" s="433"/>
      <c r="M415" s="448">
        <f>ROUND((($E$357*$A$239*(($H$9/1000)/$A$239)*$H$11)/$B$355),2)</f>
        <v>0</v>
      </c>
    </row>
    <row r="416" spans="1:15" ht="17.100000000000001" customHeight="1">
      <c r="A416" s="1435"/>
      <c r="B416" s="637" t="str">
        <f t="shared" si="167"/>
        <v>3구간</v>
      </c>
      <c r="C416" s="623">
        <f t="shared" si="156"/>
        <v>0</v>
      </c>
      <c r="D416" s="624">
        <f t="shared" si="157"/>
        <v>0</v>
      </c>
      <c r="E416" s="623">
        <f t="shared" si="158"/>
        <v>0</v>
      </c>
      <c r="F416" s="624">
        <f t="shared" si="159"/>
        <v>0</v>
      </c>
      <c r="G416" s="623">
        <f t="shared" si="160"/>
        <v>0</v>
      </c>
      <c r="H416" s="625">
        <f t="shared" si="161"/>
        <v>0</v>
      </c>
      <c r="I416" s="625">
        <f t="shared" si="162"/>
        <v>0</v>
      </c>
      <c r="J416" s="626">
        <f t="shared" si="163"/>
        <v>0</v>
      </c>
      <c r="K416" s="433"/>
      <c r="M416" s="448">
        <f>ROUND((($E$357*$A$239*(($I$9/1000)/$A$239)*$I$11)/$B$355),2)</f>
        <v>0</v>
      </c>
    </row>
    <row r="417" spans="1:23" ht="17.100000000000001" customHeight="1">
      <c r="A417" s="1435"/>
      <c r="B417" s="622" t="str">
        <f t="shared" si="167"/>
        <v>4구간</v>
      </c>
      <c r="C417" s="623">
        <f t="shared" si="156"/>
        <v>0</v>
      </c>
      <c r="D417" s="624">
        <f t="shared" si="157"/>
        <v>0</v>
      </c>
      <c r="E417" s="623">
        <f t="shared" si="158"/>
        <v>0</v>
      </c>
      <c r="F417" s="624">
        <f t="shared" si="159"/>
        <v>0</v>
      </c>
      <c r="G417" s="623">
        <f t="shared" si="160"/>
        <v>0</v>
      </c>
      <c r="H417" s="625">
        <f t="shared" si="161"/>
        <v>0</v>
      </c>
      <c r="I417" s="625">
        <f t="shared" si="162"/>
        <v>0</v>
      </c>
      <c r="J417" s="626">
        <f t="shared" si="163"/>
        <v>0</v>
      </c>
      <c r="K417" s="433"/>
      <c r="M417" s="448">
        <f>ROUND((($E$357*$A$239*(($J$9/1000)/$A$239)*$J$11)/$B$355),2)</f>
        <v>0</v>
      </c>
      <c r="O417" s="421"/>
      <c r="P417" s="421"/>
      <c r="Q417" s="421"/>
      <c r="R417" s="421"/>
      <c r="S417" s="421"/>
      <c r="T417" s="421"/>
      <c r="U417" s="421"/>
      <c r="V417" s="421"/>
      <c r="W417" s="421"/>
    </row>
    <row r="418" spans="1:23" ht="17.100000000000001" customHeight="1">
      <c r="A418" s="1435"/>
      <c r="B418" s="622" t="str">
        <f t="shared" si="167"/>
        <v>5구간</v>
      </c>
      <c r="C418" s="623">
        <f t="shared" si="156"/>
        <v>0</v>
      </c>
      <c r="D418" s="624">
        <f t="shared" si="157"/>
        <v>0</v>
      </c>
      <c r="E418" s="623">
        <f t="shared" si="158"/>
        <v>0</v>
      </c>
      <c r="F418" s="624">
        <f t="shared" si="159"/>
        <v>0</v>
      </c>
      <c r="G418" s="623">
        <f t="shared" si="160"/>
        <v>0</v>
      </c>
      <c r="H418" s="625">
        <f t="shared" si="161"/>
        <v>0</v>
      </c>
      <c r="I418" s="625">
        <f t="shared" si="162"/>
        <v>0</v>
      </c>
      <c r="J418" s="626">
        <f t="shared" si="163"/>
        <v>0</v>
      </c>
      <c r="K418" s="433"/>
      <c r="M418" s="448">
        <f>ROUND((($E$357*$A$239*(($K$9/1000)/$A$239)*$K$11)/$B$355),2)</f>
        <v>0</v>
      </c>
      <c r="O418" s="421"/>
      <c r="P418" s="421"/>
      <c r="Q418" s="421"/>
      <c r="R418" s="421"/>
      <c r="S418" s="421"/>
      <c r="T418" s="421"/>
      <c r="U418" s="421"/>
      <c r="V418" s="421"/>
      <c r="W418" s="421"/>
    </row>
    <row r="419" spans="1:23" ht="17.100000000000001" customHeight="1">
      <c r="A419" s="1435"/>
      <c r="B419" s="637" t="str">
        <f t="shared" si="167"/>
        <v>6구간</v>
      </c>
      <c r="C419" s="638">
        <f t="shared" si="156"/>
        <v>0</v>
      </c>
      <c r="D419" s="639">
        <f t="shared" si="157"/>
        <v>0</v>
      </c>
      <c r="E419" s="627">
        <f t="shared" si="158"/>
        <v>0</v>
      </c>
      <c r="F419" s="639">
        <f t="shared" si="159"/>
        <v>0</v>
      </c>
      <c r="G419" s="627">
        <f t="shared" si="160"/>
        <v>0</v>
      </c>
      <c r="H419" s="629">
        <f t="shared" si="161"/>
        <v>0</v>
      </c>
      <c r="I419" s="629">
        <f t="shared" si="162"/>
        <v>0</v>
      </c>
      <c r="J419" s="630">
        <f t="shared" si="163"/>
        <v>0</v>
      </c>
      <c r="K419" s="211"/>
      <c r="M419" s="448">
        <f>ROUND((($E$357*$A$239*(($G$14/1000)/$A$239)*$G$16)/$B$355),2)</f>
        <v>0</v>
      </c>
      <c r="O419" s="510"/>
      <c r="P419" s="421"/>
      <c r="Q419" s="421"/>
      <c r="R419" s="421"/>
      <c r="S419" s="421"/>
      <c r="T419" s="421"/>
      <c r="U419" s="421"/>
      <c r="V419" s="421"/>
      <c r="W419" s="421"/>
    </row>
    <row r="420" spans="1:23" ht="17.100000000000001" customHeight="1">
      <c r="A420" s="1435"/>
      <c r="B420" s="622" t="str">
        <f t="shared" si="167"/>
        <v>7구간</v>
      </c>
      <c r="C420" s="623">
        <f t="shared" si="156"/>
        <v>0</v>
      </c>
      <c r="D420" s="624">
        <f t="shared" si="157"/>
        <v>0</v>
      </c>
      <c r="E420" s="623">
        <f t="shared" si="158"/>
        <v>0</v>
      </c>
      <c r="F420" s="624">
        <f t="shared" si="159"/>
        <v>0</v>
      </c>
      <c r="G420" s="623">
        <f t="shared" si="160"/>
        <v>0</v>
      </c>
      <c r="H420" s="625">
        <f t="shared" si="161"/>
        <v>0</v>
      </c>
      <c r="I420" s="625">
        <f t="shared" si="162"/>
        <v>0</v>
      </c>
      <c r="J420" s="626">
        <f t="shared" si="163"/>
        <v>0</v>
      </c>
      <c r="K420" s="433"/>
      <c r="M420" s="448">
        <f>ROUND((($E$357*$A$239*(($H$14/1000)/$A$239)*$H$16)/$B$355),2)</f>
        <v>0</v>
      </c>
      <c r="O420" s="421"/>
      <c r="P420" s="421"/>
      <c r="Q420" s="421"/>
      <c r="R420" s="421"/>
      <c r="S420" s="421"/>
      <c r="T420" s="421"/>
      <c r="U420" s="421"/>
      <c r="V420" s="421"/>
      <c r="W420" s="421"/>
    </row>
    <row r="421" spans="1:23" ht="17.100000000000001" customHeight="1">
      <c r="A421" s="1435"/>
      <c r="B421" s="637" t="str">
        <f t="shared" si="167"/>
        <v>8구간</v>
      </c>
      <c r="C421" s="623">
        <f t="shared" si="156"/>
        <v>0</v>
      </c>
      <c r="D421" s="624">
        <f t="shared" si="157"/>
        <v>0</v>
      </c>
      <c r="E421" s="623">
        <f t="shared" si="158"/>
        <v>0</v>
      </c>
      <c r="F421" s="624">
        <f t="shared" si="159"/>
        <v>0</v>
      </c>
      <c r="G421" s="623">
        <f t="shared" si="160"/>
        <v>0</v>
      </c>
      <c r="H421" s="625">
        <f t="shared" si="161"/>
        <v>0</v>
      </c>
      <c r="I421" s="625">
        <f t="shared" si="162"/>
        <v>0</v>
      </c>
      <c r="J421" s="626">
        <f t="shared" si="163"/>
        <v>0</v>
      </c>
      <c r="K421" s="433"/>
      <c r="M421" s="448">
        <f>ROUND((($E$357*$A$239*(($I$14/1000)/$A$239)*$I$16)/$B$355),2)</f>
        <v>0</v>
      </c>
      <c r="O421" s="421"/>
      <c r="P421" s="421"/>
      <c r="Q421" s="421"/>
      <c r="R421" s="421"/>
      <c r="S421" s="421"/>
      <c r="T421" s="421"/>
      <c r="U421" s="421"/>
      <c r="V421" s="421"/>
      <c r="W421" s="421"/>
    </row>
    <row r="422" spans="1:23" ht="17.100000000000001" customHeight="1">
      <c r="A422" s="1435"/>
      <c r="B422" s="622" t="str">
        <f t="shared" si="167"/>
        <v>9구간</v>
      </c>
      <c r="C422" s="623">
        <f t="shared" si="156"/>
        <v>0</v>
      </c>
      <c r="D422" s="624">
        <f t="shared" si="157"/>
        <v>0</v>
      </c>
      <c r="E422" s="623">
        <f t="shared" si="158"/>
        <v>0</v>
      </c>
      <c r="F422" s="624">
        <f t="shared" si="159"/>
        <v>0</v>
      </c>
      <c r="G422" s="623">
        <f t="shared" si="160"/>
        <v>0</v>
      </c>
      <c r="H422" s="625">
        <f t="shared" si="161"/>
        <v>0</v>
      </c>
      <c r="I422" s="625">
        <f t="shared" si="162"/>
        <v>0</v>
      </c>
      <c r="J422" s="626">
        <f t="shared" si="163"/>
        <v>0</v>
      </c>
      <c r="K422" s="433"/>
      <c r="M422" s="448">
        <f>ROUND((($E$357*$A$239*(($J$14/1000)/$A$239)*$J$16)/$B$355),2)</f>
        <v>0</v>
      </c>
      <c r="O422" s="421"/>
      <c r="P422" s="421"/>
      <c r="Q422" s="421"/>
      <c r="R422" s="421"/>
      <c r="S422" s="421"/>
      <c r="T422" s="421"/>
      <c r="U422" s="421"/>
      <c r="V422" s="421"/>
      <c r="W422" s="421"/>
    </row>
    <row r="423" spans="1:23" ht="17.100000000000001" customHeight="1">
      <c r="A423" s="1435"/>
      <c r="B423" s="448" t="str">
        <f t="shared" si="167"/>
        <v>10구간</v>
      </c>
      <c r="C423" s="631">
        <f t="shared" si="156"/>
        <v>0</v>
      </c>
      <c r="D423" s="632">
        <f t="shared" si="157"/>
        <v>0</v>
      </c>
      <c r="E423" s="631">
        <f t="shared" si="158"/>
        <v>0</v>
      </c>
      <c r="F423" s="632">
        <f t="shared" si="159"/>
        <v>0</v>
      </c>
      <c r="G423" s="631">
        <f t="shared" si="160"/>
        <v>0</v>
      </c>
      <c r="H423" s="633">
        <f t="shared" si="161"/>
        <v>0</v>
      </c>
      <c r="I423" s="633">
        <f t="shared" si="162"/>
        <v>0</v>
      </c>
      <c r="J423" s="634">
        <f t="shared" si="163"/>
        <v>0</v>
      </c>
      <c r="K423" s="433"/>
      <c r="M423" s="448">
        <f>ROUND((($E$357*$A$239*(($K$14/1000)/$A$239)*$K$16)/$B$355),2)</f>
        <v>0</v>
      </c>
      <c r="O423" s="421"/>
      <c r="P423" s="421"/>
      <c r="Q423" s="421"/>
      <c r="R423" s="421"/>
      <c r="S423" s="421"/>
      <c r="T423" s="421"/>
      <c r="U423" s="421"/>
      <c r="V423" s="421"/>
      <c r="W423" s="421"/>
    </row>
    <row r="424" spans="1:23" ht="17.100000000000001" customHeight="1">
      <c r="A424" s="1503"/>
      <c r="B424" s="595" t="s">
        <v>289</v>
      </c>
      <c r="C424" s="635">
        <f t="shared" ref="C424:J424" si="168">SUM(C414:C423)</f>
        <v>52.19</v>
      </c>
      <c r="D424" s="636">
        <f t="shared" si="168"/>
        <v>34.799999999999997</v>
      </c>
      <c r="E424" s="635">
        <f t="shared" si="168"/>
        <v>0</v>
      </c>
      <c r="F424" s="636">
        <f t="shared" si="168"/>
        <v>0.86</v>
      </c>
      <c r="G424" s="635">
        <f t="shared" si="168"/>
        <v>15.02</v>
      </c>
      <c r="H424" s="596">
        <f t="shared" si="168"/>
        <v>3.16</v>
      </c>
      <c r="I424" s="596">
        <f t="shared" si="168"/>
        <v>0.34</v>
      </c>
      <c r="J424" s="597">
        <f t="shared" si="168"/>
        <v>0.9</v>
      </c>
      <c r="K424" s="433"/>
      <c r="M424" s="599">
        <f>SUM(M414:M423)</f>
        <v>107.27</v>
      </c>
      <c r="O424" s="421"/>
      <c r="P424" s="421"/>
      <c r="Q424" s="421"/>
      <c r="R424" s="421"/>
      <c r="S424" s="421"/>
      <c r="T424" s="421"/>
      <c r="U424" s="421"/>
      <c r="V424" s="421"/>
      <c r="W424" s="421"/>
    </row>
    <row r="425" spans="1:23" ht="17.100000000000001" customHeight="1">
      <c r="A425" s="1434">
        <v>40</v>
      </c>
      <c r="B425" s="637" t="str">
        <f t="shared" ref="B425:B434" si="169">B414</f>
        <v>1구간</v>
      </c>
      <c r="C425" s="638">
        <f t="shared" si="156"/>
        <v>41.07</v>
      </c>
      <c r="D425" s="639">
        <f t="shared" si="157"/>
        <v>27.38</v>
      </c>
      <c r="E425" s="627">
        <f t="shared" si="158"/>
        <v>0</v>
      </c>
      <c r="F425" s="639">
        <f t="shared" si="159"/>
        <v>0.68</v>
      </c>
      <c r="G425" s="627">
        <f t="shared" si="160"/>
        <v>11.82</v>
      </c>
      <c r="H425" s="629">
        <f t="shared" si="161"/>
        <v>2.4900000000000002</v>
      </c>
      <c r="I425" s="629">
        <f t="shared" si="162"/>
        <v>0.27</v>
      </c>
      <c r="J425" s="630">
        <f t="shared" si="163"/>
        <v>0.71</v>
      </c>
      <c r="K425" s="211"/>
      <c r="M425" s="448">
        <f>ROUND((($F$357*$A$241*(($G$9/1000)/$A$241)*$G$11)/$B$355),2)</f>
        <v>84.41</v>
      </c>
      <c r="O425" s="640"/>
      <c r="P425" s="640"/>
      <c r="Q425" s="640"/>
      <c r="R425" s="640"/>
      <c r="S425" s="640"/>
      <c r="T425" s="640"/>
      <c r="U425" s="640"/>
      <c r="V425" s="640"/>
      <c r="W425" s="421"/>
    </row>
    <row r="426" spans="1:23" ht="17.100000000000001" customHeight="1">
      <c r="A426" s="1435"/>
      <c r="B426" s="622" t="str">
        <f t="shared" si="169"/>
        <v>2구간</v>
      </c>
      <c r="C426" s="623">
        <f t="shared" si="156"/>
        <v>0</v>
      </c>
      <c r="D426" s="624">
        <f t="shared" si="157"/>
        <v>0</v>
      </c>
      <c r="E426" s="623">
        <f t="shared" si="158"/>
        <v>0</v>
      </c>
      <c r="F426" s="624">
        <f t="shared" si="159"/>
        <v>0</v>
      </c>
      <c r="G426" s="623">
        <f t="shared" si="160"/>
        <v>0</v>
      </c>
      <c r="H426" s="625">
        <f t="shared" si="161"/>
        <v>0</v>
      </c>
      <c r="I426" s="625">
        <f t="shared" si="162"/>
        <v>0</v>
      </c>
      <c r="J426" s="626">
        <f t="shared" si="163"/>
        <v>0</v>
      </c>
      <c r="K426" s="433"/>
      <c r="M426" s="448">
        <f>ROUND((($F$357*$A$241*(($H$9/1000)/$A$241)*$H$11)/$B$355),2)</f>
        <v>0</v>
      </c>
      <c r="O426" s="640"/>
      <c r="P426" s="640"/>
      <c r="Q426" s="640"/>
      <c r="R426" s="640"/>
      <c r="S426" s="640"/>
      <c r="T426" s="640"/>
      <c r="U426" s="640"/>
      <c r="V426" s="640"/>
      <c r="W426" s="421"/>
    </row>
    <row r="427" spans="1:23" ht="17.100000000000001" customHeight="1">
      <c r="A427" s="1435"/>
      <c r="B427" s="637" t="str">
        <f t="shared" si="169"/>
        <v>3구간</v>
      </c>
      <c r="C427" s="623">
        <f t="shared" si="156"/>
        <v>0</v>
      </c>
      <c r="D427" s="624">
        <f t="shared" si="157"/>
        <v>0</v>
      </c>
      <c r="E427" s="623">
        <f t="shared" si="158"/>
        <v>0</v>
      </c>
      <c r="F427" s="624">
        <f t="shared" si="159"/>
        <v>0</v>
      </c>
      <c r="G427" s="623">
        <f t="shared" si="160"/>
        <v>0</v>
      </c>
      <c r="H427" s="625">
        <f t="shared" si="161"/>
        <v>0</v>
      </c>
      <c r="I427" s="625">
        <f t="shared" si="162"/>
        <v>0</v>
      </c>
      <c r="J427" s="626">
        <f t="shared" si="163"/>
        <v>0</v>
      </c>
      <c r="K427" s="433"/>
      <c r="M427" s="448">
        <f>ROUND((($F$357*$A$241*(($I$9/1000)/$A$241)*$I$11)/$B$355),2)</f>
        <v>0</v>
      </c>
      <c r="O427" s="421"/>
      <c r="P427" s="421"/>
      <c r="Q427" s="421"/>
      <c r="R427" s="421"/>
      <c r="S427" s="421"/>
      <c r="T427" s="421"/>
      <c r="U427" s="421"/>
      <c r="V427" s="421"/>
      <c r="W427" s="421"/>
    </row>
    <row r="428" spans="1:23" ht="17.100000000000001" customHeight="1">
      <c r="A428" s="1435"/>
      <c r="B428" s="622" t="str">
        <f t="shared" si="169"/>
        <v>4구간</v>
      </c>
      <c r="C428" s="623">
        <f t="shared" si="156"/>
        <v>0</v>
      </c>
      <c r="D428" s="624">
        <f t="shared" si="157"/>
        <v>0</v>
      </c>
      <c r="E428" s="623">
        <f t="shared" si="158"/>
        <v>0</v>
      </c>
      <c r="F428" s="624">
        <f t="shared" si="159"/>
        <v>0</v>
      </c>
      <c r="G428" s="623">
        <f t="shared" si="160"/>
        <v>0</v>
      </c>
      <c r="H428" s="625">
        <f t="shared" si="161"/>
        <v>0</v>
      </c>
      <c r="I428" s="625">
        <f t="shared" si="162"/>
        <v>0</v>
      </c>
      <c r="J428" s="626">
        <f t="shared" si="163"/>
        <v>0</v>
      </c>
      <c r="K428" s="433"/>
      <c r="M428" s="448">
        <f>ROUND((($F$357*$A$241*(($J$9/1000)/$A$241)*$J$11)/$B$355),2)</f>
        <v>0</v>
      </c>
      <c r="O428" s="641"/>
      <c r="P428" s="641"/>
      <c r="Q428" s="641"/>
      <c r="R428" s="641"/>
      <c r="S428" s="641"/>
      <c r="T428" s="641"/>
      <c r="U428" s="641"/>
      <c r="V428" s="641"/>
      <c r="W428" s="641"/>
    </row>
    <row r="429" spans="1:23" ht="17.100000000000001" customHeight="1">
      <c r="A429" s="1435"/>
      <c r="B429" s="622" t="str">
        <f t="shared" si="169"/>
        <v>5구간</v>
      </c>
      <c r="C429" s="623">
        <f t="shared" si="156"/>
        <v>0</v>
      </c>
      <c r="D429" s="624">
        <f t="shared" si="157"/>
        <v>0</v>
      </c>
      <c r="E429" s="623">
        <f t="shared" si="158"/>
        <v>0</v>
      </c>
      <c r="F429" s="624">
        <f t="shared" si="159"/>
        <v>0</v>
      </c>
      <c r="G429" s="623">
        <f t="shared" si="160"/>
        <v>0</v>
      </c>
      <c r="H429" s="625">
        <f t="shared" si="161"/>
        <v>0</v>
      </c>
      <c r="I429" s="625">
        <f t="shared" si="162"/>
        <v>0</v>
      </c>
      <c r="J429" s="626">
        <f t="shared" si="163"/>
        <v>0</v>
      </c>
      <c r="K429" s="433"/>
      <c r="M429" s="448">
        <f>ROUND((($F$357*$A$241*(($K$9/1000)/$A$241)*$K$11)/$B$355),2)</f>
        <v>0</v>
      </c>
      <c r="O429" s="421"/>
      <c r="P429" s="421"/>
      <c r="Q429" s="421"/>
      <c r="R429" s="421"/>
      <c r="S429" s="421"/>
      <c r="T429" s="421"/>
      <c r="U429" s="421"/>
      <c r="V429" s="421"/>
      <c r="W429" s="421"/>
    </row>
    <row r="430" spans="1:23" ht="17.100000000000001" customHeight="1">
      <c r="A430" s="1435"/>
      <c r="B430" s="637" t="str">
        <f t="shared" si="169"/>
        <v>6구간</v>
      </c>
      <c r="C430" s="638">
        <f t="shared" si="156"/>
        <v>0</v>
      </c>
      <c r="D430" s="639">
        <f t="shared" si="157"/>
        <v>0</v>
      </c>
      <c r="E430" s="627">
        <f t="shared" si="158"/>
        <v>0</v>
      </c>
      <c r="F430" s="639">
        <f t="shared" si="159"/>
        <v>0</v>
      </c>
      <c r="G430" s="627">
        <f t="shared" si="160"/>
        <v>0</v>
      </c>
      <c r="H430" s="629">
        <f t="shared" si="161"/>
        <v>0</v>
      </c>
      <c r="I430" s="629">
        <f t="shared" si="162"/>
        <v>0</v>
      </c>
      <c r="J430" s="630">
        <f t="shared" si="163"/>
        <v>0</v>
      </c>
      <c r="K430" s="211"/>
      <c r="M430" s="448">
        <f>ROUND((($F$357*$A$241*(($G$14/1000)/$A$241)*$G$16)/$B$355),2)</f>
        <v>0</v>
      </c>
      <c r="O430" s="510"/>
      <c r="P430" s="421"/>
      <c r="Q430" s="421"/>
      <c r="R430" s="421"/>
      <c r="S430" s="421"/>
      <c r="T430" s="421"/>
      <c r="U430" s="421"/>
      <c r="V430" s="421"/>
      <c r="W430" s="421"/>
    </row>
    <row r="431" spans="1:23" ht="17.100000000000001" customHeight="1">
      <c r="A431" s="1435"/>
      <c r="B431" s="622" t="str">
        <f t="shared" si="169"/>
        <v>7구간</v>
      </c>
      <c r="C431" s="623">
        <f t="shared" si="156"/>
        <v>0</v>
      </c>
      <c r="D431" s="624">
        <f t="shared" si="157"/>
        <v>0</v>
      </c>
      <c r="E431" s="623">
        <f t="shared" si="158"/>
        <v>0</v>
      </c>
      <c r="F431" s="624">
        <f t="shared" si="159"/>
        <v>0</v>
      </c>
      <c r="G431" s="623">
        <f t="shared" si="160"/>
        <v>0</v>
      </c>
      <c r="H431" s="625">
        <f t="shared" si="161"/>
        <v>0</v>
      </c>
      <c r="I431" s="625">
        <f t="shared" si="162"/>
        <v>0</v>
      </c>
      <c r="J431" s="626">
        <f t="shared" si="163"/>
        <v>0</v>
      </c>
      <c r="K431" s="433"/>
      <c r="M431" s="448">
        <f>ROUND((($F$357*$A$241*(($H$14/1000)/$A$241)*$H$16)/$B$355),2)</f>
        <v>0</v>
      </c>
      <c r="O431" s="421"/>
      <c r="P431" s="421"/>
      <c r="Q431" s="421"/>
      <c r="R431" s="421"/>
      <c r="S431" s="421"/>
      <c r="T431" s="421"/>
      <c r="U431" s="421"/>
      <c r="V431" s="421"/>
      <c r="W431" s="421"/>
    </row>
    <row r="432" spans="1:23" ht="17.100000000000001" customHeight="1">
      <c r="A432" s="1435"/>
      <c r="B432" s="637" t="str">
        <f t="shared" si="169"/>
        <v>8구간</v>
      </c>
      <c r="C432" s="623">
        <f t="shared" si="156"/>
        <v>0</v>
      </c>
      <c r="D432" s="624">
        <f t="shared" si="157"/>
        <v>0</v>
      </c>
      <c r="E432" s="623">
        <f t="shared" si="158"/>
        <v>0</v>
      </c>
      <c r="F432" s="624">
        <f t="shared" si="159"/>
        <v>0</v>
      </c>
      <c r="G432" s="623">
        <f t="shared" si="160"/>
        <v>0</v>
      </c>
      <c r="H432" s="625">
        <f t="shared" si="161"/>
        <v>0</v>
      </c>
      <c r="I432" s="625">
        <f t="shared" si="162"/>
        <v>0</v>
      </c>
      <c r="J432" s="626">
        <f t="shared" si="163"/>
        <v>0</v>
      </c>
      <c r="K432" s="433"/>
      <c r="M432" s="448">
        <f>ROUND((($F$357*$A$241*(($I$14/1000)/$A$241)*$I$16)/$B$355),2)</f>
        <v>0</v>
      </c>
      <c r="O432" s="421"/>
      <c r="P432" s="421"/>
      <c r="Q432" s="421"/>
      <c r="R432" s="421"/>
      <c r="S432" s="421"/>
      <c r="T432" s="421"/>
      <c r="U432" s="421"/>
      <c r="V432" s="421"/>
      <c r="W432" s="421"/>
    </row>
    <row r="433" spans="1:23" ht="17.100000000000001" customHeight="1">
      <c r="A433" s="1435"/>
      <c r="B433" s="622" t="str">
        <f t="shared" si="169"/>
        <v>9구간</v>
      </c>
      <c r="C433" s="623">
        <f t="shared" si="156"/>
        <v>0</v>
      </c>
      <c r="D433" s="624">
        <f t="shared" si="157"/>
        <v>0</v>
      </c>
      <c r="E433" s="623">
        <f t="shared" si="158"/>
        <v>0</v>
      </c>
      <c r="F433" s="624">
        <f t="shared" si="159"/>
        <v>0</v>
      </c>
      <c r="G433" s="623">
        <f t="shared" si="160"/>
        <v>0</v>
      </c>
      <c r="H433" s="625">
        <f t="shared" si="161"/>
        <v>0</v>
      </c>
      <c r="I433" s="625">
        <f t="shared" si="162"/>
        <v>0</v>
      </c>
      <c r="J433" s="626">
        <f t="shared" si="163"/>
        <v>0</v>
      </c>
      <c r="K433" s="433"/>
      <c r="M433" s="448">
        <f>ROUND((($F$357*$A$241*(($J$14/1000)/$A$241)*$J$16)/$B$355),2)</f>
        <v>0</v>
      </c>
      <c r="O433" s="421"/>
      <c r="P433" s="421"/>
      <c r="Q433" s="421"/>
      <c r="R433" s="421"/>
      <c r="S433" s="421"/>
      <c r="T433" s="421"/>
      <c r="U433" s="421"/>
      <c r="V433" s="421"/>
      <c r="W433" s="421"/>
    </row>
    <row r="434" spans="1:23" ht="17.100000000000001" customHeight="1">
      <c r="A434" s="1435"/>
      <c r="B434" s="448" t="str">
        <f t="shared" si="169"/>
        <v>10구간</v>
      </c>
      <c r="C434" s="631">
        <f t="shared" si="156"/>
        <v>0</v>
      </c>
      <c r="D434" s="632">
        <f t="shared" si="157"/>
        <v>0</v>
      </c>
      <c r="E434" s="631">
        <f t="shared" si="158"/>
        <v>0</v>
      </c>
      <c r="F434" s="632">
        <f t="shared" si="159"/>
        <v>0</v>
      </c>
      <c r="G434" s="631">
        <f t="shared" si="160"/>
        <v>0</v>
      </c>
      <c r="H434" s="633">
        <f t="shared" si="161"/>
        <v>0</v>
      </c>
      <c r="I434" s="633">
        <f t="shared" si="162"/>
        <v>0</v>
      </c>
      <c r="J434" s="634">
        <f t="shared" si="163"/>
        <v>0</v>
      </c>
      <c r="K434" s="433"/>
      <c r="M434" s="448">
        <f>ROUND((($F$357*$A$241*(($K$14/1000)/$A$241)*$K$16)/$B$355),2)</f>
        <v>0</v>
      </c>
      <c r="O434" s="421"/>
      <c r="P434" s="421"/>
      <c r="Q434" s="421"/>
      <c r="R434" s="421"/>
      <c r="S434" s="421"/>
      <c r="T434" s="421"/>
      <c r="U434" s="421"/>
      <c r="V434" s="421"/>
      <c r="W434" s="421"/>
    </row>
    <row r="435" spans="1:23" ht="17.100000000000001" customHeight="1">
      <c r="A435" s="1503"/>
      <c r="B435" s="595" t="s">
        <v>289</v>
      </c>
      <c r="C435" s="635">
        <f t="shared" ref="C435:J435" si="170">SUM(C425:C434)</f>
        <v>41.07</v>
      </c>
      <c r="D435" s="636">
        <f t="shared" si="170"/>
        <v>27.38</v>
      </c>
      <c r="E435" s="635">
        <f t="shared" si="170"/>
        <v>0</v>
      </c>
      <c r="F435" s="636">
        <f t="shared" si="170"/>
        <v>0.68</v>
      </c>
      <c r="G435" s="635">
        <f t="shared" si="170"/>
        <v>11.82</v>
      </c>
      <c r="H435" s="596">
        <f t="shared" si="170"/>
        <v>2.4900000000000002</v>
      </c>
      <c r="I435" s="596">
        <f t="shared" si="170"/>
        <v>0.27</v>
      </c>
      <c r="J435" s="597">
        <f t="shared" si="170"/>
        <v>0.71</v>
      </c>
      <c r="K435" s="433"/>
      <c r="M435" s="599">
        <f>SUM(M425:M434)</f>
        <v>84.41</v>
      </c>
      <c r="O435" s="421"/>
      <c r="P435" s="421"/>
      <c r="Q435" s="421"/>
      <c r="R435" s="421"/>
      <c r="S435" s="421"/>
      <c r="T435" s="421"/>
      <c r="U435" s="421"/>
      <c r="V435" s="421"/>
      <c r="W435" s="421"/>
    </row>
    <row r="436" spans="1:23" ht="17.100000000000001" customHeight="1">
      <c r="A436" s="1434">
        <v>50</v>
      </c>
      <c r="B436" s="637" t="str">
        <f t="shared" ref="B436:B445" si="171">B425</f>
        <v>1구간</v>
      </c>
      <c r="C436" s="638">
        <f t="shared" si="156"/>
        <v>34.06</v>
      </c>
      <c r="D436" s="639">
        <f t="shared" si="157"/>
        <v>22.71</v>
      </c>
      <c r="E436" s="627">
        <f t="shared" si="158"/>
        <v>0</v>
      </c>
      <c r="F436" s="639">
        <f t="shared" si="159"/>
        <v>0.56000000000000005</v>
      </c>
      <c r="G436" s="627">
        <f t="shared" si="160"/>
        <v>9.8000000000000007</v>
      </c>
      <c r="H436" s="629">
        <f t="shared" si="161"/>
        <v>2.0699999999999998</v>
      </c>
      <c r="I436" s="629">
        <f t="shared" si="162"/>
        <v>0.22</v>
      </c>
      <c r="J436" s="630">
        <f t="shared" si="163"/>
        <v>0.59</v>
      </c>
      <c r="K436" s="211"/>
      <c r="M436" s="604">
        <f>ROUND((($G$357*$A$243*(($G$9/1000)/$A$243)*$G$11)/$B$355),)</f>
        <v>70</v>
      </c>
      <c r="O436" s="640"/>
      <c r="P436" s="640"/>
      <c r="Q436" s="640"/>
      <c r="R436" s="640"/>
      <c r="S436" s="640"/>
      <c r="T436" s="640"/>
      <c r="U436" s="640"/>
      <c r="V436" s="640"/>
      <c r="W436" s="421"/>
    </row>
    <row r="437" spans="1:23" ht="17.100000000000001" customHeight="1">
      <c r="A437" s="1435"/>
      <c r="B437" s="622" t="str">
        <f t="shared" si="171"/>
        <v>2구간</v>
      </c>
      <c r="C437" s="623">
        <f t="shared" si="156"/>
        <v>0</v>
      </c>
      <c r="D437" s="624">
        <f t="shared" si="157"/>
        <v>0</v>
      </c>
      <c r="E437" s="623">
        <f t="shared" si="158"/>
        <v>0</v>
      </c>
      <c r="F437" s="624">
        <f t="shared" si="159"/>
        <v>0</v>
      </c>
      <c r="G437" s="623">
        <f t="shared" si="160"/>
        <v>0</v>
      </c>
      <c r="H437" s="625">
        <f t="shared" si="161"/>
        <v>0</v>
      </c>
      <c r="I437" s="625">
        <f t="shared" si="162"/>
        <v>0</v>
      </c>
      <c r="J437" s="626">
        <f t="shared" si="163"/>
        <v>0</v>
      </c>
      <c r="K437" s="433"/>
      <c r="M437" s="604">
        <f>ROUND((($G$357*$A$243*(($H$9/1000)/$A$243)*$H$11)/$B$355),)</f>
        <v>0</v>
      </c>
      <c r="O437" s="640"/>
      <c r="P437" s="640"/>
      <c r="Q437" s="640"/>
      <c r="R437" s="640"/>
      <c r="S437" s="640"/>
      <c r="T437" s="640"/>
      <c r="U437" s="640"/>
      <c r="V437" s="640"/>
      <c r="W437" s="421"/>
    </row>
    <row r="438" spans="1:23" ht="17.100000000000001" customHeight="1">
      <c r="A438" s="1435"/>
      <c r="B438" s="637" t="str">
        <f t="shared" si="171"/>
        <v>3구간</v>
      </c>
      <c r="C438" s="623">
        <f t="shared" si="156"/>
        <v>0</v>
      </c>
      <c r="D438" s="624">
        <f t="shared" si="157"/>
        <v>0</v>
      </c>
      <c r="E438" s="623">
        <f t="shared" si="158"/>
        <v>0</v>
      </c>
      <c r="F438" s="624">
        <f t="shared" si="159"/>
        <v>0</v>
      </c>
      <c r="G438" s="623">
        <f t="shared" si="160"/>
        <v>0</v>
      </c>
      <c r="H438" s="625">
        <f t="shared" si="161"/>
        <v>0</v>
      </c>
      <c r="I438" s="625">
        <f t="shared" si="162"/>
        <v>0</v>
      </c>
      <c r="J438" s="626">
        <f t="shared" si="163"/>
        <v>0</v>
      </c>
      <c r="K438" s="433"/>
      <c r="M438" s="604">
        <f>ROUND((($G$357*$A$243*(($I$9/1000)/$A$243)*$I$11)/$B$355),)</f>
        <v>0</v>
      </c>
      <c r="O438" s="421"/>
      <c r="P438" s="421"/>
      <c r="Q438" s="421"/>
      <c r="R438" s="421"/>
      <c r="S438" s="421"/>
      <c r="T438" s="421"/>
      <c r="U438" s="421"/>
      <c r="V438" s="421"/>
      <c r="W438" s="421"/>
    </row>
    <row r="439" spans="1:23" ht="17.100000000000001" customHeight="1">
      <c r="A439" s="1435"/>
      <c r="B439" s="622" t="str">
        <f t="shared" si="171"/>
        <v>4구간</v>
      </c>
      <c r="C439" s="623">
        <f t="shared" si="156"/>
        <v>0</v>
      </c>
      <c r="D439" s="624">
        <f t="shared" si="157"/>
        <v>0</v>
      </c>
      <c r="E439" s="623">
        <f t="shared" si="158"/>
        <v>0</v>
      </c>
      <c r="F439" s="624">
        <f t="shared" si="159"/>
        <v>0</v>
      </c>
      <c r="G439" s="623">
        <f t="shared" si="160"/>
        <v>0</v>
      </c>
      <c r="H439" s="625">
        <f t="shared" si="161"/>
        <v>0</v>
      </c>
      <c r="I439" s="625">
        <f t="shared" si="162"/>
        <v>0</v>
      </c>
      <c r="J439" s="626">
        <f t="shared" si="163"/>
        <v>0</v>
      </c>
      <c r="K439" s="433"/>
      <c r="M439" s="604">
        <f>ROUND((($G$357*$A$243*(($J$9/1000)/$A$243)*$J$11)/$B$355),)</f>
        <v>0</v>
      </c>
      <c r="O439" s="641"/>
      <c r="P439" s="641"/>
      <c r="Q439" s="641"/>
      <c r="R439" s="641"/>
      <c r="S439" s="641"/>
      <c r="T439" s="641"/>
      <c r="U439" s="641"/>
      <c r="V439" s="641"/>
      <c r="W439" s="641"/>
    </row>
    <row r="440" spans="1:23" ht="17.100000000000001" customHeight="1">
      <c r="A440" s="1435"/>
      <c r="B440" s="622" t="str">
        <f t="shared" si="171"/>
        <v>5구간</v>
      </c>
      <c r="C440" s="623">
        <f t="shared" si="156"/>
        <v>0</v>
      </c>
      <c r="D440" s="624">
        <f t="shared" si="157"/>
        <v>0</v>
      </c>
      <c r="E440" s="623">
        <f t="shared" si="158"/>
        <v>0</v>
      </c>
      <c r="F440" s="624">
        <f t="shared" si="159"/>
        <v>0</v>
      </c>
      <c r="G440" s="623">
        <f t="shared" si="160"/>
        <v>0</v>
      </c>
      <c r="H440" s="625">
        <f t="shared" si="161"/>
        <v>0</v>
      </c>
      <c r="I440" s="625">
        <f t="shared" si="162"/>
        <v>0</v>
      </c>
      <c r="J440" s="626">
        <f t="shared" si="163"/>
        <v>0</v>
      </c>
      <c r="K440" s="433"/>
      <c r="M440" s="604">
        <f>ROUND((($G$357*$A$243*(($K$9/1000)/$A$243)*$K$11)/$B$355),)</f>
        <v>0</v>
      </c>
      <c r="N440" s="421"/>
      <c r="O440" s="421"/>
      <c r="P440" s="421"/>
      <c r="Q440" s="421"/>
      <c r="R440" s="421"/>
      <c r="S440" s="421"/>
      <c r="T440" s="421"/>
      <c r="U440" s="421"/>
      <c r="V440" s="421"/>
      <c r="W440" s="421"/>
    </row>
    <row r="441" spans="1:23" ht="17.100000000000001" customHeight="1">
      <c r="A441" s="1435"/>
      <c r="B441" s="637" t="str">
        <f t="shared" si="171"/>
        <v>6구간</v>
      </c>
      <c r="C441" s="638">
        <f t="shared" si="156"/>
        <v>0</v>
      </c>
      <c r="D441" s="639">
        <f t="shared" si="157"/>
        <v>0</v>
      </c>
      <c r="E441" s="627">
        <f t="shared" si="158"/>
        <v>0</v>
      </c>
      <c r="F441" s="639">
        <f t="shared" si="159"/>
        <v>0</v>
      </c>
      <c r="G441" s="627">
        <f t="shared" si="160"/>
        <v>0</v>
      </c>
      <c r="H441" s="629">
        <f t="shared" si="161"/>
        <v>0</v>
      </c>
      <c r="I441" s="629">
        <f t="shared" si="162"/>
        <v>0</v>
      </c>
      <c r="J441" s="630">
        <f t="shared" si="163"/>
        <v>0</v>
      </c>
      <c r="K441" s="211"/>
      <c r="M441" s="604">
        <f>ROUND((($G$357*$A$243*(($G$14/1000)/$A$243)*$G$16)/$B$355),)</f>
        <v>0</v>
      </c>
      <c r="O441" s="510"/>
      <c r="P441" s="421"/>
      <c r="Q441" s="421"/>
      <c r="R441" s="421"/>
      <c r="S441" s="421"/>
      <c r="T441" s="421"/>
      <c r="U441" s="421"/>
      <c r="V441" s="421"/>
      <c r="W441" s="421"/>
    </row>
    <row r="442" spans="1:23" ht="17.100000000000001" customHeight="1">
      <c r="A442" s="1435"/>
      <c r="B442" s="622" t="str">
        <f t="shared" si="171"/>
        <v>7구간</v>
      </c>
      <c r="C442" s="623">
        <f t="shared" si="156"/>
        <v>0</v>
      </c>
      <c r="D442" s="624">
        <f t="shared" si="157"/>
        <v>0</v>
      </c>
      <c r="E442" s="623">
        <f t="shared" si="158"/>
        <v>0</v>
      </c>
      <c r="F442" s="624">
        <f t="shared" si="159"/>
        <v>0</v>
      </c>
      <c r="G442" s="623">
        <f t="shared" si="160"/>
        <v>0</v>
      </c>
      <c r="H442" s="625">
        <f t="shared" si="161"/>
        <v>0</v>
      </c>
      <c r="I442" s="625">
        <f t="shared" si="162"/>
        <v>0</v>
      </c>
      <c r="J442" s="626">
        <f t="shared" si="163"/>
        <v>0</v>
      </c>
      <c r="K442" s="433"/>
      <c r="M442" s="604">
        <f>ROUND((($G$357*$A$243*(($H$14/1000)/$A$243)*$H$16)/$B$355),)</f>
        <v>0</v>
      </c>
      <c r="O442" s="421"/>
      <c r="P442" s="421"/>
      <c r="Q442" s="421"/>
      <c r="R442" s="421"/>
      <c r="S442" s="421"/>
      <c r="T442" s="421"/>
      <c r="U442" s="421"/>
      <c r="V442" s="421"/>
      <c r="W442" s="421"/>
    </row>
    <row r="443" spans="1:23" ht="17.100000000000001" customHeight="1">
      <c r="A443" s="1435"/>
      <c r="B443" s="637" t="str">
        <f t="shared" si="171"/>
        <v>8구간</v>
      </c>
      <c r="C443" s="623">
        <f t="shared" si="156"/>
        <v>0</v>
      </c>
      <c r="D443" s="624">
        <f t="shared" si="157"/>
        <v>0</v>
      </c>
      <c r="E443" s="623">
        <f t="shared" si="158"/>
        <v>0</v>
      </c>
      <c r="F443" s="624">
        <f t="shared" si="159"/>
        <v>0</v>
      </c>
      <c r="G443" s="623">
        <f t="shared" si="160"/>
        <v>0</v>
      </c>
      <c r="H443" s="625">
        <f t="shared" si="161"/>
        <v>0</v>
      </c>
      <c r="I443" s="625">
        <f t="shared" si="162"/>
        <v>0</v>
      </c>
      <c r="J443" s="626">
        <f t="shared" si="163"/>
        <v>0</v>
      </c>
      <c r="K443" s="433"/>
      <c r="M443" s="604">
        <f>ROUND((($G$357*$A$243*(($I$14/1000)/$A$243)*$I$16)/$B$355),)</f>
        <v>0</v>
      </c>
      <c r="O443" s="421"/>
      <c r="P443" s="421"/>
      <c r="Q443" s="421"/>
      <c r="R443" s="421"/>
      <c r="S443" s="421"/>
      <c r="T443" s="421"/>
      <c r="U443" s="421"/>
      <c r="V443" s="421"/>
      <c r="W443" s="421"/>
    </row>
    <row r="444" spans="1:23" ht="17.100000000000001" customHeight="1">
      <c r="A444" s="1435"/>
      <c r="B444" s="622" t="str">
        <f t="shared" si="171"/>
        <v>9구간</v>
      </c>
      <c r="C444" s="623">
        <f t="shared" si="156"/>
        <v>0</v>
      </c>
      <c r="D444" s="624">
        <f t="shared" si="157"/>
        <v>0</v>
      </c>
      <c r="E444" s="623">
        <f t="shared" si="158"/>
        <v>0</v>
      </c>
      <c r="F444" s="624">
        <f t="shared" si="159"/>
        <v>0</v>
      </c>
      <c r="G444" s="623">
        <f t="shared" si="160"/>
        <v>0</v>
      </c>
      <c r="H444" s="625">
        <f t="shared" si="161"/>
        <v>0</v>
      </c>
      <c r="I444" s="625">
        <f t="shared" si="162"/>
        <v>0</v>
      </c>
      <c r="J444" s="626">
        <f t="shared" si="163"/>
        <v>0</v>
      </c>
      <c r="K444" s="433"/>
      <c r="M444" s="604">
        <f>ROUND((($G$357*$A$243*(($J$14/1000)/$A$243)*$J$16)/$B$355),)</f>
        <v>0</v>
      </c>
      <c r="O444" s="421"/>
      <c r="P444" s="421"/>
      <c r="Q444" s="421"/>
      <c r="R444" s="421"/>
      <c r="S444" s="421"/>
      <c r="T444" s="421"/>
      <c r="U444" s="421"/>
      <c r="V444" s="421"/>
      <c r="W444" s="421"/>
    </row>
    <row r="445" spans="1:23" ht="17.100000000000001" customHeight="1">
      <c r="A445" s="1435"/>
      <c r="B445" s="448" t="str">
        <f t="shared" si="171"/>
        <v>10구간</v>
      </c>
      <c r="C445" s="631">
        <f t="shared" si="156"/>
        <v>0</v>
      </c>
      <c r="D445" s="632">
        <f t="shared" si="157"/>
        <v>0</v>
      </c>
      <c r="E445" s="631">
        <f t="shared" si="158"/>
        <v>0</v>
      </c>
      <c r="F445" s="632">
        <f t="shared" si="159"/>
        <v>0</v>
      </c>
      <c r="G445" s="631">
        <f t="shared" si="160"/>
        <v>0</v>
      </c>
      <c r="H445" s="633">
        <f t="shared" si="161"/>
        <v>0</v>
      </c>
      <c r="I445" s="633">
        <f t="shared" si="162"/>
        <v>0</v>
      </c>
      <c r="J445" s="634">
        <f t="shared" si="163"/>
        <v>0</v>
      </c>
      <c r="K445" s="433"/>
      <c r="M445" s="604">
        <f>ROUND((($G$357*$A$243*(($K$14/1000)/$A$243)*$K$16)/$B$355),)</f>
        <v>0</v>
      </c>
      <c r="N445" s="421"/>
      <c r="O445" s="421"/>
      <c r="P445" s="421"/>
      <c r="Q445" s="421"/>
      <c r="R445" s="421"/>
      <c r="S445" s="421"/>
      <c r="T445" s="421"/>
      <c r="U445" s="421"/>
      <c r="V445" s="421"/>
      <c r="W445" s="421"/>
    </row>
    <row r="446" spans="1:23" ht="17.100000000000001" customHeight="1">
      <c r="A446" s="1503"/>
      <c r="B446" s="595" t="s">
        <v>289</v>
      </c>
      <c r="C446" s="635">
        <f t="shared" ref="C446:J446" si="172">SUM(C436:C445)</f>
        <v>34.06</v>
      </c>
      <c r="D446" s="636">
        <f t="shared" si="172"/>
        <v>22.71</v>
      </c>
      <c r="E446" s="635">
        <f t="shared" si="172"/>
        <v>0</v>
      </c>
      <c r="F446" s="636">
        <f t="shared" si="172"/>
        <v>0.56000000000000005</v>
      </c>
      <c r="G446" s="635">
        <f t="shared" si="172"/>
        <v>9.8000000000000007</v>
      </c>
      <c r="H446" s="596">
        <f t="shared" si="172"/>
        <v>2.0699999999999998</v>
      </c>
      <c r="I446" s="596">
        <f t="shared" si="172"/>
        <v>0.22</v>
      </c>
      <c r="J446" s="597">
        <f t="shared" si="172"/>
        <v>0.59</v>
      </c>
      <c r="K446" s="433"/>
      <c r="M446" s="599">
        <f>SUM(M436:M445)</f>
        <v>70</v>
      </c>
      <c r="O446" s="421"/>
      <c r="P446" s="421"/>
      <c r="Q446" s="421"/>
      <c r="R446" s="421"/>
      <c r="S446" s="421"/>
      <c r="T446" s="421"/>
      <c r="U446" s="421"/>
      <c r="V446" s="421"/>
      <c r="W446" s="421"/>
    </row>
    <row r="447" spans="1:23" ht="17.100000000000001" customHeight="1">
      <c r="A447" s="1434">
        <v>60</v>
      </c>
      <c r="B447" s="642" t="str">
        <f t="shared" ref="B447:B456" si="173">B436</f>
        <v>1구간</v>
      </c>
      <c r="C447" s="643">
        <f t="shared" si="156"/>
        <v>28.23</v>
      </c>
      <c r="D447" s="644">
        <f t="shared" si="157"/>
        <v>18.82</v>
      </c>
      <c r="E447" s="617">
        <f t="shared" si="158"/>
        <v>0</v>
      </c>
      <c r="F447" s="644">
        <f t="shared" si="159"/>
        <v>0.46</v>
      </c>
      <c r="G447" s="617">
        <f t="shared" si="160"/>
        <v>8.1199999999999992</v>
      </c>
      <c r="H447" s="619">
        <f t="shared" si="161"/>
        <v>1.71</v>
      </c>
      <c r="I447" s="619">
        <f t="shared" si="162"/>
        <v>0.19</v>
      </c>
      <c r="J447" s="620">
        <f t="shared" si="163"/>
        <v>0.49</v>
      </c>
      <c r="K447" s="211"/>
      <c r="M447" s="448">
        <f>ROUND((($H$357*$A$245*(($G$9/1000)/$A$245)*$G$11)/$B$355),2)</f>
        <v>58.03</v>
      </c>
      <c r="O447" s="640"/>
      <c r="P447" s="640"/>
      <c r="Q447" s="640"/>
      <c r="R447" s="640"/>
      <c r="S447" s="640"/>
      <c r="T447" s="640"/>
      <c r="U447" s="640"/>
      <c r="V447" s="640"/>
      <c r="W447" s="421"/>
    </row>
    <row r="448" spans="1:23" ht="17.100000000000001" customHeight="1">
      <c r="A448" s="1435"/>
      <c r="B448" s="622" t="str">
        <f t="shared" si="173"/>
        <v>2구간</v>
      </c>
      <c r="C448" s="623">
        <f t="shared" si="156"/>
        <v>0</v>
      </c>
      <c r="D448" s="624">
        <f t="shared" si="157"/>
        <v>0</v>
      </c>
      <c r="E448" s="623">
        <f t="shared" si="158"/>
        <v>0</v>
      </c>
      <c r="F448" s="624">
        <f t="shared" si="159"/>
        <v>0</v>
      </c>
      <c r="G448" s="623">
        <f t="shared" si="160"/>
        <v>0</v>
      </c>
      <c r="H448" s="625">
        <f t="shared" si="161"/>
        <v>0</v>
      </c>
      <c r="I448" s="625">
        <f t="shared" si="162"/>
        <v>0</v>
      </c>
      <c r="J448" s="626">
        <f t="shared" si="163"/>
        <v>0</v>
      </c>
      <c r="K448" s="433"/>
      <c r="M448" s="448">
        <f>ROUND((($H$357*$A$245*(($H$9/1000)/$A$245)*$H$11)/$B$355),2)</f>
        <v>0</v>
      </c>
      <c r="O448" s="640"/>
      <c r="P448" s="640"/>
      <c r="Q448" s="640"/>
      <c r="R448" s="640"/>
      <c r="S448" s="640"/>
      <c r="T448" s="640"/>
      <c r="U448" s="640"/>
      <c r="V448" s="640"/>
      <c r="W448" s="421"/>
    </row>
    <row r="449" spans="1:23" ht="17.100000000000001" customHeight="1">
      <c r="A449" s="1435"/>
      <c r="B449" s="637" t="str">
        <f t="shared" si="173"/>
        <v>3구간</v>
      </c>
      <c r="C449" s="623">
        <f t="shared" si="156"/>
        <v>0</v>
      </c>
      <c r="D449" s="624">
        <f t="shared" si="157"/>
        <v>0</v>
      </c>
      <c r="E449" s="623">
        <f t="shared" si="158"/>
        <v>0</v>
      </c>
      <c r="F449" s="624">
        <f t="shared" si="159"/>
        <v>0</v>
      </c>
      <c r="G449" s="623">
        <f t="shared" si="160"/>
        <v>0</v>
      </c>
      <c r="H449" s="625">
        <f t="shared" si="161"/>
        <v>0</v>
      </c>
      <c r="I449" s="625">
        <f t="shared" si="162"/>
        <v>0</v>
      </c>
      <c r="J449" s="626">
        <f t="shared" si="163"/>
        <v>0</v>
      </c>
      <c r="K449" s="433"/>
      <c r="L449" s="421"/>
      <c r="M449" s="448">
        <f>ROUND((($H$357*$A$245*(($I$9/1000)/$A$245)*$I$11)/$B$355),2)</f>
        <v>0</v>
      </c>
      <c r="O449" s="421"/>
      <c r="P449" s="421"/>
      <c r="Q449" s="421"/>
      <c r="R449" s="421"/>
      <c r="S449" s="421"/>
      <c r="T449" s="421"/>
      <c r="U449" s="421"/>
      <c r="V449" s="421"/>
      <c r="W449" s="421"/>
    </row>
    <row r="450" spans="1:23" ht="17.100000000000001" customHeight="1">
      <c r="A450" s="1435"/>
      <c r="B450" s="622" t="str">
        <f t="shared" si="173"/>
        <v>4구간</v>
      </c>
      <c r="C450" s="623">
        <f t="shared" si="156"/>
        <v>0</v>
      </c>
      <c r="D450" s="624">
        <f t="shared" si="157"/>
        <v>0</v>
      </c>
      <c r="E450" s="623">
        <f t="shared" si="158"/>
        <v>0</v>
      </c>
      <c r="F450" s="624">
        <f t="shared" si="159"/>
        <v>0</v>
      </c>
      <c r="G450" s="623">
        <f t="shared" si="160"/>
        <v>0</v>
      </c>
      <c r="H450" s="625">
        <f t="shared" si="161"/>
        <v>0</v>
      </c>
      <c r="I450" s="625">
        <f t="shared" si="162"/>
        <v>0</v>
      </c>
      <c r="J450" s="626">
        <f t="shared" si="163"/>
        <v>0</v>
      </c>
      <c r="K450" s="433"/>
      <c r="M450" s="448">
        <f>ROUND((($H$357*$A$245*(($J$9/1000)/$A$245)*$J$11)/$B$355),2)</f>
        <v>0</v>
      </c>
      <c r="O450" s="641"/>
      <c r="P450" s="641"/>
      <c r="Q450" s="641"/>
      <c r="R450" s="641"/>
      <c r="S450" s="641"/>
      <c r="T450" s="641"/>
      <c r="U450" s="641"/>
      <c r="V450" s="641"/>
      <c r="W450" s="641"/>
    </row>
    <row r="451" spans="1:23" ht="17.100000000000001" customHeight="1">
      <c r="A451" s="1435"/>
      <c r="B451" s="622" t="str">
        <f t="shared" si="173"/>
        <v>5구간</v>
      </c>
      <c r="C451" s="623">
        <f t="shared" si="156"/>
        <v>0</v>
      </c>
      <c r="D451" s="624">
        <f t="shared" si="157"/>
        <v>0</v>
      </c>
      <c r="E451" s="623">
        <f t="shared" si="158"/>
        <v>0</v>
      </c>
      <c r="F451" s="624">
        <f t="shared" si="159"/>
        <v>0</v>
      </c>
      <c r="G451" s="623">
        <f t="shared" si="160"/>
        <v>0</v>
      </c>
      <c r="H451" s="625">
        <f t="shared" si="161"/>
        <v>0</v>
      </c>
      <c r="I451" s="625">
        <f t="shared" si="162"/>
        <v>0</v>
      </c>
      <c r="J451" s="626">
        <f t="shared" si="163"/>
        <v>0</v>
      </c>
      <c r="K451" s="433"/>
      <c r="M451" s="448">
        <f>ROUND((($H$357*$A$245*(($K$9/1000)/$A$245)*$K$11)/$B$355),2)</f>
        <v>0</v>
      </c>
      <c r="O451" s="421"/>
      <c r="P451" s="421"/>
      <c r="Q451" s="421"/>
      <c r="R451" s="421"/>
      <c r="S451" s="421"/>
      <c r="T451" s="421"/>
      <c r="U451" s="421"/>
      <c r="V451" s="421"/>
      <c r="W451" s="421"/>
    </row>
    <row r="452" spans="1:23" ht="17.100000000000001" customHeight="1">
      <c r="A452" s="1435"/>
      <c r="B452" s="637" t="str">
        <f t="shared" si="173"/>
        <v>6구간</v>
      </c>
      <c r="C452" s="638">
        <f t="shared" si="156"/>
        <v>0</v>
      </c>
      <c r="D452" s="639">
        <f t="shared" si="157"/>
        <v>0</v>
      </c>
      <c r="E452" s="627">
        <f t="shared" si="158"/>
        <v>0</v>
      </c>
      <c r="F452" s="639">
        <f t="shared" si="159"/>
        <v>0</v>
      </c>
      <c r="G452" s="627">
        <f t="shared" si="160"/>
        <v>0</v>
      </c>
      <c r="H452" s="629">
        <f t="shared" si="161"/>
        <v>0</v>
      </c>
      <c r="I452" s="629">
        <f t="shared" si="162"/>
        <v>0</v>
      </c>
      <c r="J452" s="630">
        <f t="shared" si="163"/>
        <v>0</v>
      </c>
      <c r="K452" s="211"/>
      <c r="M452" s="448">
        <f>ROUND((($H$357*$A$245*(($G$14/1000)/$A$245)*$G$16)/$B$355),2)</f>
        <v>0</v>
      </c>
      <c r="O452" s="510"/>
      <c r="P452" s="421"/>
      <c r="Q452" s="421"/>
      <c r="R452" s="421"/>
      <c r="S452" s="421"/>
      <c r="T452" s="421"/>
      <c r="U452" s="421"/>
      <c r="V452" s="421"/>
      <c r="W452" s="421"/>
    </row>
    <row r="453" spans="1:23" ht="17.100000000000001" customHeight="1">
      <c r="A453" s="1435"/>
      <c r="B453" s="622" t="str">
        <f t="shared" si="173"/>
        <v>7구간</v>
      </c>
      <c r="C453" s="623">
        <f t="shared" si="156"/>
        <v>0</v>
      </c>
      <c r="D453" s="624">
        <f t="shared" si="157"/>
        <v>0</v>
      </c>
      <c r="E453" s="623">
        <f t="shared" si="158"/>
        <v>0</v>
      </c>
      <c r="F453" s="624">
        <f t="shared" si="159"/>
        <v>0</v>
      </c>
      <c r="G453" s="623">
        <f t="shared" si="160"/>
        <v>0</v>
      </c>
      <c r="H453" s="625">
        <f t="shared" si="161"/>
        <v>0</v>
      </c>
      <c r="I453" s="625">
        <f t="shared" si="162"/>
        <v>0</v>
      </c>
      <c r="J453" s="626">
        <f t="shared" si="163"/>
        <v>0</v>
      </c>
      <c r="K453" s="433"/>
      <c r="M453" s="448">
        <f>ROUND((($H$357*$A$245*(($H$14/1000)/$A$245)*$H$16)/$B$355),2)</f>
        <v>0</v>
      </c>
      <c r="O453" s="421"/>
      <c r="P453" s="421"/>
      <c r="Q453" s="421"/>
      <c r="R453" s="421"/>
      <c r="S453" s="421"/>
      <c r="T453" s="421"/>
      <c r="U453" s="421"/>
      <c r="V453" s="421"/>
      <c r="W453" s="421"/>
    </row>
    <row r="454" spans="1:23" ht="17.100000000000001" customHeight="1">
      <c r="A454" s="1435"/>
      <c r="B454" s="637" t="str">
        <f t="shared" si="173"/>
        <v>8구간</v>
      </c>
      <c r="C454" s="623">
        <f t="shared" si="156"/>
        <v>0</v>
      </c>
      <c r="D454" s="624">
        <f t="shared" si="157"/>
        <v>0</v>
      </c>
      <c r="E454" s="623">
        <f t="shared" si="158"/>
        <v>0</v>
      </c>
      <c r="F454" s="624">
        <f t="shared" si="159"/>
        <v>0</v>
      </c>
      <c r="G454" s="623">
        <f t="shared" si="160"/>
        <v>0</v>
      </c>
      <c r="H454" s="625">
        <f t="shared" si="161"/>
        <v>0</v>
      </c>
      <c r="I454" s="625">
        <f t="shared" si="162"/>
        <v>0</v>
      </c>
      <c r="J454" s="626">
        <f t="shared" si="163"/>
        <v>0</v>
      </c>
      <c r="K454" s="433"/>
      <c r="L454" s="421"/>
      <c r="M454" s="448">
        <f>ROUND((($H$357*$A$245*(($I$14/1000)/$A$245)*$I$16)/$B$355),2)</f>
        <v>0</v>
      </c>
      <c r="O454" s="421"/>
      <c r="P454" s="421"/>
      <c r="Q454" s="421"/>
      <c r="R454" s="421"/>
      <c r="S454" s="421"/>
      <c r="T454" s="421"/>
      <c r="U454" s="421"/>
      <c r="V454" s="421"/>
      <c r="W454" s="421"/>
    </row>
    <row r="455" spans="1:23" ht="17.100000000000001" customHeight="1">
      <c r="A455" s="1435"/>
      <c r="B455" s="622" t="str">
        <f t="shared" si="173"/>
        <v>9구간</v>
      </c>
      <c r="C455" s="623">
        <f t="shared" si="156"/>
        <v>0</v>
      </c>
      <c r="D455" s="624">
        <f t="shared" si="157"/>
        <v>0</v>
      </c>
      <c r="E455" s="623">
        <f t="shared" si="158"/>
        <v>0</v>
      </c>
      <c r="F455" s="624">
        <f t="shared" si="159"/>
        <v>0</v>
      </c>
      <c r="G455" s="623">
        <f t="shared" si="160"/>
        <v>0</v>
      </c>
      <c r="H455" s="625">
        <f t="shared" si="161"/>
        <v>0</v>
      </c>
      <c r="I455" s="625">
        <f t="shared" si="162"/>
        <v>0</v>
      </c>
      <c r="J455" s="626">
        <f t="shared" si="163"/>
        <v>0</v>
      </c>
      <c r="K455" s="433"/>
      <c r="M455" s="448">
        <f>ROUND((($H$357*$A$245*(($J$14/1000)/$A$245)*$J$16)/$B$355),2)</f>
        <v>0</v>
      </c>
      <c r="O455" s="421"/>
      <c r="P455" s="421"/>
      <c r="Q455" s="421"/>
      <c r="R455" s="421"/>
      <c r="S455" s="421"/>
      <c r="T455" s="421"/>
      <c r="U455" s="421"/>
      <c r="V455" s="421"/>
      <c r="W455" s="421"/>
    </row>
    <row r="456" spans="1:23" ht="17.100000000000001" customHeight="1">
      <c r="A456" s="1435"/>
      <c r="B456" s="448" t="str">
        <f t="shared" si="173"/>
        <v>10구간</v>
      </c>
      <c r="C456" s="631">
        <f t="shared" si="156"/>
        <v>0</v>
      </c>
      <c r="D456" s="632">
        <f t="shared" si="157"/>
        <v>0</v>
      </c>
      <c r="E456" s="631">
        <f t="shared" si="158"/>
        <v>0</v>
      </c>
      <c r="F456" s="632">
        <f t="shared" si="159"/>
        <v>0</v>
      </c>
      <c r="G456" s="631">
        <f t="shared" si="160"/>
        <v>0</v>
      </c>
      <c r="H456" s="633">
        <f t="shared" si="161"/>
        <v>0</v>
      </c>
      <c r="I456" s="633">
        <f t="shared" si="162"/>
        <v>0</v>
      </c>
      <c r="J456" s="634">
        <f t="shared" si="163"/>
        <v>0</v>
      </c>
      <c r="K456" s="433"/>
      <c r="M456" s="448">
        <f>ROUND((($H$357*$A$245*(($K$14/1000)/$A$245)*$K$16)/$B$355),2)</f>
        <v>0</v>
      </c>
      <c r="O456" s="421"/>
      <c r="P456" s="421"/>
      <c r="Q456" s="421"/>
      <c r="R456" s="421"/>
      <c r="S456" s="421"/>
      <c r="T456" s="421"/>
      <c r="U456" s="421"/>
      <c r="V456" s="421"/>
      <c r="W456" s="421"/>
    </row>
    <row r="457" spans="1:23" ht="17.100000000000001" customHeight="1">
      <c r="A457" s="1503"/>
      <c r="B457" s="595" t="s">
        <v>289</v>
      </c>
      <c r="C457" s="635">
        <f t="shared" ref="C457:J457" si="174">SUM(C447:C456)</f>
        <v>28.23</v>
      </c>
      <c r="D457" s="636">
        <f t="shared" si="174"/>
        <v>18.82</v>
      </c>
      <c r="E457" s="635">
        <f t="shared" si="174"/>
        <v>0</v>
      </c>
      <c r="F457" s="636">
        <f t="shared" si="174"/>
        <v>0.46</v>
      </c>
      <c r="G457" s="635">
        <f t="shared" si="174"/>
        <v>8.1199999999999992</v>
      </c>
      <c r="H457" s="596">
        <f t="shared" si="174"/>
        <v>1.71</v>
      </c>
      <c r="I457" s="596">
        <f t="shared" si="174"/>
        <v>0.19</v>
      </c>
      <c r="J457" s="597">
        <f t="shared" si="174"/>
        <v>0.49</v>
      </c>
      <c r="K457" s="433"/>
      <c r="M457" s="599">
        <f>SUM(M447:M456)</f>
        <v>58.03</v>
      </c>
      <c r="O457" s="421"/>
      <c r="P457" s="421"/>
      <c r="Q457" s="421"/>
      <c r="R457" s="421"/>
      <c r="S457" s="421"/>
      <c r="T457" s="421"/>
      <c r="U457" s="421"/>
      <c r="V457" s="421"/>
      <c r="W457" s="421"/>
    </row>
    <row r="458" spans="1:23" ht="17.100000000000001" customHeight="1">
      <c r="A458" s="1434">
        <v>70</v>
      </c>
      <c r="B458" s="637" t="str">
        <f t="shared" ref="B458:B467" si="175">B447</f>
        <v>1구간</v>
      </c>
      <c r="C458" s="638">
        <f t="shared" si="156"/>
        <v>23.96</v>
      </c>
      <c r="D458" s="639">
        <f t="shared" si="157"/>
        <v>15.97</v>
      </c>
      <c r="E458" s="627">
        <f t="shared" si="158"/>
        <v>0</v>
      </c>
      <c r="F458" s="639">
        <f t="shared" si="159"/>
        <v>0.39</v>
      </c>
      <c r="G458" s="627">
        <f t="shared" si="160"/>
        <v>6.89</v>
      </c>
      <c r="H458" s="629">
        <f t="shared" si="161"/>
        <v>1.45</v>
      </c>
      <c r="I458" s="629">
        <f t="shared" si="162"/>
        <v>0.16</v>
      </c>
      <c r="J458" s="630">
        <f t="shared" si="163"/>
        <v>0.41</v>
      </c>
      <c r="K458" s="211"/>
      <c r="M458" s="448">
        <f>ROUND((($I$357*$A$247*(($G$9/1000)/$A$247)*$G$11)/$B$355),2)</f>
        <v>49.24</v>
      </c>
      <c r="N458" s="421"/>
      <c r="O458" s="640"/>
      <c r="P458" s="640"/>
      <c r="Q458" s="640"/>
      <c r="R458" s="640"/>
      <c r="S458" s="640"/>
      <c r="T458" s="640"/>
      <c r="U458" s="640"/>
      <c r="V458" s="640"/>
      <c r="W458" s="421"/>
    </row>
    <row r="459" spans="1:23" ht="17.100000000000001" customHeight="1">
      <c r="A459" s="1435"/>
      <c r="B459" s="622" t="str">
        <f t="shared" si="175"/>
        <v>2구간</v>
      </c>
      <c r="C459" s="623">
        <f t="shared" si="156"/>
        <v>0</v>
      </c>
      <c r="D459" s="624">
        <f t="shared" si="157"/>
        <v>0</v>
      </c>
      <c r="E459" s="623">
        <f t="shared" si="158"/>
        <v>0</v>
      </c>
      <c r="F459" s="624">
        <f t="shared" si="159"/>
        <v>0</v>
      </c>
      <c r="G459" s="623">
        <f t="shared" si="160"/>
        <v>0</v>
      </c>
      <c r="H459" s="625">
        <f t="shared" si="161"/>
        <v>0</v>
      </c>
      <c r="I459" s="625">
        <f t="shared" si="162"/>
        <v>0</v>
      </c>
      <c r="J459" s="626">
        <f t="shared" si="163"/>
        <v>0</v>
      </c>
      <c r="K459" s="433"/>
      <c r="M459" s="448">
        <f>ROUND((($I$357*$A$247*(($H$9/1000)/$A$247)*$H$11)/$B$355),2)</f>
        <v>0</v>
      </c>
      <c r="O459" s="640"/>
      <c r="P459" s="640"/>
      <c r="Q459" s="640"/>
      <c r="R459" s="640"/>
      <c r="S459" s="640"/>
      <c r="T459" s="640"/>
      <c r="U459" s="640"/>
      <c r="V459" s="640"/>
      <c r="W459" s="421"/>
    </row>
    <row r="460" spans="1:23" ht="17.100000000000001" customHeight="1">
      <c r="A460" s="1435"/>
      <c r="B460" s="637" t="str">
        <f t="shared" si="175"/>
        <v>3구간</v>
      </c>
      <c r="C460" s="623">
        <f t="shared" si="156"/>
        <v>0</v>
      </c>
      <c r="D460" s="624">
        <f t="shared" si="157"/>
        <v>0</v>
      </c>
      <c r="E460" s="623">
        <f t="shared" si="158"/>
        <v>0</v>
      </c>
      <c r="F460" s="624">
        <f t="shared" si="159"/>
        <v>0</v>
      </c>
      <c r="G460" s="623">
        <f t="shared" si="160"/>
        <v>0</v>
      </c>
      <c r="H460" s="625">
        <f t="shared" si="161"/>
        <v>0</v>
      </c>
      <c r="I460" s="625">
        <f t="shared" si="162"/>
        <v>0</v>
      </c>
      <c r="J460" s="626">
        <f t="shared" si="163"/>
        <v>0</v>
      </c>
      <c r="K460" s="433"/>
      <c r="L460" s="421"/>
      <c r="M460" s="448">
        <f>ROUND((($I$357*$A$247*(($I$9/1000)/$A$247)*$I$11)/$B$355),2)</f>
        <v>0</v>
      </c>
      <c r="O460" s="421"/>
      <c r="P460" s="421"/>
      <c r="Q460" s="421"/>
      <c r="R460" s="421"/>
      <c r="S460" s="421"/>
      <c r="T460" s="421"/>
      <c r="U460" s="421"/>
      <c r="V460" s="421"/>
      <c r="W460" s="421"/>
    </row>
    <row r="461" spans="1:23" ht="17.100000000000001" customHeight="1">
      <c r="A461" s="1435"/>
      <c r="B461" s="622" t="str">
        <f t="shared" si="175"/>
        <v>4구간</v>
      </c>
      <c r="C461" s="623">
        <f t="shared" si="156"/>
        <v>0</v>
      </c>
      <c r="D461" s="624">
        <f t="shared" si="157"/>
        <v>0</v>
      </c>
      <c r="E461" s="623">
        <f t="shared" si="158"/>
        <v>0</v>
      </c>
      <c r="F461" s="624">
        <f t="shared" si="159"/>
        <v>0</v>
      </c>
      <c r="G461" s="623">
        <f t="shared" si="160"/>
        <v>0</v>
      </c>
      <c r="H461" s="625">
        <f t="shared" si="161"/>
        <v>0</v>
      </c>
      <c r="I461" s="625">
        <f t="shared" si="162"/>
        <v>0</v>
      </c>
      <c r="J461" s="626">
        <f t="shared" si="163"/>
        <v>0</v>
      </c>
      <c r="K461" s="433"/>
      <c r="M461" s="448">
        <f>ROUND((($I$357*$A$247*(($J$9/1000)/$A$247)*$J$11)/$B$355),2)</f>
        <v>0</v>
      </c>
      <c r="O461" s="641"/>
      <c r="P461" s="641"/>
      <c r="Q461" s="641"/>
      <c r="R461" s="641"/>
      <c r="S461" s="641"/>
      <c r="T461" s="641"/>
      <c r="U461" s="641"/>
      <c r="V461" s="641"/>
      <c r="W461" s="641"/>
    </row>
    <row r="462" spans="1:23" ht="17.100000000000001" customHeight="1">
      <c r="A462" s="1435"/>
      <c r="B462" s="622" t="str">
        <f t="shared" si="175"/>
        <v>5구간</v>
      </c>
      <c r="C462" s="623">
        <f t="shared" si="156"/>
        <v>0</v>
      </c>
      <c r="D462" s="624">
        <f t="shared" si="157"/>
        <v>0</v>
      </c>
      <c r="E462" s="623">
        <f t="shared" si="158"/>
        <v>0</v>
      </c>
      <c r="F462" s="624">
        <f t="shared" si="159"/>
        <v>0</v>
      </c>
      <c r="G462" s="623">
        <f t="shared" si="160"/>
        <v>0</v>
      </c>
      <c r="H462" s="625">
        <f t="shared" si="161"/>
        <v>0</v>
      </c>
      <c r="I462" s="625">
        <f t="shared" si="162"/>
        <v>0</v>
      </c>
      <c r="J462" s="626">
        <f t="shared" si="163"/>
        <v>0</v>
      </c>
      <c r="K462" s="433"/>
      <c r="M462" s="448">
        <f>ROUND((($I$357*$A$247*(($K$9/1000)/$A$247)*$K$11)/$B$355),2)</f>
        <v>0</v>
      </c>
      <c r="O462" s="421"/>
      <c r="P462" s="421"/>
      <c r="Q462" s="421"/>
      <c r="R462" s="421"/>
      <c r="S462" s="421"/>
      <c r="T462" s="421"/>
      <c r="U462" s="421"/>
      <c r="V462" s="421"/>
      <c r="W462" s="421"/>
    </row>
    <row r="463" spans="1:23" ht="17.100000000000001" customHeight="1">
      <c r="A463" s="1435"/>
      <c r="B463" s="637" t="str">
        <f t="shared" si="175"/>
        <v>6구간</v>
      </c>
      <c r="C463" s="638">
        <f t="shared" si="156"/>
        <v>0</v>
      </c>
      <c r="D463" s="639">
        <f t="shared" si="157"/>
        <v>0</v>
      </c>
      <c r="E463" s="627">
        <f t="shared" si="158"/>
        <v>0</v>
      </c>
      <c r="F463" s="639">
        <f t="shared" si="159"/>
        <v>0</v>
      </c>
      <c r="G463" s="627">
        <f t="shared" si="160"/>
        <v>0</v>
      </c>
      <c r="H463" s="629">
        <f t="shared" si="161"/>
        <v>0</v>
      </c>
      <c r="I463" s="629">
        <f t="shared" si="162"/>
        <v>0</v>
      </c>
      <c r="J463" s="630">
        <f t="shared" si="163"/>
        <v>0</v>
      </c>
      <c r="K463" s="211"/>
      <c r="M463" s="448">
        <f>ROUND((($I$357*$A$247*(($G$14/1000)/$A$247)*$G$16)/$B$355),2)</f>
        <v>0</v>
      </c>
      <c r="N463" s="421"/>
      <c r="O463" s="510"/>
      <c r="P463" s="421"/>
      <c r="Q463" s="421"/>
      <c r="R463" s="421"/>
      <c r="S463" s="421"/>
      <c r="T463" s="421"/>
      <c r="U463" s="421"/>
      <c r="V463" s="421"/>
      <c r="W463" s="421"/>
    </row>
    <row r="464" spans="1:23" ht="17.100000000000001" customHeight="1">
      <c r="A464" s="1435"/>
      <c r="B464" s="622" t="str">
        <f t="shared" si="175"/>
        <v>7구간</v>
      </c>
      <c r="C464" s="623">
        <f t="shared" si="156"/>
        <v>0</v>
      </c>
      <c r="D464" s="624">
        <f t="shared" si="157"/>
        <v>0</v>
      </c>
      <c r="E464" s="623">
        <f t="shared" si="158"/>
        <v>0</v>
      </c>
      <c r="F464" s="624">
        <f t="shared" si="159"/>
        <v>0</v>
      </c>
      <c r="G464" s="623">
        <f t="shared" si="160"/>
        <v>0</v>
      </c>
      <c r="H464" s="625">
        <f t="shared" si="161"/>
        <v>0</v>
      </c>
      <c r="I464" s="625">
        <f t="shared" si="162"/>
        <v>0</v>
      </c>
      <c r="J464" s="626">
        <f t="shared" si="163"/>
        <v>0</v>
      </c>
      <c r="K464" s="433"/>
      <c r="M464" s="448">
        <f>ROUND((($I$357*$A$247*(($H$14/1000)/$A$247)*$H$16)/$B$355),2)</f>
        <v>0</v>
      </c>
      <c r="O464" s="421"/>
      <c r="P464" s="421"/>
      <c r="Q464" s="421"/>
      <c r="R464" s="421"/>
      <c r="S464" s="421"/>
      <c r="T464" s="421"/>
      <c r="U464" s="421"/>
      <c r="V464" s="421"/>
      <c r="W464" s="421"/>
    </row>
    <row r="465" spans="1:23" ht="17.100000000000001" customHeight="1">
      <c r="A465" s="1435"/>
      <c r="B465" s="637" t="str">
        <f t="shared" si="175"/>
        <v>8구간</v>
      </c>
      <c r="C465" s="623">
        <f t="shared" si="156"/>
        <v>0</v>
      </c>
      <c r="D465" s="624">
        <f t="shared" si="157"/>
        <v>0</v>
      </c>
      <c r="E465" s="623">
        <f t="shared" si="158"/>
        <v>0</v>
      </c>
      <c r="F465" s="624">
        <f t="shared" si="159"/>
        <v>0</v>
      </c>
      <c r="G465" s="623">
        <f t="shared" si="160"/>
        <v>0</v>
      </c>
      <c r="H465" s="625">
        <f t="shared" si="161"/>
        <v>0</v>
      </c>
      <c r="I465" s="625">
        <f t="shared" si="162"/>
        <v>0</v>
      </c>
      <c r="J465" s="626">
        <f t="shared" si="163"/>
        <v>0</v>
      </c>
      <c r="K465" s="433"/>
      <c r="L465" s="421"/>
      <c r="M465" s="448">
        <f>ROUND((($I$357*$A$247*(($I$14/1000)/$A$247)*$I$16)/$B$355),2)</f>
        <v>0</v>
      </c>
      <c r="O465" s="421"/>
      <c r="P465" s="421"/>
      <c r="Q465" s="421"/>
      <c r="R465" s="421"/>
      <c r="S465" s="421"/>
      <c r="T465" s="421"/>
      <c r="U465" s="421"/>
      <c r="V465" s="421"/>
      <c r="W465" s="421"/>
    </row>
    <row r="466" spans="1:23" ht="17.100000000000001" customHeight="1">
      <c r="A466" s="1435"/>
      <c r="B466" s="622" t="str">
        <f t="shared" si="175"/>
        <v>9구간</v>
      </c>
      <c r="C466" s="623">
        <f t="shared" si="156"/>
        <v>0</v>
      </c>
      <c r="D466" s="624">
        <f t="shared" si="157"/>
        <v>0</v>
      </c>
      <c r="E466" s="623">
        <f t="shared" si="158"/>
        <v>0</v>
      </c>
      <c r="F466" s="624">
        <f t="shared" si="159"/>
        <v>0</v>
      </c>
      <c r="G466" s="623">
        <f t="shared" si="160"/>
        <v>0</v>
      </c>
      <c r="H466" s="625">
        <f t="shared" si="161"/>
        <v>0</v>
      </c>
      <c r="I466" s="625">
        <f t="shared" si="162"/>
        <v>0</v>
      </c>
      <c r="J466" s="626">
        <f t="shared" si="163"/>
        <v>0</v>
      </c>
      <c r="K466" s="433"/>
      <c r="M466" s="448">
        <f>ROUND((($I$357*$A$247*(($J$14/1000)/$A$247)*$J$16)/$B$355),2)</f>
        <v>0</v>
      </c>
      <c r="O466" s="421"/>
      <c r="P466" s="421"/>
      <c r="Q466" s="421"/>
      <c r="R466" s="421"/>
      <c r="S466" s="421"/>
      <c r="T466" s="421"/>
      <c r="U466" s="421"/>
      <c r="V466" s="421"/>
      <c r="W466" s="421"/>
    </row>
    <row r="467" spans="1:23" ht="17.100000000000001" customHeight="1">
      <c r="A467" s="1435"/>
      <c r="B467" s="448" t="str">
        <f t="shared" si="175"/>
        <v>10구간</v>
      </c>
      <c r="C467" s="631">
        <f t="shared" si="156"/>
        <v>0</v>
      </c>
      <c r="D467" s="632">
        <f t="shared" si="157"/>
        <v>0</v>
      </c>
      <c r="E467" s="631">
        <f t="shared" si="158"/>
        <v>0</v>
      </c>
      <c r="F467" s="632">
        <f t="shared" si="159"/>
        <v>0</v>
      </c>
      <c r="G467" s="631">
        <f t="shared" si="160"/>
        <v>0</v>
      </c>
      <c r="H467" s="633">
        <f t="shared" si="161"/>
        <v>0</v>
      </c>
      <c r="I467" s="633">
        <f t="shared" si="162"/>
        <v>0</v>
      </c>
      <c r="J467" s="634">
        <f t="shared" si="163"/>
        <v>0</v>
      </c>
      <c r="K467" s="433"/>
      <c r="M467" s="448">
        <f>ROUND((($I$357*$A$247*(($K$14/1000)/$A$247)*$K$16)/$B$355),2)</f>
        <v>0</v>
      </c>
      <c r="O467" s="421"/>
      <c r="P467" s="421"/>
      <c r="Q467" s="421"/>
      <c r="R467" s="421"/>
      <c r="S467" s="421"/>
      <c r="T467" s="421"/>
      <c r="U467" s="421"/>
      <c r="V467" s="421"/>
      <c r="W467" s="421"/>
    </row>
    <row r="468" spans="1:23" ht="17.100000000000001" customHeight="1">
      <c r="A468" s="1503"/>
      <c r="B468" s="595" t="s">
        <v>289</v>
      </c>
      <c r="C468" s="635">
        <f t="shared" ref="C468:J468" si="176">SUM(C458:C467)</f>
        <v>23.96</v>
      </c>
      <c r="D468" s="636">
        <f t="shared" si="176"/>
        <v>15.97</v>
      </c>
      <c r="E468" s="635">
        <f t="shared" si="176"/>
        <v>0</v>
      </c>
      <c r="F468" s="636">
        <f t="shared" si="176"/>
        <v>0.39</v>
      </c>
      <c r="G468" s="635">
        <f t="shared" si="176"/>
        <v>6.89</v>
      </c>
      <c r="H468" s="596">
        <f t="shared" si="176"/>
        <v>1.45</v>
      </c>
      <c r="I468" s="596">
        <f t="shared" si="176"/>
        <v>0.16</v>
      </c>
      <c r="J468" s="597">
        <f t="shared" si="176"/>
        <v>0.41</v>
      </c>
      <c r="K468" s="433"/>
      <c r="M468" s="599">
        <f>SUM(M458:M467)</f>
        <v>49.24</v>
      </c>
      <c r="O468" s="421"/>
      <c r="P468" s="421"/>
      <c r="Q468" s="421"/>
      <c r="R468" s="421"/>
      <c r="S468" s="421"/>
      <c r="T468" s="421"/>
      <c r="U468" s="421"/>
      <c r="V468" s="421"/>
      <c r="W468" s="421"/>
    </row>
    <row r="469" spans="1:23" ht="17.100000000000001" customHeight="1">
      <c r="A469" s="1434">
        <v>80</v>
      </c>
      <c r="B469" s="637" t="str">
        <f t="shared" ref="B469:B478" si="177">B458</f>
        <v>1구간</v>
      </c>
      <c r="C469" s="638">
        <f t="shared" si="156"/>
        <v>21.39</v>
      </c>
      <c r="D469" s="639">
        <f t="shared" si="157"/>
        <v>14.26</v>
      </c>
      <c r="E469" s="627">
        <f t="shared" si="158"/>
        <v>0</v>
      </c>
      <c r="F469" s="639">
        <f t="shared" si="159"/>
        <v>0.35</v>
      </c>
      <c r="G469" s="627">
        <f t="shared" si="160"/>
        <v>6.15</v>
      </c>
      <c r="H469" s="629">
        <f t="shared" si="161"/>
        <v>1.3</v>
      </c>
      <c r="I469" s="629">
        <f t="shared" si="162"/>
        <v>0.14000000000000001</v>
      </c>
      <c r="J469" s="630">
        <f t="shared" si="163"/>
        <v>0.37</v>
      </c>
      <c r="K469" s="211"/>
      <c r="M469" s="448">
        <f>ROUND((($J$357*$A$249*(($G$9/1000)/$A$249)*$G$11)/$B$355),2)</f>
        <v>43.96</v>
      </c>
      <c r="O469" s="640"/>
      <c r="P469" s="640"/>
      <c r="Q469" s="640"/>
      <c r="R469" s="640"/>
      <c r="S469" s="640"/>
      <c r="T469" s="640"/>
      <c r="U469" s="640"/>
      <c r="V469" s="640"/>
      <c r="W469" s="421"/>
    </row>
    <row r="470" spans="1:23" ht="17.100000000000001" customHeight="1">
      <c r="A470" s="1435"/>
      <c r="B470" s="622" t="str">
        <f t="shared" si="177"/>
        <v>2구간</v>
      </c>
      <c r="C470" s="623">
        <f t="shared" si="156"/>
        <v>0</v>
      </c>
      <c r="D470" s="624">
        <f t="shared" si="157"/>
        <v>0</v>
      </c>
      <c r="E470" s="623">
        <f t="shared" si="158"/>
        <v>0</v>
      </c>
      <c r="F470" s="624">
        <f t="shared" si="159"/>
        <v>0</v>
      </c>
      <c r="G470" s="623">
        <f t="shared" si="160"/>
        <v>0</v>
      </c>
      <c r="H470" s="625">
        <f t="shared" si="161"/>
        <v>0</v>
      </c>
      <c r="I470" s="625">
        <f t="shared" si="162"/>
        <v>0</v>
      </c>
      <c r="J470" s="626">
        <f t="shared" si="163"/>
        <v>0</v>
      </c>
      <c r="K470" s="433"/>
      <c r="M470" s="448">
        <f>ROUND((($J$357*$A$249*(($H$9/1000)/$A$249)*$H$11)/$B$355),2)</f>
        <v>0</v>
      </c>
      <c r="O470" s="640"/>
      <c r="P470" s="640"/>
      <c r="Q470" s="640"/>
      <c r="R470" s="640"/>
      <c r="S470" s="640"/>
      <c r="T470" s="640"/>
      <c r="U470" s="640"/>
      <c r="V470" s="640"/>
      <c r="W470" s="421"/>
    </row>
    <row r="471" spans="1:23" ht="17.100000000000001" customHeight="1">
      <c r="A471" s="1435"/>
      <c r="B471" s="637" t="str">
        <f t="shared" si="177"/>
        <v>3구간</v>
      </c>
      <c r="C471" s="623">
        <f t="shared" si="156"/>
        <v>0</v>
      </c>
      <c r="D471" s="624">
        <f t="shared" si="157"/>
        <v>0</v>
      </c>
      <c r="E471" s="623">
        <f t="shared" si="158"/>
        <v>0</v>
      </c>
      <c r="F471" s="624">
        <f t="shared" si="159"/>
        <v>0</v>
      </c>
      <c r="G471" s="623">
        <f t="shared" si="160"/>
        <v>0</v>
      </c>
      <c r="H471" s="625">
        <f t="shared" si="161"/>
        <v>0</v>
      </c>
      <c r="I471" s="625">
        <f t="shared" si="162"/>
        <v>0</v>
      </c>
      <c r="J471" s="626">
        <f t="shared" si="163"/>
        <v>0</v>
      </c>
      <c r="K471" s="433"/>
      <c r="M471" s="448">
        <f>ROUND((($J$357*$A$249*(($I$9/1000)/$A$249)*$I$11)/$B$355),2)</f>
        <v>0</v>
      </c>
      <c r="O471" s="421"/>
      <c r="P471" s="421"/>
      <c r="Q471" s="421"/>
      <c r="R471" s="421"/>
      <c r="S471" s="421"/>
      <c r="T471" s="421"/>
      <c r="U471" s="421"/>
      <c r="V471" s="421"/>
      <c r="W471" s="421"/>
    </row>
    <row r="472" spans="1:23" ht="17.100000000000001" customHeight="1">
      <c r="A472" s="1435"/>
      <c r="B472" s="622" t="str">
        <f t="shared" si="177"/>
        <v>4구간</v>
      </c>
      <c r="C472" s="623">
        <f t="shared" si="156"/>
        <v>0</v>
      </c>
      <c r="D472" s="624">
        <f t="shared" si="157"/>
        <v>0</v>
      </c>
      <c r="E472" s="623">
        <f t="shared" si="158"/>
        <v>0</v>
      </c>
      <c r="F472" s="624">
        <f t="shared" si="159"/>
        <v>0</v>
      </c>
      <c r="G472" s="623">
        <f t="shared" si="160"/>
        <v>0</v>
      </c>
      <c r="H472" s="625">
        <f t="shared" si="161"/>
        <v>0</v>
      </c>
      <c r="I472" s="625">
        <f t="shared" si="162"/>
        <v>0</v>
      </c>
      <c r="J472" s="626">
        <f t="shared" si="163"/>
        <v>0</v>
      </c>
      <c r="K472" s="433"/>
      <c r="M472" s="448">
        <f>ROUND((($J$357*$A$249*(($J$9/1000)/$A$249)*$J$11)/$B$355),2)</f>
        <v>0</v>
      </c>
      <c r="O472" s="641"/>
      <c r="P472" s="641"/>
      <c r="Q472" s="641"/>
      <c r="R472" s="641"/>
      <c r="S472" s="641"/>
      <c r="T472" s="641"/>
      <c r="U472" s="641"/>
      <c r="V472" s="641"/>
      <c r="W472" s="641"/>
    </row>
    <row r="473" spans="1:23" ht="17.100000000000001" customHeight="1">
      <c r="A473" s="1435"/>
      <c r="B473" s="622" t="str">
        <f t="shared" si="177"/>
        <v>5구간</v>
      </c>
      <c r="C473" s="623">
        <f t="shared" si="156"/>
        <v>0</v>
      </c>
      <c r="D473" s="624">
        <f t="shared" si="157"/>
        <v>0</v>
      </c>
      <c r="E473" s="623">
        <f t="shared" si="158"/>
        <v>0</v>
      </c>
      <c r="F473" s="624">
        <f t="shared" si="159"/>
        <v>0</v>
      </c>
      <c r="G473" s="623">
        <f t="shared" si="160"/>
        <v>0</v>
      </c>
      <c r="H473" s="625">
        <f t="shared" si="161"/>
        <v>0</v>
      </c>
      <c r="I473" s="625">
        <f t="shared" si="162"/>
        <v>0</v>
      </c>
      <c r="J473" s="626">
        <f t="shared" si="163"/>
        <v>0</v>
      </c>
      <c r="K473" s="433"/>
      <c r="M473" s="448">
        <f>ROUND((($J$357*$A$249*(($K$9/1000)/$A$249)*$K$11)/$B$355),2)</f>
        <v>0</v>
      </c>
      <c r="O473" s="421"/>
      <c r="P473" s="421"/>
      <c r="Q473" s="421"/>
      <c r="R473" s="421"/>
      <c r="S473" s="421"/>
      <c r="T473" s="421"/>
      <c r="U473" s="421"/>
      <c r="V473" s="421"/>
      <c r="W473" s="421"/>
    </row>
    <row r="474" spans="1:23" ht="17.100000000000001" customHeight="1">
      <c r="A474" s="1435"/>
      <c r="B474" s="637" t="str">
        <f t="shared" si="177"/>
        <v>6구간</v>
      </c>
      <c r="C474" s="638">
        <f t="shared" si="156"/>
        <v>0</v>
      </c>
      <c r="D474" s="639">
        <f t="shared" si="157"/>
        <v>0</v>
      </c>
      <c r="E474" s="627">
        <f t="shared" si="158"/>
        <v>0</v>
      </c>
      <c r="F474" s="639">
        <f t="shared" si="159"/>
        <v>0</v>
      </c>
      <c r="G474" s="627">
        <f t="shared" si="160"/>
        <v>0</v>
      </c>
      <c r="H474" s="629">
        <f t="shared" si="161"/>
        <v>0</v>
      </c>
      <c r="I474" s="629">
        <f t="shared" si="162"/>
        <v>0</v>
      </c>
      <c r="J474" s="630">
        <f t="shared" si="163"/>
        <v>0</v>
      </c>
      <c r="K474" s="211"/>
      <c r="M474" s="448">
        <f>ROUND((($J$357*$A$249*(($G$14/1000)/$A$249)*$G$16)/$B$355),2)</f>
        <v>0</v>
      </c>
      <c r="O474" s="510"/>
      <c r="P474" s="421"/>
      <c r="Q474" s="421"/>
      <c r="R474" s="421"/>
      <c r="S474" s="421"/>
      <c r="T474" s="421"/>
      <c r="U474" s="421"/>
      <c r="V474" s="421"/>
      <c r="W474" s="421"/>
    </row>
    <row r="475" spans="1:23" ht="17.100000000000001" customHeight="1">
      <c r="A475" s="1435"/>
      <c r="B475" s="622" t="str">
        <f t="shared" si="177"/>
        <v>7구간</v>
      </c>
      <c r="C475" s="623">
        <f>ROUND($M475*$B$349/100,2)</f>
        <v>0</v>
      </c>
      <c r="D475" s="624">
        <f>ROUND($M475*$C$349/100,2)</f>
        <v>0</v>
      </c>
      <c r="E475" s="623">
        <f>ROUND($M475*$D$349/100,2)</f>
        <v>0</v>
      </c>
      <c r="F475" s="624">
        <f>ROUND($M475*$E$349/100,2)</f>
        <v>0</v>
      </c>
      <c r="G475" s="623">
        <f>ROUND($M475*$F$349/100,2)</f>
        <v>0</v>
      </c>
      <c r="H475" s="625">
        <f>ROUND($M475*$G$349/100,2)</f>
        <v>0</v>
      </c>
      <c r="I475" s="625">
        <f>ROUND($M475*$H$349/100,2)</f>
        <v>0</v>
      </c>
      <c r="J475" s="626">
        <f>ROUND($M475*$I$349/100,2)</f>
        <v>0</v>
      </c>
      <c r="K475" s="433"/>
      <c r="M475" s="448">
        <f>ROUND((($J$357*$A$249*(($H$14/1000)/$A$249)*$H$16)/$B$355),2)</f>
        <v>0</v>
      </c>
      <c r="O475" s="421"/>
      <c r="P475" s="421"/>
      <c r="Q475" s="421"/>
      <c r="R475" s="421"/>
      <c r="S475" s="421"/>
      <c r="T475" s="421"/>
      <c r="U475" s="421"/>
      <c r="V475" s="421"/>
      <c r="W475" s="421"/>
    </row>
    <row r="476" spans="1:23" ht="17.100000000000001" customHeight="1">
      <c r="A476" s="1435"/>
      <c r="B476" s="637" t="str">
        <f t="shared" si="177"/>
        <v>8구간</v>
      </c>
      <c r="C476" s="623">
        <f>ROUND($M476*$B$349/100,2)</f>
        <v>0</v>
      </c>
      <c r="D476" s="624">
        <f>ROUND($M476*$C$349/100,2)</f>
        <v>0</v>
      </c>
      <c r="E476" s="623">
        <f>ROUND($M476*$D$349/100,2)</f>
        <v>0</v>
      </c>
      <c r="F476" s="624">
        <f>ROUND($M476*$E$349/100,2)</f>
        <v>0</v>
      </c>
      <c r="G476" s="623">
        <f>ROUND($M476*$F$349/100,2)</f>
        <v>0</v>
      </c>
      <c r="H476" s="625">
        <f>ROUND($M476*$G$349/100,2)</f>
        <v>0</v>
      </c>
      <c r="I476" s="625">
        <f>ROUND($M476*$H$349/100,2)</f>
        <v>0</v>
      </c>
      <c r="J476" s="626">
        <f>ROUND($M476*$I$349/100,2)</f>
        <v>0</v>
      </c>
      <c r="K476" s="433"/>
      <c r="M476" s="448">
        <f>ROUND((($J$357*$A$249*(($I$14/1000)/$A$249)*$I$16)/$B$355),2)</f>
        <v>0</v>
      </c>
      <c r="O476" s="421"/>
      <c r="P476" s="421"/>
      <c r="Q476" s="421"/>
      <c r="R476" s="421"/>
      <c r="S476" s="421"/>
      <c r="T476" s="421"/>
      <c r="U476" s="421"/>
      <c r="V476" s="421"/>
      <c r="W476" s="421"/>
    </row>
    <row r="477" spans="1:23" ht="17.100000000000001" customHeight="1">
      <c r="A477" s="1435"/>
      <c r="B477" s="622" t="str">
        <f t="shared" si="177"/>
        <v>9구간</v>
      </c>
      <c r="C477" s="623">
        <f>ROUND($M477*$B$349/100,2)</f>
        <v>0</v>
      </c>
      <c r="D477" s="624">
        <f>ROUND($M477*$C$349/100,2)</f>
        <v>0</v>
      </c>
      <c r="E477" s="623">
        <f>ROUND($M477*$D$349/100,2)</f>
        <v>0</v>
      </c>
      <c r="F477" s="624">
        <f>ROUND($M477*$E$349/100,2)</f>
        <v>0</v>
      </c>
      <c r="G477" s="623">
        <f>ROUND($M477*$F$349/100,2)</f>
        <v>0</v>
      </c>
      <c r="H477" s="625">
        <f>ROUND($M477*$G$349/100,2)</f>
        <v>0</v>
      </c>
      <c r="I477" s="625">
        <f>ROUND($M477*$H$349/100,2)</f>
        <v>0</v>
      </c>
      <c r="J477" s="626">
        <f>ROUND($M477*$I$349/100,2)</f>
        <v>0</v>
      </c>
      <c r="K477" s="433"/>
      <c r="M477" s="448">
        <f>ROUND((($J$357*$A$249*(($J$14/1000)/$A$249)*$J$16)/$B$355),2)</f>
        <v>0</v>
      </c>
      <c r="O477" s="421"/>
      <c r="P477" s="421"/>
      <c r="Q477" s="421"/>
      <c r="R477" s="421"/>
      <c r="S477" s="421"/>
      <c r="T477" s="421"/>
      <c r="U477" s="421"/>
      <c r="V477" s="421"/>
      <c r="W477" s="421"/>
    </row>
    <row r="478" spans="1:23" ht="17.100000000000001" customHeight="1">
      <c r="A478" s="1435"/>
      <c r="B478" s="645" t="str">
        <f t="shared" si="177"/>
        <v>10구간</v>
      </c>
      <c r="C478" s="631">
        <f>ROUND($M478*$B$349/100,2)</f>
        <v>0</v>
      </c>
      <c r="D478" s="632">
        <f>ROUND($M478*$C$349/100,2)</f>
        <v>0</v>
      </c>
      <c r="E478" s="631">
        <f>ROUND($M478*$D$349/100,2)</f>
        <v>0</v>
      </c>
      <c r="F478" s="632">
        <f>ROUND($M478*$E$349/100,2)</f>
        <v>0</v>
      </c>
      <c r="G478" s="631">
        <f>ROUND($M478*$F$349/100,2)</f>
        <v>0</v>
      </c>
      <c r="H478" s="633">
        <f>ROUND($M478*$G$349/100,2)</f>
        <v>0</v>
      </c>
      <c r="I478" s="633">
        <f>ROUND($M478*$H$349/100,2)</f>
        <v>0</v>
      </c>
      <c r="J478" s="634">
        <f>ROUND($M478*$I$349/100,2)</f>
        <v>0</v>
      </c>
      <c r="K478" s="433"/>
      <c r="M478" s="448">
        <f>ROUND((($J$357*$A$249*(($K$14/1000)/$A$249)*$K$16)/$B$355),2)</f>
        <v>0</v>
      </c>
      <c r="O478" s="421"/>
      <c r="P478" s="421"/>
      <c r="Q478" s="421"/>
      <c r="R478" s="421"/>
      <c r="S478" s="421"/>
      <c r="T478" s="421"/>
      <c r="U478" s="421"/>
      <c r="V478" s="421"/>
      <c r="W478" s="421"/>
    </row>
    <row r="479" spans="1:23" ht="17.100000000000001" customHeight="1" thickBot="1">
      <c r="A479" s="1506"/>
      <c r="B479" s="608" t="s">
        <v>289</v>
      </c>
      <c r="C479" s="646">
        <f t="shared" ref="C479:J479" si="178">SUM(C469:C478)</f>
        <v>21.39</v>
      </c>
      <c r="D479" s="647">
        <f t="shared" si="178"/>
        <v>14.26</v>
      </c>
      <c r="E479" s="646">
        <f t="shared" si="178"/>
        <v>0</v>
      </c>
      <c r="F479" s="647">
        <f t="shared" si="178"/>
        <v>0.35</v>
      </c>
      <c r="G479" s="646">
        <f t="shared" si="178"/>
        <v>6.15</v>
      </c>
      <c r="H479" s="609">
        <f t="shared" si="178"/>
        <v>1.3</v>
      </c>
      <c r="I479" s="609">
        <f t="shared" si="178"/>
        <v>0.14000000000000001</v>
      </c>
      <c r="J479" s="610">
        <f t="shared" si="178"/>
        <v>0.37</v>
      </c>
      <c r="K479" s="433"/>
      <c r="M479" s="599">
        <f>SUM(M469:M478)</f>
        <v>43.96</v>
      </c>
    </row>
    <row r="480" spans="1:23" ht="17.100000000000001" customHeight="1">
      <c r="A480" s="510"/>
      <c r="B480" s="475"/>
      <c r="C480" s="475"/>
      <c r="D480" s="475"/>
      <c r="E480" s="475"/>
      <c r="F480" s="475"/>
      <c r="G480" s="475"/>
      <c r="H480" s="475"/>
      <c r="I480" s="475"/>
      <c r="J480" s="475"/>
      <c r="K480" s="433"/>
    </row>
    <row r="481" spans="1:11" ht="17.100000000000001" customHeight="1">
      <c r="A481" s="510"/>
      <c r="B481" s="475"/>
      <c r="C481" s="475"/>
      <c r="D481" s="475"/>
      <c r="E481" s="475"/>
      <c r="F481" s="475"/>
      <c r="G481" s="475"/>
      <c r="H481" s="475"/>
      <c r="I481" s="475"/>
      <c r="J481" s="475"/>
      <c r="K481" s="433"/>
    </row>
    <row r="482" spans="1:11" ht="17.100000000000001" customHeight="1">
      <c r="A482" s="200" t="s">
        <v>281</v>
      </c>
      <c r="B482" s="475"/>
      <c r="C482" s="430"/>
      <c r="D482" s="430"/>
      <c r="E482" s="430"/>
      <c r="F482" s="430"/>
      <c r="G482" s="430"/>
      <c r="H482" s="430"/>
      <c r="I482" s="430"/>
      <c r="J482" s="430"/>
    </row>
    <row r="483" spans="1:11" ht="17.100000000000001" customHeight="1" thickBot="1">
      <c r="A483" s="475"/>
      <c r="B483" s="475"/>
      <c r="C483" s="648"/>
      <c r="D483" s="648"/>
      <c r="E483" s="430"/>
      <c r="F483" s="430"/>
      <c r="G483" s="430"/>
      <c r="H483" s="430"/>
      <c r="I483" s="430"/>
      <c r="J483" s="430"/>
    </row>
    <row r="484" spans="1:11" s="649" customFormat="1" ht="17.100000000000001" customHeight="1">
      <c r="A484" s="205" t="s">
        <v>282</v>
      </c>
      <c r="B484" s="206" t="s">
        <v>283</v>
      </c>
      <c r="C484" s="225" t="s">
        <v>284</v>
      </c>
      <c r="D484" s="206" t="s">
        <v>304</v>
      </c>
      <c r="E484" s="207" t="s">
        <v>285</v>
      </c>
    </row>
    <row r="485" spans="1:11" s="649" customFormat="1" ht="17.100000000000001" customHeight="1">
      <c r="A485" s="209">
        <v>0</v>
      </c>
      <c r="B485" s="210">
        <v>10</v>
      </c>
      <c r="C485" s="221">
        <v>101.3</v>
      </c>
      <c r="D485" s="210">
        <v>1</v>
      </c>
      <c r="E485" s="227">
        <f>B485*C485*D485/10000</f>
        <v>0.1013</v>
      </c>
    </row>
    <row r="486" spans="1:11" s="649" customFormat="1" ht="17.100000000000001" customHeight="1">
      <c r="A486" s="222">
        <v>1</v>
      </c>
      <c r="B486" s="223">
        <v>10</v>
      </c>
      <c r="C486" s="224">
        <v>101.3</v>
      </c>
      <c r="D486" s="223">
        <v>1</v>
      </c>
      <c r="E486" s="228">
        <f>B486*C486*D486/10000</f>
        <v>0.1013</v>
      </c>
    </row>
    <row r="487" spans="1:11" s="649" customFormat="1" ht="17.100000000000001" customHeight="1">
      <c r="A487" s="222">
        <v>2</v>
      </c>
      <c r="B487" s="223">
        <v>10</v>
      </c>
      <c r="C487" s="224">
        <v>101.3</v>
      </c>
      <c r="D487" s="223">
        <v>1</v>
      </c>
      <c r="E487" s="228">
        <f>B487*C487*D487/10000</f>
        <v>0.1013</v>
      </c>
    </row>
    <row r="488" spans="1:11" s="649" customFormat="1" ht="17.100000000000001" customHeight="1">
      <c r="A488" s="222">
        <v>3</v>
      </c>
      <c r="B488" s="223">
        <v>10</v>
      </c>
      <c r="C488" s="224">
        <v>101.3</v>
      </c>
      <c r="D488" s="223">
        <v>1</v>
      </c>
      <c r="E488" s="228">
        <f>B488*C488*D488/10000</f>
        <v>0.1013</v>
      </c>
    </row>
    <row r="489" spans="1:11" s="649" customFormat="1" ht="17.100000000000001" customHeight="1">
      <c r="A489" s="222">
        <v>4</v>
      </c>
      <c r="B489" s="223">
        <v>10</v>
      </c>
      <c r="C489" s="224">
        <v>101.3</v>
      </c>
      <c r="D489" s="223">
        <v>1</v>
      </c>
      <c r="E489" s="228">
        <f>B489*C489*D489/10000</f>
        <v>0.1013</v>
      </c>
    </row>
    <row r="490" spans="1:11" s="649" customFormat="1" ht="17.100000000000001" customHeight="1">
      <c r="A490" s="222">
        <v>5</v>
      </c>
      <c r="B490" s="375">
        <v>7.5</v>
      </c>
      <c r="C490" s="376">
        <v>101.3</v>
      </c>
      <c r="D490" s="375">
        <v>1</v>
      </c>
      <c r="E490" s="378">
        <f t="shared" ref="E490:E499" si="179">ROUNDUP(B490*C490*D490/10000,4)</f>
        <v>7.5999999999999998E-2</v>
      </c>
    </row>
    <row r="491" spans="1:11" s="649" customFormat="1" ht="17.100000000000001" customHeight="1">
      <c r="A491" s="222">
        <v>6</v>
      </c>
      <c r="B491" s="375">
        <v>7.5</v>
      </c>
      <c r="C491" s="376">
        <v>101.3</v>
      </c>
      <c r="D491" s="375">
        <v>1</v>
      </c>
      <c r="E491" s="378">
        <f t="shared" si="179"/>
        <v>7.5999999999999998E-2</v>
      </c>
      <c r="G491" s="649" t="s">
        <v>286</v>
      </c>
    </row>
    <row r="492" spans="1:11" s="649" customFormat="1" ht="17.100000000000001" customHeight="1">
      <c r="A492" s="222">
        <v>7</v>
      </c>
      <c r="B492" s="375">
        <v>7.5</v>
      </c>
      <c r="C492" s="376">
        <v>101.3</v>
      </c>
      <c r="D492" s="375">
        <v>1</v>
      </c>
      <c r="E492" s="378">
        <f t="shared" si="179"/>
        <v>7.5999999999999998E-2</v>
      </c>
      <c r="J492" s="650"/>
    </row>
    <row r="493" spans="1:11" s="649" customFormat="1" ht="17.100000000000001" customHeight="1">
      <c r="A493" s="222">
        <v>8</v>
      </c>
      <c r="B493" s="375">
        <v>7.5</v>
      </c>
      <c r="C493" s="376">
        <v>101.3</v>
      </c>
      <c r="D493" s="375">
        <v>1</v>
      </c>
      <c r="E493" s="378">
        <f t="shared" si="179"/>
        <v>7.5999999999999998E-2</v>
      </c>
    </row>
    <row r="494" spans="1:11" s="649" customFormat="1" ht="17.100000000000001" customHeight="1">
      <c r="A494" s="222">
        <v>9</v>
      </c>
      <c r="B494" s="375">
        <v>7.5</v>
      </c>
      <c r="C494" s="376">
        <v>101.3</v>
      </c>
      <c r="D494" s="375">
        <v>1</v>
      </c>
      <c r="E494" s="378">
        <f t="shared" si="179"/>
        <v>7.5999999999999998E-2</v>
      </c>
    </row>
    <row r="495" spans="1:11" s="649" customFormat="1" ht="17.100000000000001" customHeight="1">
      <c r="A495" s="222">
        <v>10</v>
      </c>
      <c r="B495" s="375">
        <v>2.5</v>
      </c>
      <c r="C495" s="376">
        <v>97.4</v>
      </c>
      <c r="D495" s="375">
        <v>1</v>
      </c>
      <c r="E495" s="378">
        <f t="shared" si="179"/>
        <v>2.4399999999999998E-2</v>
      </c>
    </row>
    <row r="496" spans="1:11" s="649" customFormat="1" ht="17.100000000000001" customHeight="1">
      <c r="A496" s="222">
        <v>11</v>
      </c>
      <c r="B496" s="375">
        <v>2.5</v>
      </c>
      <c r="C496" s="376">
        <v>97.4</v>
      </c>
      <c r="D496" s="375">
        <v>1</v>
      </c>
      <c r="E496" s="378">
        <f t="shared" si="179"/>
        <v>2.4399999999999998E-2</v>
      </c>
    </row>
    <row r="497" spans="1:11" s="649" customFormat="1" ht="17.100000000000001" customHeight="1">
      <c r="A497" s="222">
        <v>12</v>
      </c>
      <c r="B497" s="375">
        <v>2.5</v>
      </c>
      <c r="C497" s="376">
        <v>97.4</v>
      </c>
      <c r="D497" s="375">
        <v>1</v>
      </c>
      <c r="E497" s="378">
        <f t="shared" si="179"/>
        <v>2.4399999999999998E-2</v>
      </c>
      <c r="H497" s="651"/>
    </row>
    <row r="498" spans="1:11" s="649" customFormat="1" ht="17.100000000000001" customHeight="1">
      <c r="A498" s="222">
        <v>13</v>
      </c>
      <c r="B498" s="375">
        <v>2.5</v>
      </c>
      <c r="C498" s="376">
        <v>97.4</v>
      </c>
      <c r="D498" s="375">
        <v>1</v>
      </c>
      <c r="E498" s="378">
        <f t="shared" si="179"/>
        <v>2.4399999999999998E-2</v>
      </c>
      <c r="H498" s="651"/>
    </row>
    <row r="499" spans="1:11" s="649" customFormat="1" ht="17.100000000000001" customHeight="1">
      <c r="A499" s="230">
        <v>14</v>
      </c>
      <c r="B499" s="377">
        <v>2.5</v>
      </c>
      <c r="C499" s="379">
        <v>97.4</v>
      </c>
      <c r="D499" s="377">
        <v>1</v>
      </c>
      <c r="E499" s="388">
        <f t="shared" si="179"/>
        <v>2.4399999999999998E-2</v>
      </c>
    </row>
    <row r="500" spans="1:11" s="649" customFormat="1" ht="17.100000000000001" customHeight="1" thickBot="1">
      <c r="A500" s="1493" t="s">
        <v>289</v>
      </c>
      <c r="B500" s="1494"/>
      <c r="C500" s="1494"/>
      <c r="D500" s="1495"/>
      <c r="E500" s="231">
        <f>SUM(E485:E499)</f>
        <v>1.0084999999999997</v>
      </c>
    </row>
    <row r="501" spans="1:11" s="649" customFormat="1" ht="17.100000000000001" customHeight="1">
      <c r="A501" s="202"/>
      <c r="B501" s="203"/>
      <c r="C501" s="203"/>
      <c r="D501" s="204"/>
      <c r="E501" s="202"/>
      <c r="G501" s="204"/>
      <c r="H501" s="204"/>
      <c r="I501" s="201"/>
    </row>
    <row r="502" spans="1:11" s="649" customFormat="1" ht="17.100000000000001" customHeight="1">
      <c r="A502" s="202"/>
      <c r="B502" s="203"/>
      <c r="C502" s="203"/>
      <c r="D502" s="204"/>
      <c r="E502" s="202"/>
      <c r="G502" s="204"/>
      <c r="H502" s="204"/>
      <c r="I502" s="201"/>
    </row>
    <row r="503" spans="1:11" ht="17.100000000000001" customHeight="1" thickBot="1">
      <c r="A503" s="200" t="s">
        <v>295</v>
      </c>
      <c r="B503" s="475"/>
      <c r="C503" s="430"/>
      <c r="D503" s="430"/>
      <c r="E503" s="430"/>
      <c r="F503" s="430"/>
      <c r="G503" s="430"/>
      <c r="H503" s="430"/>
      <c r="I503" s="430"/>
      <c r="J503" s="430"/>
    </row>
    <row r="504" spans="1:11" ht="17.100000000000001" customHeight="1">
      <c r="A504" s="1504" t="s">
        <v>288</v>
      </c>
      <c r="B504" s="1468"/>
      <c r="C504" s="567">
        <v>10</v>
      </c>
      <c r="D504" s="652">
        <v>20</v>
      </c>
      <c r="E504" s="652">
        <v>30</v>
      </c>
      <c r="F504" s="652">
        <v>40</v>
      </c>
      <c r="G504" s="652">
        <v>50</v>
      </c>
      <c r="H504" s="652">
        <v>60</v>
      </c>
      <c r="I504" s="652">
        <v>70</v>
      </c>
      <c r="J504" s="653">
        <v>80</v>
      </c>
    </row>
    <row r="505" spans="1:11" ht="17.100000000000001" customHeight="1">
      <c r="A505" s="1428" t="s">
        <v>451</v>
      </c>
      <c r="B505" s="1429"/>
      <c r="C505" s="654">
        <v>0.9</v>
      </c>
      <c r="D505" s="595">
        <v>1.8</v>
      </c>
      <c r="E505" s="595">
        <v>2.6</v>
      </c>
      <c r="F505" s="595">
        <v>3.6</v>
      </c>
      <c r="G505" s="595">
        <v>4.4000000000000004</v>
      </c>
      <c r="H505" s="595">
        <v>5.4</v>
      </c>
      <c r="I505" s="595">
        <v>6.2</v>
      </c>
      <c r="J505" s="655">
        <v>7.2</v>
      </c>
    </row>
    <row r="506" spans="1:11" ht="17.100000000000001" customHeight="1" thickBot="1">
      <c r="A506" s="1430" t="s">
        <v>452</v>
      </c>
      <c r="B506" s="1431"/>
      <c r="C506" s="656">
        <v>4.5</v>
      </c>
      <c r="D506" s="608">
        <v>9.1</v>
      </c>
      <c r="E506" s="608">
        <v>13.7</v>
      </c>
      <c r="F506" s="608">
        <v>18.2</v>
      </c>
      <c r="G506" s="608">
        <v>22.8</v>
      </c>
      <c r="H506" s="608">
        <v>27.3</v>
      </c>
      <c r="I506" s="608">
        <v>31.9</v>
      </c>
      <c r="J506" s="657">
        <v>36.5</v>
      </c>
    </row>
    <row r="507" spans="1:11">
      <c r="A507" s="475"/>
      <c r="B507" s="475"/>
      <c r="C507" s="433"/>
      <c r="D507" s="433"/>
      <c r="E507" s="433"/>
      <c r="F507" s="433"/>
      <c r="G507" s="433"/>
      <c r="H507" s="433"/>
      <c r="I507" s="433"/>
      <c r="J507" s="433"/>
    </row>
    <row r="508" spans="1:11">
      <c r="A508" s="475"/>
      <c r="B508" s="475"/>
      <c r="C508" s="433"/>
      <c r="D508" s="433"/>
      <c r="E508" s="433"/>
      <c r="F508" s="433"/>
      <c r="G508" s="433"/>
      <c r="H508" s="433"/>
      <c r="I508" s="433"/>
      <c r="J508" s="433"/>
    </row>
    <row r="509" spans="1:11" ht="17.25" customHeight="1">
      <c r="A509" s="92" t="s">
        <v>453</v>
      </c>
      <c r="C509" s="421"/>
      <c r="D509" s="421"/>
      <c r="F509" s="212"/>
    </row>
    <row r="510" spans="1:11" ht="17.25" customHeight="1" thickBot="1">
      <c r="A510" s="1308" t="str">
        <f>E6</f>
        <v>진주</v>
      </c>
      <c r="B510" s="1309" t="str">
        <f>C6</f>
        <v>방향</v>
      </c>
      <c r="C510" s="421"/>
      <c r="D510" s="421"/>
      <c r="F510" s="212"/>
    </row>
    <row r="511" spans="1:11" ht="17.45" customHeight="1">
      <c r="A511" s="1449" t="str">
        <f>E6</f>
        <v>진주</v>
      </c>
      <c r="B511" s="1478" t="s">
        <v>290</v>
      </c>
      <c r="C511" s="1451" t="s">
        <v>276</v>
      </c>
      <c r="D511" s="1453"/>
      <c r="E511" s="1466" t="s">
        <v>300</v>
      </c>
      <c r="F511" s="1468"/>
      <c r="G511" s="1451" t="s">
        <v>301</v>
      </c>
      <c r="H511" s="1452"/>
      <c r="I511" s="1452"/>
      <c r="J511" s="1453"/>
      <c r="K511" s="1459" t="s">
        <v>72</v>
      </c>
    </row>
    <row r="512" spans="1:11" ht="17.45" customHeight="1">
      <c r="A512" s="1436"/>
      <c r="B512" s="1479"/>
      <c r="C512" s="660" t="s">
        <v>268</v>
      </c>
      <c r="D512" s="1255" t="s">
        <v>269</v>
      </c>
      <c r="E512" s="1256" t="s">
        <v>19</v>
      </c>
      <c r="F512" s="661" t="s">
        <v>20</v>
      </c>
      <c r="G512" s="1256" t="s">
        <v>19</v>
      </c>
      <c r="H512" s="661" t="s">
        <v>21</v>
      </c>
      <c r="I512" s="661" t="s">
        <v>20</v>
      </c>
      <c r="J512" s="662" t="s">
        <v>22</v>
      </c>
      <c r="K512" s="1460"/>
    </row>
    <row r="513" spans="1:12" ht="17.45" customHeight="1">
      <c r="A513" s="1254" t="s">
        <v>324</v>
      </c>
      <c r="B513" s="1498"/>
      <c r="C513" s="663">
        <f>F93</f>
        <v>0</v>
      </c>
      <c r="D513" s="1257">
        <f>F94</f>
        <v>0.87119999999999997</v>
      </c>
      <c r="E513" s="664">
        <f>F95</f>
        <v>0.87119999999999997</v>
      </c>
      <c r="F513" s="451">
        <f>F98</f>
        <v>7.7916999999999996</v>
      </c>
      <c r="G513" s="664">
        <f>F96</f>
        <v>0.87119999999999997</v>
      </c>
      <c r="H513" s="402">
        <f>F97</f>
        <v>3.8269000000000002</v>
      </c>
      <c r="I513" s="402">
        <f>F99</f>
        <v>8.6190999999999995</v>
      </c>
      <c r="J513" s="1255">
        <f>F100</f>
        <v>11.1532</v>
      </c>
      <c r="K513" s="1461"/>
    </row>
    <row r="514" spans="1:12" ht="17.45" customHeight="1">
      <c r="A514" s="1434">
        <v>10</v>
      </c>
      <c r="B514" s="665" t="s">
        <v>291</v>
      </c>
      <c r="C514" s="850">
        <f>ROUND((((C$513*$C$111*B$203+$C$505)*$E$500)*$C255),2)</f>
        <v>46.78</v>
      </c>
      <c r="D514" s="851">
        <f>ROUND((((D$513*$C134*B$203+$C$505)*$E$500)*$D255),2)</f>
        <v>50.88</v>
      </c>
      <c r="E514" s="840">
        <f>ROUND((((E$513*$C157*B$203+$C$505)*$E$500)*$E255),2)</f>
        <v>0</v>
      </c>
      <c r="F514" s="851">
        <f>ROUND((((F$513*$C$180*B$203+$C$506)*$E$500)*$F255),2)</f>
        <v>7.99</v>
      </c>
      <c r="G514" s="840">
        <f>ROUND((((G$513*$C$157*B$203+$C$505)*$E$500)*$G255),2)</f>
        <v>21.53</v>
      </c>
      <c r="H514" s="842">
        <f>ROUND((((H$513*$C$180*B$203+$C$506)*$E$500)*$H255),2)</f>
        <v>21.68</v>
      </c>
      <c r="I514" s="842">
        <f>ROUND((((I$513*$C$180*B$203+$C$506)*$E$500)*$I255),2)</f>
        <v>3.37</v>
      </c>
      <c r="J514" s="851">
        <f>ROUND((((J$513*$C$180*B$203+$C$506)*$E$500)*$J255),2)</f>
        <v>10.24</v>
      </c>
      <c r="K514" s="668">
        <f t="shared" ref="K514:K588" si="180">SUM(C514:J514)</f>
        <v>162.47</v>
      </c>
    </row>
    <row r="515" spans="1:12" ht="17.45" customHeight="1">
      <c r="A515" s="1435"/>
      <c r="B515" s="669" t="s">
        <v>292</v>
      </c>
      <c r="C515" s="831">
        <f>ROUND((((C$513*$C$112*C$203+$C$505)*$E$500)*$C256),2)</f>
        <v>0</v>
      </c>
      <c r="D515" s="852">
        <f t="shared" ref="D515:D523" si="181">ROUND((((D$513*$C135*B$203+$C$505)*$E$500)*$D256),2)</f>
        <v>0</v>
      </c>
      <c r="E515" s="831">
        <f t="shared" ref="E515:E523" si="182">ROUND((((E$513*$C158*B$203+$C$505)*$E$500)*$E256),2)</f>
        <v>0</v>
      </c>
      <c r="F515" s="852">
        <f t="shared" ref="F515:F523" si="183">ROUND((((F$513*$C$180*B$203+$C$506)*$E$500)*$F256),2)</f>
        <v>0</v>
      </c>
      <c r="G515" s="831">
        <f t="shared" ref="G515:G523" si="184">ROUND((((G$513*$C$157*B$203+$C$505)*$E$500)*$G256),2)</f>
        <v>0</v>
      </c>
      <c r="H515" s="833">
        <f t="shared" ref="H515:H523" si="185">ROUND((((H$513*$C$180*B$203+$C$506)*$E$500)*$H256),2)</f>
        <v>0</v>
      </c>
      <c r="I515" s="833">
        <f t="shared" ref="I515:I523" si="186">ROUND((((I$513*$C$180*B$203+$C$506)*$E$500)*$I256),2)</f>
        <v>0</v>
      </c>
      <c r="J515" s="852">
        <f t="shared" ref="J515:J523" si="187">ROUND((((J$513*$C$180*B$203+$C$506)*$E$500)*$J256),2)</f>
        <v>0</v>
      </c>
      <c r="K515" s="673">
        <f t="shared" si="180"/>
        <v>0</v>
      </c>
    </row>
    <row r="516" spans="1:12" ht="17.45" customHeight="1">
      <c r="A516" s="1435"/>
      <c r="B516" s="669" t="s">
        <v>297</v>
      </c>
      <c r="C516" s="831">
        <f>ROUND((((C$513*$C$113*D$203+$C$505)*$E$500)*$C257),2)</f>
        <v>0</v>
      </c>
      <c r="D516" s="852">
        <f>ROUND((((D$513*$C136*B$203+$C$505)*$E$500)*$D257),2)</f>
        <v>0</v>
      </c>
      <c r="E516" s="831">
        <f t="shared" si="182"/>
        <v>0</v>
      </c>
      <c r="F516" s="852">
        <f t="shared" si="183"/>
        <v>0</v>
      </c>
      <c r="G516" s="831">
        <f t="shared" si="184"/>
        <v>0</v>
      </c>
      <c r="H516" s="833">
        <f t="shared" si="185"/>
        <v>0</v>
      </c>
      <c r="I516" s="833">
        <f t="shared" si="186"/>
        <v>0</v>
      </c>
      <c r="J516" s="852">
        <f t="shared" si="187"/>
        <v>0</v>
      </c>
      <c r="K516" s="674">
        <f t="shared" si="180"/>
        <v>0</v>
      </c>
    </row>
    <row r="517" spans="1:12" ht="17.45" customHeight="1">
      <c r="A517" s="1435"/>
      <c r="B517" s="669" t="s">
        <v>298</v>
      </c>
      <c r="C517" s="670">
        <f>ROUND((((C$513*$C$114*E$203+$C$505)*$E$500)*$C258),2)</f>
        <v>0</v>
      </c>
      <c r="D517" s="671">
        <f t="shared" si="181"/>
        <v>0</v>
      </c>
      <c r="E517" s="670">
        <f t="shared" si="182"/>
        <v>0</v>
      </c>
      <c r="F517" s="671">
        <f t="shared" si="183"/>
        <v>0</v>
      </c>
      <c r="G517" s="670">
        <f t="shared" si="184"/>
        <v>0</v>
      </c>
      <c r="H517" s="672">
        <f t="shared" si="185"/>
        <v>0</v>
      </c>
      <c r="I517" s="672">
        <f t="shared" si="186"/>
        <v>0</v>
      </c>
      <c r="J517" s="671">
        <f t="shared" si="187"/>
        <v>0</v>
      </c>
      <c r="K517" s="674">
        <f t="shared" si="180"/>
        <v>0</v>
      </c>
    </row>
    <row r="518" spans="1:12" ht="17.45" customHeight="1">
      <c r="A518" s="1435"/>
      <c r="B518" s="669" t="s">
        <v>299</v>
      </c>
      <c r="C518" s="670">
        <f>ROUND((((C$513*$C$115*F$203+$C$505)*$E$500)*$C259),2)</f>
        <v>0</v>
      </c>
      <c r="D518" s="671">
        <f t="shared" si="181"/>
        <v>0</v>
      </c>
      <c r="E518" s="670">
        <f t="shared" si="182"/>
        <v>0</v>
      </c>
      <c r="F518" s="671">
        <f t="shared" si="183"/>
        <v>0</v>
      </c>
      <c r="G518" s="670">
        <f t="shared" si="184"/>
        <v>0</v>
      </c>
      <c r="H518" s="672">
        <f t="shared" si="185"/>
        <v>0</v>
      </c>
      <c r="I518" s="672">
        <f t="shared" si="186"/>
        <v>0</v>
      </c>
      <c r="J518" s="671">
        <f t="shared" si="187"/>
        <v>0</v>
      </c>
      <c r="K518" s="675">
        <f t="shared" si="180"/>
        <v>0</v>
      </c>
    </row>
    <row r="519" spans="1:12" ht="17.45" customHeight="1">
      <c r="A519" s="1435"/>
      <c r="B519" s="676" t="s">
        <v>345</v>
      </c>
      <c r="C519" s="677">
        <f>ROUND((((C$513*$C$116*G$203+$C$505)*$E$500)*$C260),2)</f>
        <v>0</v>
      </c>
      <c r="D519" s="678">
        <f t="shared" si="181"/>
        <v>0</v>
      </c>
      <c r="E519" s="677">
        <f t="shared" si="182"/>
        <v>0</v>
      </c>
      <c r="F519" s="678">
        <f t="shared" si="183"/>
        <v>0</v>
      </c>
      <c r="G519" s="677">
        <f t="shared" si="184"/>
        <v>0</v>
      </c>
      <c r="H519" s="679">
        <f t="shared" si="185"/>
        <v>0</v>
      </c>
      <c r="I519" s="679">
        <f t="shared" si="186"/>
        <v>0</v>
      </c>
      <c r="J519" s="678">
        <f t="shared" si="187"/>
        <v>0</v>
      </c>
      <c r="K519" s="673">
        <f>SUM(C519:J519)</f>
        <v>0</v>
      </c>
    </row>
    <row r="520" spans="1:12" ht="17.45" customHeight="1">
      <c r="A520" s="1435"/>
      <c r="B520" s="669" t="s">
        <v>346</v>
      </c>
      <c r="C520" s="670">
        <f>ROUND((((C$513*$C$117*H$203+$C$505)*$E$500)*$C261),2)</f>
        <v>0</v>
      </c>
      <c r="D520" s="671">
        <f t="shared" si="181"/>
        <v>0</v>
      </c>
      <c r="E520" s="670">
        <f t="shared" si="182"/>
        <v>0</v>
      </c>
      <c r="F520" s="671">
        <f t="shared" si="183"/>
        <v>0</v>
      </c>
      <c r="G520" s="670">
        <f t="shared" si="184"/>
        <v>0</v>
      </c>
      <c r="H520" s="672">
        <f t="shared" si="185"/>
        <v>0</v>
      </c>
      <c r="I520" s="672">
        <f t="shared" si="186"/>
        <v>0</v>
      </c>
      <c r="J520" s="671">
        <f t="shared" si="187"/>
        <v>0</v>
      </c>
      <c r="K520" s="673">
        <f>SUM(C520:J520)</f>
        <v>0</v>
      </c>
    </row>
    <row r="521" spans="1:12" ht="17.45" customHeight="1">
      <c r="A521" s="1435"/>
      <c r="B521" s="669" t="s">
        <v>347</v>
      </c>
      <c r="C521" s="670">
        <f>ROUND((((C$513*$C$118*I$203+$C$505)*$E$500)*$C262),2)</f>
        <v>0</v>
      </c>
      <c r="D521" s="671">
        <f t="shared" si="181"/>
        <v>0</v>
      </c>
      <c r="E521" s="670">
        <f t="shared" si="182"/>
        <v>0</v>
      </c>
      <c r="F521" s="671">
        <f t="shared" si="183"/>
        <v>0</v>
      </c>
      <c r="G521" s="670">
        <f t="shared" si="184"/>
        <v>0</v>
      </c>
      <c r="H521" s="672">
        <f t="shared" si="185"/>
        <v>0</v>
      </c>
      <c r="I521" s="672">
        <f t="shared" si="186"/>
        <v>0</v>
      </c>
      <c r="J521" s="671">
        <f t="shared" si="187"/>
        <v>0</v>
      </c>
      <c r="K521" s="674">
        <f>SUM(C521:J521)</f>
        <v>0</v>
      </c>
    </row>
    <row r="522" spans="1:12" ht="17.45" customHeight="1">
      <c r="A522" s="1435"/>
      <c r="B522" s="669" t="s">
        <v>348</v>
      </c>
      <c r="C522" s="670">
        <f>ROUND((((C$513*$C$119*J$203+$C$505)*$E$500)*$C263),2)</f>
        <v>0</v>
      </c>
      <c r="D522" s="671">
        <f t="shared" si="181"/>
        <v>0</v>
      </c>
      <c r="E522" s="670">
        <f t="shared" si="182"/>
        <v>0</v>
      </c>
      <c r="F522" s="671">
        <f t="shared" si="183"/>
        <v>0</v>
      </c>
      <c r="G522" s="670">
        <f t="shared" si="184"/>
        <v>0</v>
      </c>
      <c r="H522" s="672">
        <f t="shared" si="185"/>
        <v>0</v>
      </c>
      <c r="I522" s="672">
        <f t="shared" si="186"/>
        <v>0</v>
      </c>
      <c r="J522" s="671">
        <f t="shared" si="187"/>
        <v>0</v>
      </c>
      <c r="K522" s="674">
        <f>SUM(C522:J522)</f>
        <v>0</v>
      </c>
    </row>
    <row r="523" spans="1:12" ht="17.45" customHeight="1">
      <c r="A523" s="1436"/>
      <c r="B523" s="680" t="s">
        <v>349</v>
      </c>
      <c r="C523" s="677">
        <f>ROUND((((C$513*$C$120*K$203+$C$505)*$E$500)*$C264),2)</f>
        <v>0</v>
      </c>
      <c r="D523" s="678">
        <f t="shared" si="181"/>
        <v>0</v>
      </c>
      <c r="E523" s="677">
        <f t="shared" si="182"/>
        <v>0</v>
      </c>
      <c r="F523" s="678">
        <f t="shared" si="183"/>
        <v>0</v>
      </c>
      <c r="G523" s="677">
        <f t="shared" si="184"/>
        <v>0</v>
      </c>
      <c r="H523" s="679">
        <f t="shared" si="185"/>
        <v>0</v>
      </c>
      <c r="I523" s="679">
        <f t="shared" si="186"/>
        <v>0</v>
      </c>
      <c r="J523" s="678">
        <f t="shared" si="187"/>
        <v>0</v>
      </c>
      <c r="K523" s="674">
        <f>SUM(C523:J523)</f>
        <v>0</v>
      </c>
    </row>
    <row r="524" spans="1:12" ht="17.45" customHeight="1">
      <c r="A524" s="1434">
        <v>20</v>
      </c>
      <c r="B524" s="676" t="str">
        <f t="shared" ref="B524:B555" si="188">B514</f>
        <v>1구간</v>
      </c>
      <c r="C524" s="840">
        <f>ROUND((((C$513*$D111*B$203+$D$505)*$E$500)*$C266),2)</f>
        <v>67.819999999999993</v>
      </c>
      <c r="D524" s="851">
        <f>ROUND((((D$513*$D134*B$203+$D$505)*$E$500)*$D266),2)</f>
        <v>62.36</v>
      </c>
      <c r="E524" s="840">
        <f>ROUND((((E$513*$D157*B$203+$D$505)*$E$500)*$E266),2)</f>
        <v>0</v>
      </c>
      <c r="F524" s="851">
        <f>ROUND((((F$513*$D180*B$203+$D$506)*$E$500)*$F266),2)</f>
        <v>9.3699999999999992</v>
      </c>
      <c r="G524" s="840">
        <f>ROUND((((G$513*$D157*B$203+$D$505)*$E$500)*$G266),2)</f>
        <v>26.94</v>
      </c>
      <c r="H524" s="842">
        <f>ROUND((((H$513*$D180*B$203+$D$506)*$E$500)*$H266),2)</f>
        <v>27.72</v>
      </c>
      <c r="I524" s="842">
        <f>ROUND((((I$513*$D180*B$203+$D$506)*$E$500)*$I266),2)</f>
        <v>4</v>
      </c>
      <c r="J524" s="851">
        <f>ROUND((((J$513*$D180*B$203+$D$506)*$E$500)*$J266),2)</f>
        <v>11.71</v>
      </c>
      <c r="K524" s="681">
        <f t="shared" si="180"/>
        <v>209.92000000000002</v>
      </c>
    </row>
    <row r="525" spans="1:12" ht="17.45" customHeight="1">
      <c r="A525" s="1435"/>
      <c r="B525" s="669" t="str">
        <f t="shared" si="188"/>
        <v>2구간</v>
      </c>
      <c r="C525" s="831">
        <f>ROUND((((C$513*$D112*C$203+$D$505)*$E$500)*$C267),2)</f>
        <v>0</v>
      </c>
      <c r="D525" s="852">
        <f t="shared" ref="D525:D533" si="189">ROUND((((D$513*$D135*B$203+$D$505)*$E$500)*$D267),2)</f>
        <v>0</v>
      </c>
      <c r="E525" s="831">
        <f t="shared" ref="E525:E533" si="190">ROUND((((E$513*$D158*B$203+$D$505)*$E$500)*$E267),2)</f>
        <v>0</v>
      </c>
      <c r="F525" s="852">
        <f t="shared" ref="F525:F533" si="191">ROUND((((F$513*$D181*B$203+$D$506)*$E$500)*$F267),2)</f>
        <v>0</v>
      </c>
      <c r="G525" s="831">
        <f t="shared" ref="G525:G533" si="192">ROUND((((G$513*$D158*B$203+$D$505)*$E$500)*$G267),2)</f>
        <v>0</v>
      </c>
      <c r="H525" s="833">
        <f t="shared" ref="H525:H533" si="193">ROUND((((H$513*$D181*B$203+$D$506)*$E$500)*$H267),2)</f>
        <v>0</v>
      </c>
      <c r="I525" s="833">
        <f t="shared" ref="I525:I533" si="194">ROUND((((I$513*$D181*B$203+$D$506)*$E$500)*$I267),2)</f>
        <v>0</v>
      </c>
      <c r="J525" s="852">
        <f t="shared" ref="J525:J533" si="195">ROUND((((J$513*$D181*B$203+$D$506)*$E$500)*$J267),2)</f>
        <v>0</v>
      </c>
      <c r="K525" s="674">
        <f t="shared" si="180"/>
        <v>0</v>
      </c>
    </row>
    <row r="526" spans="1:12" ht="17.45" customHeight="1">
      <c r="A526" s="1435"/>
      <c r="B526" s="669" t="str">
        <f t="shared" si="188"/>
        <v>3구간</v>
      </c>
      <c r="C526" s="831">
        <f>ROUND((((C$513*$D113*D$203+$D$505)*$E$500)*$C268),2)</f>
        <v>0</v>
      </c>
      <c r="D526" s="852">
        <f t="shared" si="189"/>
        <v>0</v>
      </c>
      <c r="E526" s="831">
        <f t="shared" si="190"/>
        <v>0</v>
      </c>
      <c r="F526" s="852">
        <f t="shared" si="191"/>
        <v>0</v>
      </c>
      <c r="G526" s="831">
        <f t="shared" si="192"/>
        <v>0</v>
      </c>
      <c r="H526" s="833">
        <f t="shared" si="193"/>
        <v>0</v>
      </c>
      <c r="I526" s="833">
        <f t="shared" si="194"/>
        <v>0</v>
      </c>
      <c r="J526" s="852">
        <f t="shared" si="195"/>
        <v>0</v>
      </c>
      <c r="K526" s="674">
        <f t="shared" si="180"/>
        <v>0</v>
      </c>
    </row>
    <row r="527" spans="1:12" ht="17.45" customHeight="1">
      <c r="A527" s="1435"/>
      <c r="B527" s="669" t="str">
        <f t="shared" si="188"/>
        <v>4구간</v>
      </c>
      <c r="C527" s="843">
        <f>ROUND((((C$513*$D114*E$203+$D$505)*$E$500)*$C269),2)</f>
        <v>0</v>
      </c>
      <c r="D527" s="852">
        <f t="shared" si="189"/>
        <v>0</v>
      </c>
      <c r="E527" s="831">
        <f t="shared" si="190"/>
        <v>0</v>
      </c>
      <c r="F527" s="852">
        <f t="shared" si="191"/>
        <v>0</v>
      </c>
      <c r="G527" s="831">
        <f t="shared" si="192"/>
        <v>0</v>
      </c>
      <c r="H527" s="833">
        <f t="shared" si="193"/>
        <v>0</v>
      </c>
      <c r="I527" s="833">
        <f t="shared" si="194"/>
        <v>0</v>
      </c>
      <c r="J527" s="852">
        <f t="shared" si="195"/>
        <v>0</v>
      </c>
      <c r="K527" s="674">
        <f t="shared" si="180"/>
        <v>0</v>
      </c>
    </row>
    <row r="528" spans="1:12" ht="17.45" customHeight="1">
      <c r="A528" s="1435"/>
      <c r="B528" s="669" t="str">
        <f t="shared" si="188"/>
        <v>5구간</v>
      </c>
      <c r="C528" s="843">
        <f>ROUND((((C$513*$D115*F$203+$D$505)*$E$500)*$C270),2)</f>
        <v>0</v>
      </c>
      <c r="D528" s="852">
        <f t="shared" si="189"/>
        <v>0</v>
      </c>
      <c r="E528" s="831">
        <f t="shared" si="190"/>
        <v>0</v>
      </c>
      <c r="F528" s="852">
        <f t="shared" si="191"/>
        <v>0</v>
      </c>
      <c r="G528" s="831">
        <f t="shared" si="192"/>
        <v>0</v>
      </c>
      <c r="H528" s="833">
        <f t="shared" si="193"/>
        <v>0</v>
      </c>
      <c r="I528" s="833">
        <f t="shared" si="194"/>
        <v>0</v>
      </c>
      <c r="J528" s="852">
        <f t="shared" si="195"/>
        <v>0</v>
      </c>
      <c r="K528" s="675">
        <f t="shared" si="180"/>
        <v>0</v>
      </c>
      <c r="L528" s="566"/>
    </row>
    <row r="529" spans="1:12" ht="17.45" customHeight="1">
      <c r="A529" s="1435"/>
      <c r="B529" s="676" t="str">
        <f t="shared" si="188"/>
        <v>6구간</v>
      </c>
      <c r="C529" s="828">
        <f>ROUND((((C$513*$D116*G$203+$D$505)*$E$500)*$C271),2)</f>
        <v>0</v>
      </c>
      <c r="D529" s="853">
        <f t="shared" si="189"/>
        <v>0</v>
      </c>
      <c r="E529" s="828">
        <f t="shared" si="190"/>
        <v>0</v>
      </c>
      <c r="F529" s="853">
        <f t="shared" si="191"/>
        <v>0</v>
      </c>
      <c r="G529" s="828">
        <f t="shared" si="192"/>
        <v>0</v>
      </c>
      <c r="H529" s="830">
        <f t="shared" si="193"/>
        <v>0</v>
      </c>
      <c r="I529" s="830">
        <f t="shared" si="194"/>
        <v>0</v>
      </c>
      <c r="J529" s="853">
        <f t="shared" si="195"/>
        <v>0</v>
      </c>
      <c r="K529" s="674">
        <f>SUM(C529:J529)</f>
        <v>0</v>
      </c>
    </row>
    <row r="530" spans="1:12" ht="17.45" customHeight="1">
      <c r="A530" s="1435"/>
      <c r="B530" s="669" t="str">
        <f t="shared" si="188"/>
        <v>7구간</v>
      </c>
      <c r="C530" s="831">
        <f>ROUND((((C$513*$D117*H$203+$D$505)*$E$500)*$C272),2)</f>
        <v>0</v>
      </c>
      <c r="D530" s="852">
        <f t="shared" si="189"/>
        <v>0</v>
      </c>
      <c r="E530" s="831">
        <f t="shared" si="190"/>
        <v>0</v>
      </c>
      <c r="F530" s="852">
        <f t="shared" si="191"/>
        <v>0</v>
      </c>
      <c r="G530" s="831">
        <f t="shared" si="192"/>
        <v>0</v>
      </c>
      <c r="H530" s="833">
        <f t="shared" si="193"/>
        <v>0</v>
      </c>
      <c r="I530" s="833">
        <f t="shared" si="194"/>
        <v>0</v>
      </c>
      <c r="J530" s="852">
        <f t="shared" si="195"/>
        <v>0</v>
      </c>
      <c r="K530" s="674">
        <f>SUM(C530:J530)</f>
        <v>0</v>
      </c>
    </row>
    <row r="531" spans="1:12" ht="17.45" customHeight="1">
      <c r="A531" s="1435"/>
      <c r="B531" s="669" t="str">
        <f t="shared" si="188"/>
        <v>8구간</v>
      </c>
      <c r="C531" s="831">
        <f>ROUND((((C$513*$D118*I$203+$D$505)*$E$500)*$C273),2)</f>
        <v>0</v>
      </c>
      <c r="D531" s="852">
        <f t="shared" si="189"/>
        <v>0</v>
      </c>
      <c r="E531" s="831">
        <f t="shared" si="190"/>
        <v>0</v>
      </c>
      <c r="F531" s="852">
        <f t="shared" si="191"/>
        <v>0</v>
      </c>
      <c r="G531" s="831">
        <f t="shared" si="192"/>
        <v>0</v>
      </c>
      <c r="H531" s="833">
        <f t="shared" si="193"/>
        <v>0</v>
      </c>
      <c r="I531" s="833">
        <f t="shared" si="194"/>
        <v>0</v>
      </c>
      <c r="J531" s="852">
        <f t="shared" si="195"/>
        <v>0</v>
      </c>
      <c r="K531" s="674">
        <f>SUM(C531:J531)</f>
        <v>0</v>
      </c>
    </row>
    <row r="532" spans="1:12" ht="17.45" customHeight="1">
      <c r="A532" s="1435"/>
      <c r="B532" s="669" t="str">
        <f t="shared" si="188"/>
        <v>9구간</v>
      </c>
      <c r="C532" s="843">
        <f>ROUND((((C$513*$D119*J$203+$D$505)*$E$500)*$C274),2)</f>
        <v>0</v>
      </c>
      <c r="D532" s="852">
        <f t="shared" si="189"/>
        <v>0</v>
      </c>
      <c r="E532" s="831">
        <f t="shared" si="190"/>
        <v>0</v>
      </c>
      <c r="F532" s="852">
        <f t="shared" si="191"/>
        <v>0</v>
      </c>
      <c r="G532" s="831">
        <f t="shared" si="192"/>
        <v>0</v>
      </c>
      <c r="H532" s="833">
        <f t="shared" si="193"/>
        <v>0</v>
      </c>
      <c r="I532" s="833">
        <f t="shared" si="194"/>
        <v>0</v>
      </c>
      <c r="J532" s="852">
        <f t="shared" si="195"/>
        <v>0</v>
      </c>
      <c r="K532" s="674">
        <f>SUM(C532:J532)</f>
        <v>0</v>
      </c>
    </row>
    <row r="533" spans="1:12" ht="17.45" customHeight="1">
      <c r="A533" s="1436"/>
      <c r="B533" s="680" t="str">
        <f t="shared" si="188"/>
        <v>10구간</v>
      </c>
      <c r="C533" s="841">
        <f>ROUND((((C$513*$D120*K$203+$D$505)*$E$500)*$C275),2)</f>
        <v>0</v>
      </c>
      <c r="D533" s="853">
        <f t="shared" si="189"/>
        <v>0</v>
      </c>
      <c r="E533" s="828">
        <f t="shared" si="190"/>
        <v>0</v>
      </c>
      <c r="F533" s="853">
        <f t="shared" si="191"/>
        <v>0</v>
      </c>
      <c r="G533" s="828">
        <f t="shared" si="192"/>
        <v>0</v>
      </c>
      <c r="H533" s="830">
        <f t="shared" si="193"/>
        <v>0</v>
      </c>
      <c r="I533" s="830">
        <f t="shared" si="194"/>
        <v>0</v>
      </c>
      <c r="J533" s="853">
        <f t="shared" si="195"/>
        <v>0</v>
      </c>
      <c r="K533" s="674">
        <f>SUM(C533:J533)</f>
        <v>0</v>
      </c>
      <c r="L533" s="566"/>
    </row>
    <row r="534" spans="1:12" ht="17.45" customHeight="1">
      <c r="A534" s="1434">
        <v>30</v>
      </c>
      <c r="B534" s="676" t="str">
        <f t="shared" si="188"/>
        <v>1구간</v>
      </c>
      <c r="C534" s="854">
        <f>ROUND((((C$513*$E111*B$203+$E$505)*$E$500)*$C277),2)</f>
        <v>75.62</v>
      </c>
      <c r="D534" s="855">
        <f>ROUND((((D$513*$E134*B$203+$E$505)*$E$500)*$D277),2)</f>
        <v>65.12</v>
      </c>
      <c r="E534" s="856">
        <f>ROUND((((E$513*$E157*B$203+$E$505)*$E$500)*$E277),2)</f>
        <v>0</v>
      </c>
      <c r="F534" s="855">
        <f>ROUND((((F$513*$E180*B$203+$E$506)*$E$500)*$F277),2)</f>
        <v>9.57</v>
      </c>
      <c r="G534" s="856">
        <f>ROUND((((G$513*$E157*B$203+$E$505)*$E$500)*$G277),2)</f>
        <v>27.84</v>
      </c>
      <c r="H534" s="857">
        <f>ROUND((((H$513*$E180*B$203+$E$506)*$E$500)*$H277),2)</f>
        <v>29.8</v>
      </c>
      <c r="I534" s="857">
        <f>ROUND((((I$513*$E180*B$203+$E$506)*$E$500)*$I277),2)</f>
        <v>4</v>
      </c>
      <c r="J534" s="855">
        <f>ROUND((((J$513*$E180*B$203+$E$506)*$E$500)*$J277),2)</f>
        <v>11.59</v>
      </c>
      <c r="K534" s="681">
        <f t="shared" si="180"/>
        <v>223.54000000000002</v>
      </c>
    </row>
    <row r="535" spans="1:12" ht="17.45" customHeight="1">
      <c r="A535" s="1435"/>
      <c r="B535" s="669" t="str">
        <f t="shared" si="188"/>
        <v>2구간</v>
      </c>
      <c r="C535" s="843">
        <f>ROUND((((C$513*$E112*C$203+$E$505)*$E$500)*$C278),2)</f>
        <v>0</v>
      </c>
      <c r="D535" s="852">
        <f t="shared" ref="D535:D543" si="196">ROUND((((D$513*$E135*B$203+$E$505)*$E$500)*$D278),2)</f>
        <v>0</v>
      </c>
      <c r="E535" s="831">
        <f t="shared" ref="E535:E543" si="197">ROUND((((E$513*$E158*B$203+$E$505)*$E$500)*$E278),2)</f>
        <v>0</v>
      </c>
      <c r="F535" s="852">
        <f t="shared" ref="F535:F543" si="198">ROUND((((F$513*$E181*B$203+$E$506)*$E$500)*$F278),2)</f>
        <v>0</v>
      </c>
      <c r="G535" s="831">
        <f t="shared" ref="G535:G543" si="199">ROUND((((G$513*$E158*B$203+$E$505)*$E$500)*$G278),2)</f>
        <v>0</v>
      </c>
      <c r="H535" s="833">
        <f t="shared" ref="H535:H543" si="200">ROUND((((H$513*$E181*B$203+$E$506)*$E$500)*$H278),2)</f>
        <v>0</v>
      </c>
      <c r="I535" s="833">
        <f t="shared" ref="I535:I543" si="201">ROUND((((I$513*$E181*B$203+$E$506)*$E$500)*$I278),2)</f>
        <v>0</v>
      </c>
      <c r="J535" s="852">
        <f t="shared" ref="J535:J543" si="202">ROUND((((J$513*$E181*B$203+$E$506)*$E$500)*$J278),2)</f>
        <v>0</v>
      </c>
      <c r="K535" s="674">
        <f t="shared" si="180"/>
        <v>0</v>
      </c>
    </row>
    <row r="536" spans="1:12" ht="17.45" customHeight="1">
      <c r="A536" s="1435"/>
      <c r="B536" s="669" t="str">
        <f t="shared" si="188"/>
        <v>3구간</v>
      </c>
      <c r="C536" s="858">
        <f>ROUND((((C$513*$E113*D$203+$E$505)*$E$500)*$C279),2)</f>
        <v>0</v>
      </c>
      <c r="D536" s="859">
        <f t="shared" si="196"/>
        <v>0</v>
      </c>
      <c r="E536" s="860">
        <f t="shared" si="197"/>
        <v>0</v>
      </c>
      <c r="F536" s="859">
        <f t="shared" si="198"/>
        <v>0</v>
      </c>
      <c r="G536" s="860">
        <f t="shared" si="199"/>
        <v>0</v>
      </c>
      <c r="H536" s="861">
        <f t="shared" si="200"/>
        <v>0</v>
      </c>
      <c r="I536" s="861">
        <f t="shared" si="201"/>
        <v>0</v>
      </c>
      <c r="J536" s="859">
        <f t="shared" si="202"/>
        <v>0</v>
      </c>
      <c r="K536" s="674">
        <f t="shared" si="180"/>
        <v>0</v>
      </c>
    </row>
    <row r="537" spans="1:12" ht="17.45" customHeight="1">
      <c r="A537" s="1435"/>
      <c r="B537" s="669" t="str">
        <f t="shared" si="188"/>
        <v>4구간</v>
      </c>
      <c r="C537" s="843">
        <f>ROUND((((C$513*$E114*E$203+$E$505)*$E$500)*$C280),2)</f>
        <v>0</v>
      </c>
      <c r="D537" s="852">
        <f t="shared" si="196"/>
        <v>0</v>
      </c>
      <c r="E537" s="831">
        <f t="shared" si="197"/>
        <v>0</v>
      </c>
      <c r="F537" s="852">
        <f t="shared" si="198"/>
        <v>0</v>
      </c>
      <c r="G537" s="831">
        <f t="shared" si="199"/>
        <v>0</v>
      </c>
      <c r="H537" s="833">
        <f t="shared" si="200"/>
        <v>0</v>
      </c>
      <c r="I537" s="833">
        <f t="shared" si="201"/>
        <v>0</v>
      </c>
      <c r="J537" s="852">
        <f t="shared" si="202"/>
        <v>0</v>
      </c>
      <c r="K537" s="674">
        <f t="shared" si="180"/>
        <v>0</v>
      </c>
    </row>
    <row r="538" spans="1:12" ht="17.45" customHeight="1">
      <c r="A538" s="1435"/>
      <c r="B538" s="669" t="str">
        <f t="shared" si="188"/>
        <v>5구간</v>
      </c>
      <c r="C538" s="843">
        <f>ROUND((((C$513*$E115*F$203+$E$505)*$E$500)*$C281),2)</f>
        <v>0</v>
      </c>
      <c r="D538" s="852">
        <f t="shared" si="196"/>
        <v>0</v>
      </c>
      <c r="E538" s="831">
        <f t="shared" si="197"/>
        <v>0</v>
      </c>
      <c r="F538" s="852">
        <f t="shared" si="198"/>
        <v>0</v>
      </c>
      <c r="G538" s="831">
        <f t="shared" si="199"/>
        <v>0</v>
      </c>
      <c r="H538" s="833">
        <f t="shared" si="200"/>
        <v>0</v>
      </c>
      <c r="I538" s="833">
        <f t="shared" si="201"/>
        <v>0</v>
      </c>
      <c r="J538" s="852">
        <f t="shared" si="202"/>
        <v>0</v>
      </c>
      <c r="K538" s="675">
        <f t="shared" si="180"/>
        <v>0</v>
      </c>
    </row>
    <row r="539" spans="1:12" ht="17.45" customHeight="1">
      <c r="A539" s="1435"/>
      <c r="B539" s="676" t="str">
        <f t="shared" si="188"/>
        <v>6구간</v>
      </c>
      <c r="C539" s="858">
        <f>ROUND((((C$513*$E116*G$203+$E$505)*$E$500)*$C282),2)</f>
        <v>0</v>
      </c>
      <c r="D539" s="859">
        <f t="shared" si="196"/>
        <v>0</v>
      </c>
      <c r="E539" s="860">
        <f t="shared" si="197"/>
        <v>0</v>
      </c>
      <c r="F539" s="859">
        <f t="shared" si="198"/>
        <v>0</v>
      </c>
      <c r="G539" s="860">
        <f t="shared" si="199"/>
        <v>0</v>
      </c>
      <c r="H539" s="861">
        <f t="shared" si="200"/>
        <v>0</v>
      </c>
      <c r="I539" s="861">
        <f t="shared" si="201"/>
        <v>0</v>
      </c>
      <c r="J539" s="859">
        <f t="shared" si="202"/>
        <v>0</v>
      </c>
      <c r="K539" s="674">
        <f>SUM(C539:J539)</f>
        <v>0</v>
      </c>
    </row>
    <row r="540" spans="1:12" ht="17.45" customHeight="1">
      <c r="A540" s="1435"/>
      <c r="B540" s="669" t="str">
        <f t="shared" si="188"/>
        <v>7구간</v>
      </c>
      <c r="C540" s="843">
        <f>ROUND((((C$513*$E117*H$203+$E$505)*$E$500)*$C283),2)</f>
        <v>0</v>
      </c>
      <c r="D540" s="852">
        <f t="shared" si="196"/>
        <v>0</v>
      </c>
      <c r="E540" s="831">
        <f t="shared" si="197"/>
        <v>0</v>
      </c>
      <c r="F540" s="852">
        <f t="shared" si="198"/>
        <v>0</v>
      </c>
      <c r="G540" s="831">
        <f t="shared" si="199"/>
        <v>0</v>
      </c>
      <c r="H540" s="833">
        <f t="shared" si="200"/>
        <v>0</v>
      </c>
      <c r="I540" s="833">
        <f t="shared" si="201"/>
        <v>0</v>
      </c>
      <c r="J540" s="852">
        <f t="shared" si="202"/>
        <v>0</v>
      </c>
      <c r="K540" s="674">
        <f>SUM(C540:J540)</f>
        <v>0</v>
      </c>
    </row>
    <row r="541" spans="1:12" ht="17.45" customHeight="1">
      <c r="A541" s="1435"/>
      <c r="B541" s="669" t="str">
        <f t="shared" si="188"/>
        <v>8구간</v>
      </c>
      <c r="C541" s="858">
        <f>ROUND((((C$513*$E118*I$203+$E$505)*$E$500)*$C284),2)</f>
        <v>0</v>
      </c>
      <c r="D541" s="859">
        <f t="shared" si="196"/>
        <v>0</v>
      </c>
      <c r="E541" s="860">
        <f t="shared" si="197"/>
        <v>0</v>
      </c>
      <c r="F541" s="859">
        <f t="shared" si="198"/>
        <v>0</v>
      </c>
      <c r="G541" s="860">
        <f t="shared" si="199"/>
        <v>0</v>
      </c>
      <c r="H541" s="861">
        <f t="shared" si="200"/>
        <v>0</v>
      </c>
      <c r="I541" s="861">
        <f t="shared" si="201"/>
        <v>0</v>
      </c>
      <c r="J541" s="859">
        <f t="shared" si="202"/>
        <v>0</v>
      </c>
      <c r="K541" s="674">
        <f>SUM(C541:J541)</f>
        <v>0</v>
      </c>
    </row>
    <row r="542" spans="1:12" ht="17.45" customHeight="1">
      <c r="A542" s="1435"/>
      <c r="B542" s="669" t="str">
        <f t="shared" si="188"/>
        <v>9구간</v>
      </c>
      <c r="C542" s="843">
        <f>ROUND((((C$513*$E119*J$203+$E$505)*$E$500)*$C285),2)</f>
        <v>0</v>
      </c>
      <c r="D542" s="852">
        <f t="shared" si="196"/>
        <v>0</v>
      </c>
      <c r="E542" s="831">
        <f t="shared" si="197"/>
        <v>0</v>
      </c>
      <c r="F542" s="852">
        <f t="shared" si="198"/>
        <v>0</v>
      </c>
      <c r="G542" s="831">
        <f t="shared" si="199"/>
        <v>0</v>
      </c>
      <c r="H542" s="833">
        <f t="shared" si="200"/>
        <v>0</v>
      </c>
      <c r="I542" s="833">
        <f t="shared" si="201"/>
        <v>0</v>
      </c>
      <c r="J542" s="852">
        <f t="shared" si="202"/>
        <v>0</v>
      </c>
      <c r="K542" s="674">
        <f>SUM(C542:J542)</f>
        <v>0</v>
      </c>
    </row>
    <row r="543" spans="1:12" ht="17.45" customHeight="1">
      <c r="A543" s="1436"/>
      <c r="B543" s="680" t="str">
        <f t="shared" si="188"/>
        <v>10구간</v>
      </c>
      <c r="C543" s="841">
        <f>ROUND((((C$513*$E120*K$203+$E$505)*$E$500)*$C286),2)</f>
        <v>0</v>
      </c>
      <c r="D543" s="853">
        <f t="shared" si="196"/>
        <v>0</v>
      </c>
      <c r="E543" s="828">
        <f t="shared" si="197"/>
        <v>0</v>
      </c>
      <c r="F543" s="853">
        <f t="shared" si="198"/>
        <v>0</v>
      </c>
      <c r="G543" s="828">
        <f t="shared" si="199"/>
        <v>0</v>
      </c>
      <c r="H543" s="830">
        <f t="shared" si="200"/>
        <v>0</v>
      </c>
      <c r="I543" s="830">
        <f t="shared" si="201"/>
        <v>0</v>
      </c>
      <c r="J543" s="853">
        <f t="shared" si="202"/>
        <v>0</v>
      </c>
      <c r="K543" s="674">
        <f>SUM(C543:J543)</f>
        <v>0</v>
      </c>
    </row>
    <row r="544" spans="1:12" ht="17.45" customHeight="1">
      <c r="A544" s="1434">
        <v>40</v>
      </c>
      <c r="B544" s="676" t="str">
        <f t="shared" si="188"/>
        <v>1구간</v>
      </c>
      <c r="C544" s="854">
        <f>ROUND((((C$513*$F111*B$203+$F$505)*$E$500)*$C288),2)</f>
        <v>82.41</v>
      </c>
      <c r="D544" s="855">
        <f>ROUND((((D$513*$F134*B$203+$F$505)*$E$500)*$D288),2)</f>
        <v>68.27</v>
      </c>
      <c r="E544" s="856">
        <f>ROUND((((E$513*$F157*B$203+$F$505)*$E$500)*$E288),2)</f>
        <v>0</v>
      </c>
      <c r="F544" s="855">
        <f>ROUND((((F$513*$F180*B$203+$F$506)*$E$500)*$F288),2)</f>
        <v>9.6999999999999993</v>
      </c>
      <c r="G544" s="856">
        <f>ROUND((((G$513*$F157*B$203+$F$505)*$E$500)*$G288),2)</f>
        <v>29.45</v>
      </c>
      <c r="H544" s="857">
        <f>ROUND((((H$513*$F180*B$203+$F$506)*$E$500)*$H288),2)</f>
        <v>30.66</v>
      </c>
      <c r="I544" s="857">
        <f>ROUND((((I$513*$F180*B$203+$F$506)*$E$500)*$I288),2)</f>
        <v>4.0599999999999996</v>
      </c>
      <c r="J544" s="855">
        <f>ROUND((((J$513*$F180*B$203+$F$506)*$E$500)*$J288),2)</f>
        <v>11.55</v>
      </c>
      <c r="K544" s="681">
        <f t="shared" si="180"/>
        <v>236.1</v>
      </c>
    </row>
    <row r="545" spans="1:11" ht="17.45" customHeight="1">
      <c r="A545" s="1435"/>
      <c r="B545" s="669" t="str">
        <f t="shared" si="188"/>
        <v>2구간</v>
      </c>
      <c r="C545" s="862">
        <f>ROUND((((C$513*$F112*C$203+$F$505)*$E$500)*$C289),2)</f>
        <v>0</v>
      </c>
      <c r="D545" s="863">
        <f t="shared" ref="D545:D553" si="203">ROUND((((D$513*$F135*B$203+$F$505)*$E$500)*$D289),2)</f>
        <v>0</v>
      </c>
      <c r="E545" s="864">
        <f t="shared" ref="E545:E553" si="204">ROUND((((E$513*$F158*B$203+$F$505)*$E$500)*$E289),2)</f>
        <v>0</v>
      </c>
      <c r="F545" s="863">
        <f t="shared" ref="F545:F553" si="205">ROUND((((F$513*$F181*B$203+$F$506)*$E$500)*$F289),2)</f>
        <v>0</v>
      </c>
      <c r="G545" s="864">
        <f t="shared" ref="G545:G553" si="206">ROUND((((G$513*$F158*B$203+$F$505)*$E$500)*$G289),2)</f>
        <v>0</v>
      </c>
      <c r="H545" s="865">
        <f t="shared" ref="H545:H553" si="207">ROUND((((H$513*$F181*B$203+$F$506)*$E$500)*$H289),2)</f>
        <v>0</v>
      </c>
      <c r="I545" s="865">
        <f t="shared" ref="I545:I553" si="208">ROUND((((I$513*$F181*B$203+$F$506)*$E$500)*$I289),2)</f>
        <v>0</v>
      </c>
      <c r="J545" s="863">
        <f t="shared" ref="J545:J553" si="209">ROUND((((J$513*$F181*B$203+$F$506)*$E$500)*$J289),2)</f>
        <v>0</v>
      </c>
      <c r="K545" s="674">
        <f t="shared" si="180"/>
        <v>0</v>
      </c>
    </row>
    <row r="546" spans="1:11" ht="17.45" customHeight="1">
      <c r="A546" s="1435"/>
      <c r="B546" s="669" t="str">
        <f t="shared" si="188"/>
        <v>3구간</v>
      </c>
      <c r="C546" s="843">
        <f>ROUND((((C$513*$F113*D$203+$F$505)*$E$500)*$C290),2)</f>
        <v>0</v>
      </c>
      <c r="D546" s="852">
        <f t="shared" si="203"/>
        <v>0</v>
      </c>
      <c r="E546" s="831">
        <f t="shared" si="204"/>
        <v>0</v>
      </c>
      <c r="F546" s="852">
        <f t="shared" si="205"/>
        <v>0</v>
      </c>
      <c r="G546" s="831">
        <f t="shared" si="206"/>
        <v>0</v>
      </c>
      <c r="H546" s="833">
        <f t="shared" si="207"/>
        <v>0</v>
      </c>
      <c r="I546" s="833">
        <f t="shared" si="208"/>
        <v>0</v>
      </c>
      <c r="J546" s="852">
        <f t="shared" si="209"/>
        <v>0</v>
      </c>
      <c r="K546" s="674">
        <f t="shared" si="180"/>
        <v>0</v>
      </c>
    </row>
    <row r="547" spans="1:11" ht="17.45" customHeight="1">
      <c r="A547" s="1435"/>
      <c r="B547" s="669" t="str">
        <f t="shared" si="188"/>
        <v>4구간</v>
      </c>
      <c r="C547" s="843">
        <f>ROUND((((C$513*$F114*E$203+$F$505)*$E$500)*$C291),2)</f>
        <v>0</v>
      </c>
      <c r="D547" s="852">
        <f t="shared" si="203"/>
        <v>0</v>
      </c>
      <c r="E547" s="831">
        <f t="shared" si="204"/>
        <v>0</v>
      </c>
      <c r="F547" s="852">
        <f t="shared" si="205"/>
        <v>0</v>
      </c>
      <c r="G547" s="831">
        <f t="shared" si="206"/>
        <v>0</v>
      </c>
      <c r="H547" s="833">
        <f t="shared" si="207"/>
        <v>0</v>
      </c>
      <c r="I547" s="833">
        <f t="shared" si="208"/>
        <v>0</v>
      </c>
      <c r="J547" s="852">
        <f t="shared" si="209"/>
        <v>0</v>
      </c>
      <c r="K547" s="674">
        <f t="shared" si="180"/>
        <v>0</v>
      </c>
    </row>
    <row r="548" spans="1:11" ht="17.45" customHeight="1">
      <c r="A548" s="1435"/>
      <c r="B548" s="669" t="str">
        <f t="shared" si="188"/>
        <v>5구간</v>
      </c>
      <c r="C548" s="843">
        <f>ROUND((((C$513*$F115*F$203+$F$505)*$E$500)*$C292),2)</f>
        <v>0</v>
      </c>
      <c r="D548" s="852">
        <f t="shared" si="203"/>
        <v>0</v>
      </c>
      <c r="E548" s="831">
        <f t="shared" si="204"/>
        <v>0</v>
      </c>
      <c r="F548" s="852">
        <f t="shared" si="205"/>
        <v>0</v>
      </c>
      <c r="G548" s="831">
        <f t="shared" si="206"/>
        <v>0</v>
      </c>
      <c r="H548" s="833">
        <f t="shared" si="207"/>
        <v>0</v>
      </c>
      <c r="I548" s="833">
        <f t="shared" si="208"/>
        <v>0</v>
      </c>
      <c r="J548" s="852">
        <f t="shared" si="209"/>
        <v>0</v>
      </c>
      <c r="K548" s="675">
        <f t="shared" si="180"/>
        <v>0</v>
      </c>
    </row>
    <row r="549" spans="1:11" ht="17.45" customHeight="1">
      <c r="A549" s="1435"/>
      <c r="B549" s="676" t="str">
        <f t="shared" si="188"/>
        <v>6구간</v>
      </c>
      <c r="C549" s="858">
        <f>ROUND((((C$513*$F116*G$203+$F$505)*$E$500)*$C293),2)</f>
        <v>0</v>
      </c>
      <c r="D549" s="859">
        <f t="shared" si="203"/>
        <v>0</v>
      </c>
      <c r="E549" s="860">
        <f t="shared" si="204"/>
        <v>0</v>
      </c>
      <c r="F549" s="859">
        <f t="shared" si="205"/>
        <v>0</v>
      </c>
      <c r="G549" s="860">
        <f t="shared" si="206"/>
        <v>0</v>
      </c>
      <c r="H549" s="861">
        <f t="shared" si="207"/>
        <v>0</v>
      </c>
      <c r="I549" s="861">
        <f t="shared" si="208"/>
        <v>0</v>
      </c>
      <c r="J549" s="859">
        <f t="shared" si="209"/>
        <v>0</v>
      </c>
      <c r="K549" s="674">
        <f>SUM(C549:J549)</f>
        <v>0</v>
      </c>
    </row>
    <row r="550" spans="1:11" ht="17.45" customHeight="1">
      <c r="A550" s="1435"/>
      <c r="B550" s="669" t="str">
        <f t="shared" si="188"/>
        <v>7구간</v>
      </c>
      <c r="C550" s="862">
        <f>ROUND((((C$513*$F117*H$203+$F$505)*$E$500)*$C294),2)</f>
        <v>0</v>
      </c>
      <c r="D550" s="863">
        <f t="shared" si="203"/>
        <v>0</v>
      </c>
      <c r="E550" s="864">
        <f t="shared" si="204"/>
        <v>0</v>
      </c>
      <c r="F550" s="863">
        <f t="shared" si="205"/>
        <v>0</v>
      </c>
      <c r="G550" s="864">
        <f t="shared" si="206"/>
        <v>0</v>
      </c>
      <c r="H550" s="865">
        <f t="shared" si="207"/>
        <v>0</v>
      </c>
      <c r="I550" s="865">
        <f t="shared" si="208"/>
        <v>0</v>
      </c>
      <c r="J550" s="863">
        <f t="shared" si="209"/>
        <v>0</v>
      </c>
      <c r="K550" s="674">
        <f>SUM(C550:J550)</f>
        <v>0</v>
      </c>
    </row>
    <row r="551" spans="1:11" ht="17.45" customHeight="1">
      <c r="A551" s="1435"/>
      <c r="B551" s="669" t="str">
        <f t="shared" si="188"/>
        <v>8구간</v>
      </c>
      <c r="C551" s="843">
        <f>ROUND((((C$513*$F118*I$203+$F$505)*$E$500)*$C295),2)</f>
        <v>0</v>
      </c>
      <c r="D551" s="852">
        <f t="shared" si="203"/>
        <v>0</v>
      </c>
      <c r="E551" s="831">
        <f t="shared" si="204"/>
        <v>0</v>
      </c>
      <c r="F551" s="852">
        <f t="shared" si="205"/>
        <v>0</v>
      </c>
      <c r="G551" s="831">
        <f t="shared" si="206"/>
        <v>0</v>
      </c>
      <c r="H551" s="833">
        <f t="shared" si="207"/>
        <v>0</v>
      </c>
      <c r="I551" s="833">
        <f t="shared" si="208"/>
        <v>0</v>
      </c>
      <c r="J551" s="852">
        <f t="shared" si="209"/>
        <v>0</v>
      </c>
      <c r="K551" s="674">
        <f>SUM(C551:J551)</f>
        <v>0</v>
      </c>
    </row>
    <row r="552" spans="1:11" ht="17.45" customHeight="1">
      <c r="A552" s="1435"/>
      <c r="B552" s="669" t="str">
        <f t="shared" si="188"/>
        <v>9구간</v>
      </c>
      <c r="C552" s="843">
        <f>ROUND((((C$513*$F119*J$203+$F$505)*$E$500)*$C296),2)</f>
        <v>0</v>
      </c>
      <c r="D552" s="852">
        <f t="shared" si="203"/>
        <v>0</v>
      </c>
      <c r="E552" s="831">
        <f t="shared" si="204"/>
        <v>0</v>
      </c>
      <c r="F552" s="852">
        <f t="shared" si="205"/>
        <v>0</v>
      </c>
      <c r="G552" s="831">
        <f t="shared" si="206"/>
        <v>0</v>
      </c>
      <c r="H552" s="833">
        <f t="shared" si="207"/>
        <v>0</v>
      </c>
      <c r="I552" s="833">
        <f t="shared" si="208"/>
        <v>0</v>
      </c>
      <c r="J552" s="852">
        <f t="shared" si="209"/>
        <v>0</v>
      </c>
      <c r="K552" s="674">
        <f>SUM(C552:J552)</f>
        <v>0</v>
      </c>
    </row>
    <row r="553" spans="1:11" ht="17.45" customHeight="1">
      <c r="A553" s="1436"/>
      <c r="B553" s="680" t="str">
        <f t="shared" si="188"/>
        <v>10구간</v>
      </c>
      <c r="C553" s="841">
        <f>ROUND((((C$513*$F120*K$203+$F$505)*$E$500)*$C297),2)</f>
        <v>0</v>
      </c>
      <c r="D553" s="853">
        <f t="shared" si="203"/>
        <v>0</v>
      </c>
      <c r="E553" s="828">
        <f t="shared" si="204"/>
        <v>0</v>
      </c>
      <c r="F553" s="853">
        <f t="shared" si="205"/>
        <v>0</v>
      </c>
      <c r="G553" s="828">
        <f t="shared" si="206"/>
        <v>0</v>
      </c>
      <c r="H553" s="830">
        <f t="shared" si="207"/>
        <v>0</v>
      </c>
      <c r="I553" s="830">
        <f t="shared" si="208"/>
        <v>0</v>
      </c>
      <c r="J553" s="853">
        <f t="shared" si="209"/>
        <v>0</v>
      </c>
      <c r="K553" s="674">
        <f>SUM(C553:J553)</f>
        <v>0</v>
      </c>
    </row>
    <row r="554" spans="1:11" ht="17.45" customHeight="1">
      <c r="A554" s="1434">
        <v>50</v>
      </c>
      <c r="B554" s="676" t="str">
        <f t="shared" si="188"/>
        <v>1구간</v>
      </c>
      <c r="C554" s="854">
        <f>ROUND((((C$513*$G111*B$203+$G$505)*$E$500)*$C299),2)</f>
        <v>83.96</v>
      </c>
      <c r="D554" s="855">
        <f>ROUND((((D$513*$G134*B$203+$G$505)*$E$500)*$D299),2)</f>
        <v>68.959999999999994</v>
      </c>
      <c r="E554" s="856">
        <f>ROUND((((E$513*$G157*B$203+$G$505)*$E$500)*$E299),2)</f>
        <v>0</v>
      </c>
      <c r="F554" s="855">
        <f>ROUND((((F$513*$G180*B$203+$G$506)*$E$500)*$F299),2)</f>
        <v>9.91</v>
      </c>
      <c r="G554" s="856">
        <f>ROUND((((G$513*$G157*B$203+$G$505)*$E$500)*$G299),2)</f>
        <v>29.6</v>
      </c>
      <c r="H554" s="857">
        <f>ROUND((((H$513*$G180*B$203+$G$506)*$E$500)*$H299),2)</f>
        <v>31.52</v>
      </c>
      <c r="I554" s="857">
        <f>ROUND((((I$513*$G180*B$203+$G$506)*$E$500)*$I299),2)</f>
        <v>3.95</v>
      </c>
      <c r="J554" s="855">
        <f>ROUND((((J$513*$G180*B$203+$G$506)*$E$500)*$J299),2)</f>
        <v>11.83</v>
      </c>
      <c r="K554" s="681">
        <f t="shared" si="180"/>
        <v>239.73</v>
      </c>
    </row>
    <row r="555" spans="1:11" ht="17.45" customHeight="1">
      <c r="A555" s="1435"/>
      <c r="B555" s="669" t="str">
        <f t="shared" si="188"/>
        <v>2구간</v>
      </c>
      <c r="C555" s="862">
        <f>ROUND((((C$513*$G112*C$203+$G$505)*$E$500)*$C300),2)</f>
        <v>0</v>
      </c>
      <c r="D555" s="863">
        <f t="shared" ref="D555:D563" si="210">ROUND((((D$513*$G135*B$203+$G$505)*$E$500)*$D300),2)</f>
        <v>0</v>
      </c>
      <c r="E555" s="864">
        <f t="shared" ref="E555:E563" si="211">ROUND((((E$513*$G158*B$203+$G$505)*$E$500)*$E300),2)</f>
        <v>0</v>
      </c>
      <c r="F555" s="863">
        <f t="shared" ref="F555:F563" si="212">ROUND((((F$513*$G181*B$203+$G$506)*$E$500)*$F300),2)</f>
        <v>0</v>
      </c>
      <c r="G555" s="864">
        <f t="shared" ref="G555:G563" si="213">ROUND((((G$513*$G158*B$203+$G$505)*$E$500)*$G300),2)</f>
        <v>0</v>
      </c>
      <c r="H555" s="865">
        <f t="shared" ref="H555:H563" si="214">ROUND((((H$513*$G181*B$203+$G$506)*$E$500)*$H300),2)</f>
        <v>0</v>
      </c>
      <c r="I555" s="865">
        <f t="shared" ref="I555:I563" si="215">ROUND((((I$513*$G181*B$203+$G$506)*$E$500)*$I300),2)</f>
        <v>0</v>
      </c>
      <c r="J555" s="863">
        <f t="shared" ref="J555:J563" si="216">ROUND((((J$513*$G181*B$203+$G$506)*$E$500)*$J300),2)</f>
        <v>0</v>
      </c>
      <c r="K555" s="674">
        <f t="shared" si="180"/>
        <v>0</v>
      </c>
    </row>
    <row r="556" spans="1:11" ht="17.45" customHeight="1">
      <c r="A556" s="1435"/>
      <c r="B556" s="669" t="str">
        <f t="shared" ref="B556:B587" si="217">B546</f>
        <v>3구간</v>
      </c>
      <c r="C556" s="843">
        <f>ROUND((((C$513*$G113*D$203+$G$505)*$E$500)*$C301),2)</f>
        <v>0</v>
      </c>
      <c r="D556" s="852">
        <f t="shared" si="210"/>
        <v>0</v>
      </c>
      <c r="E556" s="831">
        <f t="shared" si="211"/>
        <v>0</v>
      </c>
      <c r="F556" s="852">
        <f t="shared" si="212"/>
        <v>0</v>
      </c>
      <c r="G556" s="831">
        <f t="shared" si="213"/>
        <v>0</v>
      </c>
      <c r="H556" s="833">
        <f t="shared" si="214"/>
        <v>0</v>
      </c>
      <c r="I556" s="833">
        <f t="shared" si="215"/>
        <v>0</v>
      </c>
      <c r="J556" s="852">
        <f t="shared" si="216"/>
        <v>0</v>
      </c>
      <c r="K556" s="674">
        <f t="shared" si="180"/>
        <v>0</v>
      </c>
    </row>
    <row r="557" spans="1:11" ht="17.45" customHeight="1">
      <c r="A557" s="1435"/>
      <c r="B557" s="669" t="str">
        <f t="shared" si="217"/>
        <v>4구간</v>
      </c>
      <c r="C557" s="841">
        <f>ROUND((((C$513*$G114*E$203+$G$505)*$E$500)*$C302),2)</f>
        <v>0</v>
      </c>
      <c r="D557" s="853">
        <f t="shared" si="210"/>
        <v>0</v>
      </c>
      <c r="E557" s="828">
        <f t="shared" si="211"/>
        <v>0</v>
      </c>
      <c r="F557" s="853">
        <f t="shared" si="212"/>
        <v>0</v>
      </c>
      <c r="G557" s="828">
        <f t="shared" si="213"/>
        <v>0</v>
      </c>
      <c r="H557" s="830">
        <f t="shared" si="214"/>
        <v>0</v>
      </c>
      <c r="I557" s="830">
        <f t="shared" si="215"/>
        <v>0</v>
      </c>
      <c r="J557" s="853">
        <f t="shared" si="216"/>
        <v>0</v>
      </c>
      <c r="K557" s="674">
        <f t="shared" si="180"/>
        <v>0</v>
      </c>
    </row>
    <row r="558" spans="1:11" ht="17.45" customHeight="1">
      <c r="A558" s="1435"/>
      <c r="B558" s="669" t="str">
        <f t="shared" si="217"/>
        <v>5구간</v>
      </c>
      <c r="C558" s="843">
        <f>ROUND((((C$513*$G115*F$203+$G$505)*$E$500)*$C303),2)</f>
        <v>0</v>
      </c>
      <c r="D558" s="852">
        <f t="shared" si="210"/>
        <v>0</v>
      </c>
      <c r="E558" s="831">
        <f t="shared" si="211"/>
        <v>0</v>
      </c>
      <c r="F558" s="852">
        <f t="shared" si="212"/>
        <v>0</v>
      </c>
      <c r="G558" s="831">
        <f t="shared" si="213"/>
        <v>0</v>
      </c>
      <c r="H558" s="833">
        <f t="shared" si="214"/>
        <v>0</v>
      </c>
      <c r="I558" s="833">
        <f t="shared" si="215"/>
        <v>0</v>
      </c>
      <c r="J558" s="852">
        <f t="shared" si="216"/>
        <v>0</v>
      </c>
      <c r="K558" s="675">
        <f t="shared" si="180"/>
        <v>0</v>
      </c>
    </row>
    <row r="559" spans="1:11" ht="17.45" customHeight="1">
      <c r="A559" s="1435"/>
      <c r="B559" s="676" t="str">
        <f t="shared" si="217"/>
        <v>6구간</v>
      </c>
      <c r="C559" s="858">
        <f>ROUND((((C$513*$G116*G$203+$G$505)*$E$500)*$C304),2)</f>
        <v>0</v>
      </c>
      <c r="D559" s="859">
        <f t="shared" si="210"/>
        <v>0</v>
      </c>
      <c r="E559" s="860">
        <f t="shared" si="211"/>
        <v>0</v>
      </c>
      <c r="F559" s="859">
        <f t="shared" si="212"/>
        <v>0</v>
      </c>
      <c r="G559" s="860">
        <f t="shared" si="213"/>
        <v>0</v>
      </c>
      <c r="H559" s="861">
        <f t="shared" si="214"/>
        <v>0</v>
      </c>
      <c r="I559" s="861">
        <f t="shared" si="215"/>
        <v>0</v>
      </c>
      <c r="J559" s="859">
        <f t="shared" si="216"/>
        <v>0</v>
      </c>
      <c r="K559" s="674">
        <f>SUM(C559:J559)</f>
        <v>0</v>
      </c>
    </row>
    <row r="560" spans="1:11" ht="17.45" customHeight="1">
      <c r="A560" s="1435"/>
      <c r="B560" s="669" t="str">
        <f t="shared" si="217"/>
        <v>7구간</v>
      </c>
      <c r="C560" s="862">
        <f>ROUND((((C$513*$G117*H$203+$G$505)*$E$500)*$C305),2)</f>
        <v>0</v>
      </c>
      <c r="D560" s="863">
        <f t="shared" si="210"/>
        <v>0</v>
      </c>
      <c r="E560" s="864">
        <f t="shared" si="211"/>
        <v>0</v>
      </c>
      <c r="F560" s="863">
        <f t="shared" si="212"/>
        <v>0</v>
      </c>
      <c r="G560" s="864">
        <f t="shared" si="213"/>
        <v>0</v>
      </c>
      <c r="H560" s="865">
        <f t="shared" si="214"/>
        <v>0</v>
      </c>
      <c r="I560" s="865">
        <f t="shared" si="215"/>
        <v>0</v>
      </c>
      <c r="J560" s="863">
        <f t="shared" si="216"/>
        <v>0</v>
      </c>
      <c r="K560" s="674">
        <f>SUM(C560:J560)</f>
        <v>0</v>
      </c>
    </row>
    <row r="561" spans="1:11" ht="17.45" customHeight="1">
      <c r="A561" s="1435"/>
      <c r="B561" s="669" t="str">
        <f t="shared" si="217"/>
        <v>8구간</v>
      </c>
      <c r="C561" s="843">
        <f>ROUND((((C$513*$G118*I$203+$G$505)*$E$500)*$C306),2)</f>
        <v>0</v>
      </c>
      <c r="D561" s="852">
        <f t="shared" si="210"/>
        <v>0</v>
      </c>
      <c r="E561" s="831">
        <f t="shared" si="211"/>
        <v>0</v>
      </c>
      <c r="F561" s="852">
        <f t="shared" si="212"/>
        <v>0</v>
      </c>
      <c r="G561" s="831">
        <f t="shared" si="213"/>
        <v>0</v>
      </c>
      <c r="H561" s="833">
        <f t="shared" si="214"/>
        <v>0</v>
      </c>
      <c r="I561" s="833">
        <f t="shared" si="215"/>
        <v>0</v>
      </c>
      <c r="J561" s="852">
        <f t="shared" si="216"/>
        <v>0</v>
      </c>
      <c r="K561" s="674">
        <f>SUM(C561:J561)</f>
        <v>0</v>
      </c>
    </row>
    <row r="562" spans="1:11" ht="17.45" customHeight="1">
      <c r="A562" s="1435"/>
      <c r="B562" s="669" t="str">
        <f t="shared" si="217"/>
        <v>9구간</v>
      </c>
      <c r="C562" s="841">
        <f>ROUND((((C$513*$G119*J$203+$G$505)*$E$500)*$C307),2)</f>
        <v>0</v>
      </c>
      <c r="D562" s="853">
        <f t="shared" si="210"/>
        <v>0</v>
      </c>
      <c r="E562" s="828">
        <f t="shared" si="211"/>
        <v>0</v>
      </c>
      <c r="F562" s="853">
        <f t="shared" si="212"/>
        <v>0</v>
      </c>
      <c r="G562" s="828">
        <f t="shared" si="213"/>
        <v>0</v>
      </c>
      <c r="H562" s="830">
        <f t="shared" si="214"/>
        <v>0</v>
      </c>
      <c r="I562" s="830">
        <f t="shared" si="215"/>
        <v>0</v>
      </c>
      <c r="J562" s="853">
        <f t="shared" si="216"/>
        <v>0</v>
      </c>
      <c r="K562" s="674">
        <f>SUM(C562:J562)</f>
        <v>0</v>
      </c>
    </row>
    <row r="563" spans="1:11" ht="17.45" customHeight="1">
      <c r="A563" s="1436"/>
      <c r="B563" s="680" t="str">
        <f t="shared" si="217"/>
        <v>10구간</v>
      </c>
      <c r="C563" s="841">
        <f>ROUND((((C$513*$G120*K$203+$G$505)*$E$500)*$C308),2)</f>
        <v>0</v>
      </c>
      <c r="D563" s="853">
        <f t="shared" si="210"/>
        <v>0</v>
      </c>
      <c r="E563" s="828">
        <f t="shared" si="211"/>
        <v>0</v>
      </c>
      <c r="F563" s="853">
        <f t="shared" si="212"/>
        <v>0</v>
      </c>
      <c r="G563" s="828">
        <f t="shared" si="213"/>
        <v>0</v>
      </c>
      <c r="H563" s="830">
        <f t="shared" si="214"/>
        <v>0</v>
      </c>
      <c r="I563" s="830">
        <f t="shared" si="215"/>
        <v>0</v>
      </c>
      <c r="J563" s="853">
        <f t="shared" si="216"/>
        <v>0</v>
      </c>
      <c r="K563" s="674">
        <f>SUM(C563:J563)</f>
        <v>0</v>
      </c>
    </row>
    <row r="564" spans="1:11" ht="17.45" customHeight="1">
      <c r="A564" s="1434">
        <v>60</v>
      </c>
      <c r="B564" s="676" t="str">
        <f t="shared" si="217"/>
        <v>1구간</v>
      </c>
      <c r="C564" s="854">
        <f>ROUND((((C$513*$H111*B$203+$H$505)*$E$500)*$C310),2)</f>
        <v>85.01</v>
      </c>
      <c r="D564" s="855">
        <f>ROUND((((D$513*$H134*B$203+$H$505)*$E$500)*$D310),2)</f>
        <v>67.819999999999993</v>
      </c>
      <c r="E564" s="856">
        <f>ROUND((((E$513*$H157*B$203+$H$505)*$E$500)*$E310),2)</f>
        <v>0</v>
      </c>
      <c r="F564" s="855">
        <f>ROUND((((F$513*$H180*B$203+$H$506)*$E$500)*$F310),2)</f>
        <v>10.029999999999999</v>
      </c>
      <c r="G564" s="856">
        <f>ROUND((((G$513*$H157*B$203+$H$505)*$E$500)*$G310),2)</f>
        <v>29.99</v>
      </c>
      <c r="H564" s="857">
        <f>ROUND((((H$513*$H180*B$203+$H$506)*$E$500)*$H310),2)</f>
        <v>31.31</v>
      </c>
      <c r="I564" s="857">
        <f>ROUND((((I$513*$H180*B$203+$H$506)*$E$500)*$I310),2)</f>
        <v>3.97</v>
      </c>
      <c r="J564" s="855">
        <f>ROUND((((J$513*$H180*B$203+$H$506)*$E$500)*$J310),2)</f>
        <v>11.7</v>
      </c>
      <c r="K564" s="681">
        <f t="shared" si="180"/>
        <v>239.82999999999998</v>
      </c>
    </row>
    <row r="565" spans="1:11" ht="17.45" customHeight="1">
      <c r="A565" s="1435"/>
      <c r="B565" s="669" t="str">
        <f t="shared" si="217"/>
        <v>2구간</v>
      </c>
      <c r="C565" s="862">
        <f>ROUND((((C$513*$H112*C$203+$H$505)*$E$500)*$C311),2)</f>
        <v>0</v>
      </c>
      <c r="D565" s="863">
        <f t="shared" ref="D565:D573" si="218">ROUND((((D$513*$H135*B$203+$H$505)*$E$500)*$D311),2)</f>
        <v>0</v>
      </c>
      <c r="E565" s="864">
        <f t="shared" ref="E565:E573" si="219">ROUND((((E$513*$H158*B$203+$H$505)*$E$500)*$E311),2)</f>
        <v>0</v>
      </c>
      <c r="F565" s="863">
        <f t="shared" ref="F565:F573" si="220">ROUND((((F$513*$H181*B$203+$H$506)*$E$500)*$F311),2)</f>
        <v>0</v>
      </c>
      <c r="G565" s="864">
        <f t="shared" ref="G565:G573" si="221">ROUND((((G$513*$H158*B$203+$H$505)*$E$500)*$G311),2)</f>
        <v>0</v>
      </c>
      <c r="H565" s="865">
        <f t="shared" ref="H565:H573" si="222">ROUND((((H$513*$H181*B$203+$H$506)*$E$500)*$H311),2)</f>
        <v>0</v>
      </c>
      <c r="I565" s="865">
        <f t="shared" ref="I565:I573" si="223">ROUND((((I$513*$H181*B$203+$H$506)*$E$500)*$I311),2)</f>
        <v>0</v>
      </c>
      <c r="J565" s="863">
        <f t="shared" ref="J565:J573" si="224">ROUND((((J$513*$H181*B$203+$H$506)*$E$500)*$J311),2)</f>
        <v>0</v>
      </c>
      <c r="K565" s="674">
        <f t="shared" si="180"/>
        <v>0</v>
      </c>
    </row>
    <row r="566" spans="1:11" ht="17.45" customHeight="1">
      <c r="A566" s="1435"/>
      <c r="B566" s="669" t="str">
        <f t="shared" si="217"/>
        <v>3구간</v>
      </c>
      <c r="C566" s="843">
        <f>ROUND((((C$513*$H113*D$203+$H$505)*$E$500)*$C312),2)</f>
        <v>0</v>
      </c>
      <c r="D566" s="852">
        <f t="shared" si="218"/>
        <v>0</v>
      </c>
      <c r="E566" s="831">
        <f t="shared" si="219"/>
        <v>0</v>
      </c>
      <c r="F566" s="852">
        <f t="shared" si="220"/>
        <v>0</v>
      </c>
      <c r="G566" s="831">
        <f t="shared" si="221"/>
        <v>0</v>
      </c>
      <c r="H566" s="833">
        <f t="shared" si="222"/>
        <v>0</v>
      </c>
      <c r="I566" s="833">
        <f t="shared" si="223"/>
        <v>0</v>
      </c>
      <c r="J566" s="852">
        <f t="shared" si="224"/>
        <v>0</v>
      </c>
      <c r="K566" s="674">
        <f t="shared" si="180"/>
        <v>0</v>
      </c>
    </row>
    <row r="567" spans="1:11" ht="17.45" customHeight="1">
      <c r="A567" s="1435"/>
      <c r="B567" s="669" t="str">
        <f t="shared" si="217"/>
        <v>4구간</v>
      </c>
      <c r="C567" s="841">
        <f>ROUND((((C$513*$H114*E$203+$H$505)*$E$500)*$C313),2)</f>
        <v>0</v>
      </c>
      <c r="D567" s="853">
        <f t="shared" si="218"/>
        <v>0</v>
      </c>
      <c r="E567" s="828">
        <f t="shared" si="219"/>
        <v>0</v>
      </c>
      <c r="F567" s="853">
        <f t="shared" si="220"/>
        <v>0</v>
      </c>
      <c r="G567" s="828">
        <f t="shared" si="221"/>
        <v>0</v>
      </c>
      <c r="H567" s="830">
        <f t="shared" si="222"/>
        <v>0</v>
      </c>
      <c r="I567" s="830">
        <f t="shared" si="223"/>
        <v>0</v>
      </c>
      <c r="J567" s="853">
        <f t="shared" si="224"/>
        <v>0</v>
      </c>
      <c r="K567" s="674">
        <f t="shared" si="180"/>
        <v>0</v>
      </c>
    </row>
    <row r="568" spans="1:11" ht="17.45" customHeight="1">
      <c r="A568" s="1435"/>
      <c r="B568" s="669" t="str">
        <f t="shared" si="217"/>
        <v>5구간</v>
      </c>
      <c r="C568" s="843">
        <f>ROUND((((C$513*$H115*F$203+$H$505)*$E$500)*$C314),2)</f>
        <v>0</v>
      </c>
      <c r="D568" s="852">
        <f t="shared" si="218"/>
        <v>0</v>
      </c>
      <c r="E568" s="831">
        <f t="shared" si="219"/>
        <v>0</v>
      </c>
      <c r="F568" s="852">
        <f t="shared" si="220"/>
        <v>0</v>
      </c>
      <c r="G568" s="831">
        <f t="shared" si="221"/>
        <v>0</v>
      </c>
      <c r="H568" s="833">
        <f t="shared" si="222"/>
        <v>0</v>
      </c>
      <c r="I568" s="833">
        <f t="shared" si="223"/>
        <v>0</v>
      </c>
      <c r="J568" s="852">
        <f t="shared" si="224"/>
        <v>0</v>
      </c>
      <c r="K568" s="675">
        <f t="shared" si="180"/>
        <v>0</v>
      </c>
    </row>
    <row r="569" spans="1:11" ht="17.45" customHeight="1">
      <c r="A569" s="1435"/>
      <c r="B569" s="676" t="str">
        <f t="shared" si="217"/>
        <v>6구간</v>
      </c>
      <c r="C569" s="858">
        <f>ROUND((((C$513*$H116*G$203+$H$505)*$E$500)*$C315),2)</f>
        <v>0</v>
      </c>
      <c r="D569" s="859">
        <f t="shared" si="218"/>
        <v>0</v>
      </c>
      <c r="E569" s="860">
        <f t="shared" si="219"/>
        <v>0</v>
      </c>
      <c r="F569" s="859">
        <f t="shared" si="220"/>
        <v>0</v>
      </c>
      <c r="G569" s="860">
        <f t="shared" si="221"/>
        <v>0</v>
      </c>
      <c r="H569" s="861">
        <f t="shared" si="222"/>
        <v>0</v>
      </c>
      <c r="I569" s="861">
        <f t="shared" si="223"/>
        <v>0</v>
      </c>
      <c r="J569" s="859">
        <f t="shared" si="224"/>
        <v>0</v>
      </c>
      <c r="K569" s="674">
        <f>SUM(C569:J569)</f>
        <v>0</v>
      </c>
    </row>
    <row r="570" spans="1:11" ht="17.45" customHeight="1">
      <c r="A570" s="1435"/>
      <c r="B570" s="669" t="str">
        <f t="shared" si="217"/>
        <v>7구간</v>
      </c>
      <c r="C570" s="862">
        <f>ROUND((((C$513*$H117*H$203+$H$505)*$E$500)*$C316),2)</f>
        <v>0</v>
      </c>
      <c r="D570" s="863">
        <f t="shared" si="218"/>
        <v>0</v>
      </c>
      <c r="E570" s="864">
        <f t="shared" si="219"/>
        <v>0</v>
      </c>
      <c r="F570" s="863">
        <f t="shared" si="220"/>
        <v>0</v>
      </c>
      <c r="G570" s="864">
        <f t="shared" si="221"/>
        <v>0</v>
      </c>
      <c r="H570" s="865">
        <f t="shared" si="222"/>
        <v>0</v>
      </c>
      <c r="I570" s="865">
        <f t="shared" si="223"/>
        <v>0</v>
      </c>
      <c r="J570" s="863">
        <f t="shared" si="224"/>
        <v>0</v>
      </c>
      <c r="K570" s="674">
        <f>SUM(C570:J570)</f>
        <v>0</v>
      </c>
    </row>
    <row r="571" spans="1:11" ht="17.45" customHeight="1">
      <c r="A571" s="1435"/>
      <c r="B571" s="669" t="str">
        <f t="shared" si="217"/>
        <v>8구간</v>
      </c>
      <c r="C571" s="843">
        <f>ROUND((((C$513*$H118*I$203+$H$505)*$E$500)*$C317),2)</f>
        <v>0</v>
      </c>
      <c r="D571" s="852">
        <f t="shared" si="218"/>
        <v>0</v>
      </c>
      <c r="E571" s="831">
        <f t="shared" si="219"/>
        <v>0</v>
      </c>
      <c r="F571" s="852">
        <f t="shared" si="220"/>
        <v>0</v>
      </c>
      <c r="G571" s="831">
        <f t="shared" si="221"/>
        <v>0</v>
      </c>
      <c r="H571" s="833">
        <f t="shared" si="222"/>
        <v>0</v>
      </c>
      <c r="I571" s="833">
        <f t="shared" si="223"/>
        <v>0</v>
      </c>
      <c r="J571" s="852">
        <f t="shared" si="224"/>
        <v>0</v>
      </c>
      <c r="K571" s="674">
        <f>SUM(C571:J571)</f>
        <v>0</v>
      </c>
    </row>
    <row r="572" spans="1:11" ht="17.45" customHeight="1">
      <c r="A572" s="1435"/>
      <c r="B572" s="669" t="str">
        <f t="shared" si="217"/>
        <v>9구간</v>
      </c>
      <c r="C572" s="841">
        <f>ROUND((((C$513*$H119*J$203+$H$505)*$E$500)*$C318),2)</f>
        <v>0</v>
      </c>
      <c r="D572" s="853">
        <f t="shared" si="218"/>
        <v>0</v>
      </c>
      <c r="E572" s="828">
        <f t="shared" si="219"/>
        <v>0</v>
      </c>
      <c r="F572" s="853">
        <f t="shared" si="220"/>
        <v>0</v>
      </c>
      <c r="G572" s="828">
        <f t="shared" si="221"/>
        <v>0</v>
      </c>
      <c r="H572" s="830">
        <f t="shared" si="222"/>
        <v>0</v>
      </c>
      <c r="I572" s="830">
        <f t="shared" si="223"/>
        <v>0</v>
      </c>
      <c r="J572" s="853">
        <f t="shared" si="224"/>
        <v>0</v>
      </c>
      <c r="K572" s="674">
        <f>SUM(C572:J572)</f>
        <v>0</v>
      </c>
    </row>
    <row r="573" spans="1:11" ht="17.45" customHeight="1">
      <c r="A573" s="1436"/>
      <c r="B573" s="680" t="str">
        <f t="shared" si="217"/>
        <v>10구간</v>
      </c>
      <c r="C573" s="841">
        <f>ROUND((((C$513*$H120*K$203+$H$505)*$E$500)*$C319),2)</f>
        <v>0</v>
      </c>
      <c r="D573" s="853">
        <f t="shared" si="218"/>
        <v>0</v>
      </c>
      <c r="E573" s="828">
        <f t="shared" si="219"/>
        <v>0</v>
      </c>
      <c r="F573" s="853">
        <f t="shared" si="220"/>
        <v>0</v>
      </c>
      <c r="G573" s="828">
        <f t="shared" si="221"/>
        <v>0</v>
      </c>
      <c r="H573" s="830">
        <f t="shared" si="222"/>
        <v>0</v>
      </c>
      <c r="I573" s="830">
        <f t="shared" si="223"/>
        <v>0</v>
      </c>
      <c r="J573" s="853">
        <f t="shared" si="224"/>
        <v>0</v>
      </c>
      <c r="K573" s="674">
        <f>SUM(C573:J573)</f>
        <v>0</v>
      </c>
    </row>
    <row r="574" spans="1:11" ht="17.45" customHeight="1">
      <c r="A574" s="1434">
        <v>70</v>
      </c>
      <c r="B574" s="676" t="str">
        <f t="shared" si="217"/>
        <v>1구간</v>
      </c>
      <c r="C574" s="854">
        <f>ROUND((((C$513*$I111*B$203+$I$505)*$E$500)*$C321),2)</f>
        <v>82.79</v>
      </c>
      <c r="D574" s="855">
        <f>ROUND((((D$513*$I134*B$203+$I$505)*$E$500)*$D321),2)</f>
        <v>66</v>
      </c>
      <c r="E574" s="856">
        <f>ROUND((((E$513*$I157*B$203+$I$505)*$E$500)*$E321),2)</f>
        <v>0</v>
      </c>
      <c r="F574" s="855">
        <f>ROUND((((F$513*$I180*B$203+$I$506)*$E$500)*$F321),2)</f>
        <v>9.92</v>
      </c>
      <c r="G574" s="856">
        <f>ROUND((((G$513*$I157*B$203+$I$505)*$E$500)*$G321),2)</f>
        <v>29.32</v>
      </c>
      <c r="H574" s="857">
        <f>ROUND((((H$513*$I180*B$203+$I$506)*$E$500)*$H321),2)</f>
        <v>30.81</v>
      </c>
      <c r="I574" s="857">
        <f>ROUND((((I$513*$I180*B$203+$I$506)*$E$500)*$I321),2)</f>
        <v>4.18</v>
      </c>
      <c r="J574" s="855">
        <f>ROUND((((J$513*$I180*B$203+$I$506)*$E$500)*$J321),2)</f>
        <v>11.65</v>
      </c>
      <c r="K574" s="681">
        <f t="shared" si="180"/>
        <v>234.67000000000002</v>
      </c>
    </row>
    <row r="575" spans="1:11" ht="17.45" customHeight="1">
      <c r="A575" s="1435"/>
      <c r="B575" s="669" t="str">
        <f t="shared" si="217"/>
        <v>2구간</v>
      </c>
      <c r="C575" s="862">
        <f>ROUND((((C$513*$I112*C$203+$I$505)*$E$500)*$C322),2)</f>
        <v>0</v>
      </c>
      <c r="D575" s="863">
        <f t="shared" ref="D575:D583" si="225">ROUND((((D$513*$I135*B$203+$I$505)*$E$500)*$D322),2)</f>
        <v>0</v>
      </c>
      <c r="E575" s="864">
        <f t="shared" ref="E575:E583" si="226">ROUND((((E$513*$I158*B$203+$I$505)*$E$500)*$E322),2)</f>
        <v>0</v>
      </c>
      <c r="F575" s="863">
        <f t="shared" ref="F575:F583" si="227">ROUND((((F$513*$I181*B$203+$I$506)*$E$500)*$F322),2)</f>
        <v>0</v>
      </c>
      <c r="G575" s="864">
        <f t="shared" ref="G575:G583" si="228">ROUND((((G$513*$I158*B$203+$I$505)*$E$500)*$G322),2)</f>
        <v>0</v>
      </c>
      <c r="H575" s="865">
        <f t="shared" ref="H575:H583" si="229">ROUND((((H$513*$I181*B$203+$I$506)*$E$500)*$H322),2)</f>
        <v>0</v>
      </c>
      <c r="I575" s="865">
        <f t="shared" ref="I575:I583" si="230">ROUND((((I$513*$I181*B$203+$I$506)*$E$500)*$I322),2)</f>
        <v>0</v>
      </c>
      <c r="J575" s="863">
        <f t="shared" ref="J575:J583" si="231">ROUND((((J$513*$I181*B$203+$I$506)*$E$500)*$J322),2)</f>
        <v>0</v>
      </c>
      <c r="K575" s="674">
        <f t="shared" si="180"/>
        <v>0</v>
      </c>
    </row>
    <row r="576" spans="1:11" ht="17.45" customHeight="1">
      <c r="A576" s="1435"/>
      <c r="B576" s="669" t="str">
        <f t="shared" si="217"/>
        <v>3구간</v>
      </c>
      <c r="C576" s="843">
        <f>ROUND((((C$513*$I113*D$203+$I$505)*$E$500)*$C323),2)</f>
        <v>0</v>
      </c>
      <c r="D576" s="852">
        <f t="shared" si="225"/>
        <v>0</v>
      </c>
      <c r="E576" s="831">
        <f t="shared" si="226"/>
        <v>0</v>
      </c>
      <c r="F576" s="852">
        <f t="shared" si="227"/>
        <v>0</v>
      </c>
      <c r="G576" s="831">
        <f t="shared" si="228"/>
        <v>0</v>
      </c>
      <c r="H576" s="833">
        <f t="shared" si="229"/>
        <v>0</v>
      </c>
      <c r="I576" s="833">
        <f t="shared" si="230"/>
        <v>0</v>
      </c>
      <c r="J576" s="852">
        <f t="shared" si="231"/>
        <v>0</v>
      </c>
      <c r="K576" s="674">
        <f t="shared" si="180"/>
        <v>0</v>
      </c>
    </row>
    <row r="577" spans="1:11" ht="17.45" customHeight="1">
      <c r="A577" s="1435"/>
      <c r="B577" s="669" t="str">
        <f t="shared" si="217"/>
        <v>4구간</v>
      </c>
      <c r="C577" s="841">
        <f>ROUND((((C$513*$I114*E$203+$I$505)*$E$500)*$C324),2)</f>
        <v>0</v>
      </c>
      <c r="D577" s="853">
        <f t="shared" si="225"/>
        <v>0</v>
      </c>
      <c r="E577" s="828">
        <f t="shared" si="226"/>
        <v>0</v>
      </c>
      <c r="F577" s="853">
        <f t="shared" si="227"/>
        <v>0</v>
      </c>
      <c r="G577" s="828">
        <f t="shared" si="228"/>
        <v>0</v>
      </c>
      <c r="H577" s="830">
        <f t="shared" si="229"/>
        <v>0</v>
      </c>
      <c r="I577" s="830">
        <f t="shared" si="230"/>
        <v>0</v>
      </c>
      <c r="J577" s="853">
        <f t="shared" si="231"/>
        <v>0</v>
      </c>
      <c r="K577" s="674">
        <f t="shared" si="180"/>
        <v>0</v>
      </c>
    </row>
    <row r="578" spans="1:11" ht="17.45" customHeight="1">
      <c r="A578" s="1435"/>
      <c r="B578" s="669" t="str">
        <f t="shared" si="217"/>
        <v>5구간</v>
      </c>
      <c r="C578" s="843">
        <f>ROUND((((C$513*$I115*F$203+$I$505)*$E$500)*$C325),2)</f>
        <v>0</v>
      </c>
      <c r="D578" s="852">
        <f t="shared" si="225"/>
        <v>0</v>
      </c>
      <c r="E578" s="831">
        <f t="shared" si="226"/>
        <v>0</v>
      </c>
      <c r="F578" s="852">
        <f t="shared" si="227"/>
        <v>0</v>
      </c>
      <c r="G578" s="831">
        <f t="shared" si="228"/>
        <v>0</v>
      </c>
      <c r="H578" s="833">
        <f t="shared" si="229"/>
        <v>0</v>
      </c>
      <c r="I578" s="833">
        <f t="shared" si="230"/>
        <v>0</v>
      </c>
      <c r="J578" s="852">
        <f t="shared" si="231"/>
        <v>0</v>
      </c>
      <c r="K578" s="675">
        <f t="shared" si="180"/>
        <v>0</v>
      </c>
    </row>
    <row r="579" spans="1:11" ht="17.45" customHeight="1">
      <c r="A579" s="1435"/>
      <c r="B579" s="676" t="str">
        <f t="shared" si="217"/>
        <v>6구간</v>
      </c>
      <c r="C579" s="858">
        <f>ROUND((((C$513*$I116*G$203+$I$505)*$E$500)*$C326),2)</f>
        <v>0</v>
      </c>
      <c r="D579" s="859">
        <f t="shared" si="225"/>
        <v>0</v>
      </c>
      <c r="E579" s="860">
        <f t="shared" si="226"/>
        <v>0</v>
      </c>
      <c r="F579" s="859">
        <f t="shared" si="227"/>
        <v>0</v>
      </c>
      <c r="G579" s="860">
        <f t="shared" si="228"/>
        <v>0</v>
      </c>
      <c r="H579" s="861">
        <f t="shared" si="229"/>
        <v>0</v>
      </c>
      <c r="I579" s="861">
        <f t="shared" si="230"/>
        <v>0</v>
      </c>
      <c r="J579" s="859">
        <f t="shared" si="231"/>
        <v>0</v>
      </c>
      <c r="K579" s="674">
        <f>SUM(C579:J579)</f>
        <v>0</v>
      </c>
    </row>
    <row r="580" spans="1:11" ht="17.45" customHeight="1">
      <c r="A580" s="1435"/>
      <c r="B580" s="669" t="str">
        <f t="shared" si="217"/>
        <v>7구간</v>
      </c>
      <c r="C580" s="862">
        <f>ROUND((((C$513*$I117*H$203+$I$505)*$E$500)*$C327),2)</f>
        <v>0</v>
      </c>
      <c r="D580" s="863">
        <f t="shared" si="225"/>
        <v>0</v>
      </c>
      <c r="E580" s="864">
        <f t="shared" si="226"/>
        <v>0</v>
      </c>
      <c r="F580" s="863">
        <f t="shared" si="227"/>
        <v>0</v>
      </c>
      <c r="G580" s="864">
        <f t="shared" si="228"/>
        <v>0</v>
      </c>
      <c r="H580" s="865">
        <f t="shared" si="229"/>
        <v>0</v>
      </c>
      <c r="I580" s="865">
        <f t="shared" si="230"/>
        <v>0</v>
      </c>
      <c r="J580" s="863">
        <f t="shared" si="231"/>
        <v>0</v>
      </c>
      <c r="K580" s="674">
        <f>SUM(C580:J580)</f>
        <v>0</v>
      </c>
    </row>
    <row r="581" spans="1:11" ht="17.45" customHeight="1">
      <c r="A581" s="1435"/>
      <c r="B581" s="669" t="str">
        <f t="shared" si="217"/>
        <v>8구간</v>
      </c>
      <c r="C581" s="843">
        <f>ROUND((((C$513*$I118*I$203+$I$505)*$E$500)*$C328),2)</f>
        <v>0</v>
      </c>
      <c r="D581" s="852">
        <f t="shared" si="225"/>
        <v>0</v>
      </c>
      <c r="E581" s="831">
        <f t="shared" si="226"/>
        <v>0</v>
      </c>
      <c r="F581" s="852">
        <f t="shared" si="227"/>
        <v>0</v>
      </c>
      <c r="G581" s="831">
        <f t="shared" si="228"/>
        <v>0</v>
      </c>
      <c r="H581" s="833">
        <f t="shared" si="229"/>
        <v>0</v>
      </c>
      <c r="I581" s="833">
        <f t="shared" si="230"/>
        <v>0</v>
      </c>
      <c r="J581" s="852">
        <f t="shared" si="231"/>
        <v>0</v>
      </c>
      <c r="K581" s="674">
        <f>SUM(C581:J581)</f>
        <v>0</v>
      </c>
    </row>
    <row r="582" spans="1:11" ht="17.45" customHeight="1">
      <c r="A582" s="1435"/>
      <c r="B582" s="669" t="str">
        <f t="shared" si="217"/>
        <v>9구간</v>
      </c>
      <c r="C582" s="841">
        <f>ROUND((((C$513*$I119*J$203+$I$505)*$E$500)*$C329),2)</f>
        <v>0</v>
      </c>
      <c r="D582" s="853">
        <f t="shared" si="225"/>
        <v>0</v>
      </c>
      <c r="E582" s="828">
        <f t="shared" si="226"/>
        <v>0</v>
      </c>
      <c r="F582" s="853">
        <f t="shared" si="227"/>
        <v>0</v>
      </c>
      <c r="G582" s="828">
        <f t="shared" si="228"/>
        <v>0</v>
      </c>
      <c r="H582" s="830">
        <f t="shared" si="229"/>
        <v>0</v>
      </c>
      <c r="I582" s="830">
        <f t="shared" si="230"/>
        <v>0</v>
      </c>
      <c r="J582" s="853">
        <f t="shared" si="231"/>
        <v>0</v>
      </c>
      <c r="K582" s="674">
        <f>SUM(C582:J582)</f>
        <v>0</v>
      </c>
    </row>
    <row r="583" spans="1:11" ht="17.45" customHeight="1">
      <c r="A583" s="1436"/>
      <c r="B583" s="680" t="str">
        <f t="shared" si="217"/>
        <v>10구간</v>
      </c>
      <c r="C583" s="841">
        <f>ROUND((((C$513*$I120*K$203+$I$505)*$E$500)*$C330),2)</f>
        <v>0</v>
      </c>
      <c r="D583" s="853">
        <f t="shared" si="225"/>
        <v>0</v>
      </c>
      <c r="E583" s="828">
        <f t="shared" si="226"/>
        <v>0</v>
      </c>
      <c r="F583" s="853">
        <f t="shared" si="227"/>
        <v>0</v>
      </c>
      <c r="G583" s="828">
        <f t="shared" si="228"/>
        <v>0</v>
      </c>
      <c r="H583" s="830">
        <f t="shared" si="229"/>
        <v>0</v>
      </c>
      <c r="I583" s="830">
        <f t="shared" si="230"/>
        <v>0</v>
      </c>
      <c r="J583" s="853">
        <f t="shared" si="231"/>
        <v>0</v>
      </c>
      <c r="K583" s="674">
        <f>SUM(C583:J583)</f>
        <v>0</v>
      </c>
    </row>
    <row r="584" spans="1:11" ht="17.45" customHeight="1">
      <c r="A584" s="1434">
        <v>80</v>
      </c>
      <c r="B584" s="676" t="str">
        <f t="shared" si="217"/>
        <v>1구간</v>
      </c>
      <c r="C584" s="854">
        <f>ROUND((((C$513*$J111*B$203+$J$505)*$E$500)*$C332),2)</f>
        <v>85.83</v>
      </c>
      <c r="D584" s="855">
        <f>ROUND((((D$513*$J134*B$203+$J$505)*$E$500)*$D332),2)</f>
        <v>68.66</v>
      </c>
      <c r="E584" s="856">
        <f>ROUND((((E$513*$J157*B$203+$J$505)*$E$500)*$E332),2)</f>
        <v>0</v>
      </c>
      <c r="F584" s="855">
        <f>ROUND((((F$513*$J180*B$203+$J$506)*$E$500)*$F332),2)</f>
        <v>10.23</v>
      </c>
      <c r="G584" s="856">
        <f>ROUND((((G$513*$J157*B$203+$J$505)*$E$500)*$G332),2)</f>
        <v>31.16</v>
      </c>
      <c r="H584" s="857">
        <f>ROUND((((H$513*$J180*B$203+$J$506)*$E$500)*$H332),2)</f>
        <v>32.53</v>
      </c>
      <c r="I584" s="857">
        <f>ROUND((((I$513*$J$180*B$203+$J$506)*$E$500)*$I332),2)</f>
        <v>4.45</v>
      </c>
      <c r="J584" s="855">
        <f>ROUND((((J$513*$J180*B$203+$J$506)*$E$500)*$J332),2)</f>
        <v>12.24</v>
      </c>
      <c r="K584" s="681">
        <f t="shared" si="180"/>
        <v>245.1</v>
      </c>
    </row>
    <row r="585" spans="1:11" ht="17.45" customHeight="1">
      <c r="A585" s="1435"/>
      <c r="B585" s="669" t="str">
        <f t="shared" si="217"/>
        <v>2구간</v>
      </c>
      <c r="C585" s="862">
        <f>ROUND((((C$513*$J112*C$203+$J$505)*$E$500)*$C333),2)</f>
        <v>0</v>
      </c>
      <c r="D585" s="863">
        <f t="shared" ref="D585:D593" si="232">ROUND((((D$513*$J135*B$203+$J$505)*$E$500)*$D333),2)</f>
        <v>0</v>
      </c>
      <c r="E585" s="864">
        <f t="shared" ref="E585:E593" si="233">ROUND((((E$513*$J158*B$203+$J$505)*$E$500)*$E333),2)</f>
        <v>0</v>
      </c>
      <c r="F585" s="863">
        <f t="shared" ref="F585:F593" si="234">ROUND((((F$513*$J181*B$203+$J$506)*$E$500)*$F333),2)</f>
        <v>0</v>
      </c>
      <c r="G585" s="864">
        <f t="shared" ref="G585:G593" si="235">ROUND((((G$513*$J158*B$203+$J$505)*$E$500)*$G333),2)</f>
        <v>0</v>
      </c>
      <c r="H585" s="865">
        <f t="shared" ref="H585:H593" si="236">ROUND((((H$513*$J181*B$203+$J$506)*$E$500)*$H333),2)</f>
        <v>0</v>
      </c>
      <c r="I585" s="865">
        <f t="shared" ref="I585:I593" si="237">ROUND((((I$513*$J$180*B$203+$J$506)*$E$500)*$I333),2)</f>
        <v>0</v>
      </c>
      <c r="J585" s="863">
        <f t="shared" ref="J585:J593" si="238">ROUND((((J$513*$J181*B$203+$J$506)*$E$500)*$J333),2)</f>
        <v>0</v>
      </c>
      <c r="K585" s="684">
        <f t="shared" si="180"/>
        <v>0</v>
      </c>
    </row>
    <row r="586" spans="1:11" ht="17.45" customHeight="1">
      <c r="A586" s="1435"/>
      <c r="B586" s="669" t="str">
        <f t="shared" si="217"/>
        <v>3구간</v>
      </c>
      <c r="C586" s="843">
        <f>ROUND((((C$513*$J113*D$203+$J$505)*$E$500)*$C334),2)</f>
        <v>0</v>
      </c>
      <c r="D586" s="852">
        <f t="shared" si="232"/>
        <v>0</v>
      </c>
      <c r="E586" s="831">
        <f t="shared" si="233"/>
        <v>0</v>
      </c>
      <c r="F586" s="852">
        <f t="shared" si="234"/>
        <v>0</v>
      </c>
      <c r="G586" s="831">
        <f t="shared" si="235"/>
        <v>0</v>
      </c>
      <c r="H586" s="833">
        <f t="shared" si="236"/>
        <v>0</v>
      </c>
      <c r="I586" s="833">
        <f t="shared" si="237"/>
        <v>0</v>
      </c>
      <c r="J586" s="852">
        <f t="shared" si="238"/>
        <v>0</v>
      </c>
      <c r="K586" s="674">
        <f t="shared" si="180"/>
        <v>0</v>
      </c>
    </row>
    <row r="587" spans="1:11" ht="17.45" customHeight="1">
      <c r="A587" s="1435"/>
      <c r="B587" s="669" t="str">
        <f t="shared" si="217"/>
        <v>4구간</v>
      </c>
      <c r="C587" s="841">
        <f>ROUND((((C$513*$J114*E$203+$J$505)*$E$500)*$C335),2)</f>
        <v>0</v>
      </c>
      <c r="D587" s="853">
        <f t="shared" si="232"/>
        <v>0</v>
      </c>
      <c r="E587" s="828">
        <f t="shared" si="233"/>
        <v>0</v>
      </c>
      <c r="F587" s="853">
        <f t="shared" si="234"/>
        <v>0</v>
      </c>
      <c r="G587" s="828">
        <f t="shared" si="235"/>
        <v>0</v>
      </c>
      <c r="H587" s="830">
        <f t="shared" si="236"/>
        <v>0</v>
      </c>
      <c r="I587" s="830">
        <f t="shared" si="237"/>
        <v>0</v>
      </c>
      <c r="J587" s="853">
        <f t="shared" si="238"/>
        <v>0</v>
      </c>
      <c r="K587" s="674">
        <f t="shared" si="180"/>
        <v>0</v>
      </c>
    </row>
    <row r="588" spans="1:11" ht="17.45" customHeight="1">
      <c r="A588" s="1435"/>
      <c r="B588" s="669" t="str">
        <f t="shared" ref="B588:B593" si="239">B578</f>
        <v>5구간</v>
      </c>
      <c r="C588" s="831">
        <f>ROUND((((C$513*$J115*F$203+$J$505)*$E$500)*$C336),2)</f>
        <v>0</v>
      </c>
      <c r="D588" s="852">
        <f t="shared" si="232"/>
        <v>0</v>
      </c>
      <c r="E588" s="831">
        <f t="shared" si="233"/>
        <v>0</v>
      </c>
      <c r="F588" s="852">
        <f t="shared" si="234"/>
        <v>0</v>
      </c>
      <c r="G588" s="831">
        <f t="shared" si="235"/>
        <v>0</v>
      </c>
      <c r="H588" s="833">
        <f t="shared" si="236"/>
        <v>0</v>
      </c>
      <c r="I588" s="833">
        <f t="shared" si="237"/>
        <v>0</v>
      </c>
      <c r="J588" s="852">
        <f t="shared" si="238"/>
        <v>0</v>
      </c>
      <c r="K588" s="675">
        <f t="shared" si="180"/>
        <v>0</v>
      </c>
    </row>
    <row r="589" spans="1:11" ht="17.45" customHeight="1">
      <c r="A589" s="1435"/>
      <c r="B589" s="676" t="str">
        <f t="shared" si="239"/>
        <v>6구간</v>
      </c>
      <c r="C589" s="858">
        <f>ROUND((((C$513*$J116*G$203+$J$505)*$E$500)*$C337),2)</f>
        <v>0</v>
      </c>
      <c r="D589" s="859">
        <f t="shared" si="232"/>
        <v>0</v>
      </c>
      <c r="E589" s="860">
        <f t="shared" si="233"/>
        <v>0</v>
      </c>
      <c r="F589" s="859">
        <f t="shared" si="234"/>
        <v>0</v>
      </c>
      <c r="G589" s="860">
        <f t="shared" si="235"/>
        <v>0</v>
      </c>
      <c r="H589" s="861">
        <f t="shared" si="236"/>
        <v>0</v>
      </c>
      <c r="I589" s="861">
        <f t="shared" si="237"/>
        <v>0</v>
      </c>
      <c r="J589" s="859">
        <f t="shared" si="238"/>
        <v>0</v>
      </c>
      <c r="K589" s="674">
        <f>SUM(C589:J589)</f>
        <v>0</v>
      </c>
    </row>
    <row r="590" spans="1:11" ht="17.45" customHeight="1">
      <c r="A590" s="1435"/>
      <c r="B590" s="669" t="str">
        <f t="shared" si="239"/>
        <v>7구간</v>
      </c>
      <c r="C590" s="862">
        <f>ROUND((((C$513*$J117*H$203+$J$505)*$E$500)*$C338),2)</f>
        <v>0</v>
      </c>
      <c r="D590" s="863">
        <f t="shared" si="232"/>
        <v>0</v>
      </c>
      <c r="E590" s="864">
        <f t="shared" si="233"/>
        <v>0</v>
      </c>
      <c r="F590" s="863">
        <f t="shared" si="234"/>
        <v>0</v>
      </c>
      <c r="G590" s="864">
        <f t="shared" si="235"/>
        <v>0</v>
      </c>
      <c r="H590" s="865">
        <f t="shared" si="236"/>
        <v>0</v>
      </c>
      <c r="I590" s="865">
        <f t="shared" si="237"/>
        <v>0</v>
      </c>
      <c r="J590" s="863">
        <f t="shared" si="238"/>
        <v>0</v>
      </c>
      <c r="K590" s="684">
        <f>SUM(C590:J590)</f>
        <v>0</v>
      </c>
    </row>
    <row r="591" spans="1:11" ht="17.45" customHeight="1">
      <c r="A591" s="1435"/>
      <c r="B591" s="669" t="str">
        <f t="shared" si="239"/>
        <v>8구간</v>
      </c>
      <c r="C591" s="843">
        <f>ROUND((((C$513*$J118*I$203+$J$505)*$E$500)*$C339),2)</f>
        <v>0</v>
      </c>
      <c r="D591" s="852">
        <f t="shared" si="232"/>
        <v>0</v>
      </c>
      <c r="E591" s="831">
        <f t="shared" si="233"/>
        <v>0</v>
      </c>
      <c r="F591" s="852">
        <f t="shared" si="234"/>
        <v>0</v>
      </c>
      <c r="G591" s="831">
        <f t="shared" si="235"/>
        <v>0</v>
      </c>
      <c r="H591" s="833">
        <f t="shared" si="236"/>
        <v>0</v>
      </c>
      <c r="I591" s="833">
        <f t="shared" si="237"/>
        <v>0</v>
      </c>
      <c r="J591" s="852">
        <f t="shared" si="238"/>
        <v>0</v>
      </c>
      <c r="K591" s="674">
        <f>SUM(C591:J591)</f>
        <v>0</v>
      </c>
    </row>
    <row r="592" spans="1:11" ht="17.45" customHeight="1">
      <c r="A592" s="1435"/>
      <c r="B592" s="669" t="str">
        <f t="shared" si="239"/>
        <v>9구간</v>
      </c>
      <c r="C592" s="841">
        <f>ROUND((((C$513*$J119*J$203+$J$505)*$E$500)*$C340),2)</f>
        <v>0</v>
      </c>
      <c r="D592" s="853">
        <f t="shared" si="232"/>
        <v>0</v>
      </c>
      <c r="E592" s="828">
        <f t="shared" si="233"/>
        <v>0</v>
      </c>
      <c r="F592" s="853">
        <f t="shared" si="234"/>
        <v>0</v>
      </c>
      <c r="G592" s="828">
        <f t="shared" si="235"/>
        <v>0</v>
      </c>
      <c r="H592" s="830">
        <f t="shared" si="236"/>
        <v>0</v>
      </c>
      <c r="I592" s="830">
        <f t="shared" si="237"/>
        <v>0</v>
      </c>
      <c r="J592" s="853">
        <f t="shared" si="238"/>
        <v>0</v>
      </c>
      <c r="K592" s="674">
        <f>SUM(C592:J592)</f>
        <v>0</v>
      </c>
    </row>
    <row r="593" spans="1:11" ht="17.45" customHeight="1" thickBot="1">
      <c r="A593" s="1450"/>
      <c r="B593" s="685" t="str">
        <f t="shared" si="239"/>
        <v>10구간</v>
      </c>
      <c r="C593" s="837">
        <f>ROUND((((C$513*$J120*K$203+$J$505)*$E$500)*$C341),2)</f>
        <v>0</v>
      </c>
      <c r="D593" s="866">
        <f t="shared" si="232"/>
        <v>0</v>
      </c>
      <c r="E593" s="837">
        <f t="shared" si="233"/>
        <v>0</v>
      </c>
      <c r="F593" s="866">
        <f t="shared" si="234"/>
        <v>0</v>
      </c>
      <c r="G593" s="837">
        <f t="shared" si="235"/>
        <v>0</v>
      </c>
      <c r="H593" s="839">
        <f t="shared" si="236"/>
        <v>0</v>
      </c>
      <c r="I593" s="839">
        <f t="shared" si="237"/>
        <v>0</v>
      </c>
      <c r="J593" s="866">
        <f t="shared" si="238"/>
        <v>0</v>
      </c>
      <c r="K593" s="688">
        <f>SUM(C593:J593)</f>
        <v>0</v>
      </c>
    </row>
    <row r="594" spans="1:11" ht="17.45" customHeight="1">
      <c r="A594" s="510"/>
      <c r="B594" s="510"/>
      <c r="C594" s="421"/>
      <c r="D594" s="421"/>
      <c r="E594" s="421"/>
      <c r="F594" s="421"/>
      <c r="G594" s="421"/>
      <c r="H594" s="421"/>
      <c r="I594" s="421"/>
      <c r="J594" s="421"/>
      <c r="K594" s="431"/>
    </row>
    <row r="595" spans="1:11" ht="17.45" customHeight="1" thickBot="1">
      <c r="A595" s="1308" t="str">
        <f>J6</f>
        <v>마산</v>
      </c>
      <c r="B595" s="1310" t="str">
        <f>B510</f>
        <v>방향</v>
      </c>
      <c r="C595" s="421"/>
      <c r="D595" s="421"/>
      <c r="E595" s="421"/>
      <c r="F595" s="421"/>
      <c r="G595" s="421"/>
      <c r="H595" s="421"/>
      <c r="I595" s="421"/>
      <c r="J595" s="421"/>
      <c r="K595" s="431"/>
    </row>
    <row r="596" spans="1:11" ht="17.45" customHeight="1">
      <c r="A596" s="1449" t="str">
        <f>J6</f>
        <v>마산</v>
      </c>
      <c r="B596" s="1478" t="s">
        <v>290</v>
      </c>
      <c r="C596" s="1451" t="s">
        <v>276</v>
      </c>
      <c r="D596" s="1453"/>
      <c r="E596" s="1466" t="s">
        <v>300</v>
      </c>
      <c r="F596" s="1468"/>
      <c r="G596" s="1451" t="s">
        <v>301</v>
      </c>
      <c r="H596" s="1452"/>
      <c r="I596" s="1452"/>
      <c r="J596" s="1453"/>
      <c r="K596" s="1459" t="s">
        <v>72</v>
      </c>
    </row>
    <row r="597" spans="1:11" ht="17.45" customHeight="1">
      <c r="A597" s="1436"/>
      <c r="B597" s="1479"/>
      <c r="C597" s="660" t="s">
        <v>268</v>
      </c>
      <c r="D597" s="1236" t="s">
        <v>269</v>
      </c>
      <c r="E597" s="1235" t="s">
        <v>19</v>
      </c>
      <c r="F597" s="661" t="s">
        <v>20</v>
      </c>
      <c r="G597" s="689" t="s">
        <v>19</v>
      </c>
      <c r="H597" s="402" t="s">
        <v>21</v>
      </c>
      <c r="I597" s="661" t="s">
        <v>20</v>
      </c>
      <c r="J597" s="662" t="s">
        <v>22</v>
      </c>
      <c r="K597" s="1460"/>
    </row>
    <row r="598" spans="1:11" ht="17.45" customHeight="1">
      <c r="A598" s="1233" t="s">
        <v>324</v>
      </c>
      <c r="B598" s="1498"/>
      <c r="C598" s="660">
        <f t="shared" ref="C598:J598" si="240">C513</f>
        <v>0</v>
      </c>
      <c r="D598" s="690">
        <f t="shared" si="240"/>
        <v>0.87119999999999997</v>
      </c>
      <c r="E598" s="1235">
        <f t="shared" si="240"/>
        <v>0.87119999999999997</v>
      </c>
      <c r="F598" s="451">
        <f t="shared" si="240"/>
        <v>7.7916999999999996</v>
      </c>
      <c r="G598" s="1235">
        <f t="shared" si="240"/>
        <v>0.87119999999999997</v>
      </c>
      <c r="H598" s="691">
        <f t="shared" si="240"/>
        <v>3.8269000000000002</v>
      </c>
      <c r="I598" s="402">
        <f t="shared" si="240"/>
        <v>8.6190999999999995</v>
      </c>
      <c r="J598" s="690">
        <f t="shared" si="240"/>
        <v>11.1532</v>
      </c>
      <c r="K598" s="1461"/>
    </row>
    <row r="599" spans="1:11" ht="17.45" customHeight="1">
      <c r="A599" s="1434">
        <v>10</v>
      </c>
      <c r="B599" s="665" t="s">
        <v>291</v>
      </c>
      <c r="C599" s="840">
        <f>ROUND(((($C$598*$C121*$B$205+$C$505)*$E$500)*$C392),2)</f>
        <v>84.64</v>
      </c>
      <c r="D599" s="851">
        <f>ROUND(((($D$598*$C144*$B$205+$C$505)*$E$500)*$D392),2)</f>
        <v>94.2</v>
      </c>
      <c r="E599" s="840">
        <f>ROUND(((($E$598*$C167*$B$205+$C$505)*$E$500)*$E392),2)</f>
        <v>0</v>
      </c>
      <c r="F599" s="851">
        <f>ROUND(((($F$598*$C190*$B$205+$C$506)*$E$500)*$F392),2)</f>
        <v>15.15</v>
      </c>
      <c r="G599" s="840">
        <f>ROUND(((($G$598*$C167*$B$205+$C$505)*$E$500)*$G392),2)</f>
        <v>40.44</v>
      </c>
      <c r="H599" s="842">
        <f>ROUND(((($H$598*$C190*$B$205+$C$506)*$E$500)*$H392),2)</f>
        <v>40.520000000000003</v>
      </c>
      <c r="I599" s="842">
        <f>ROUND(((($I$598*$C190*$B$205+$C$506)*$E$500)*$I392),2)</f>
        <v>6.39</v>
      </c>
      <c r="J599" s="851">
        <f>ROUND(((($J$598*$C190*$B$205+$C$506)*$E$500)*$J392),2)</f>
        <v>19.66</v>
      </c>
      <c r="K599" s="668">
        <f t="shared" ref="K599:K673" si="241">SUM(C599:J599)</f>
        <v>301</v>
      </c>
    </row>
    <row r="600" spans="1:11" ht="17.45" customHeight="1">
      <c r="A600" s="1435"/>
      <c r="B600" s="669" t="s">
        <v>292</v>
      </c>
      <c r="C600" s="831">
        <f>ROUND(((($C$598*$C122*$C$205+$C$505)*$E$500)*$C393),2)</f>
        <v>0</v>
      </c>
      <c r="D600" s="852">
        <f t="shared" ref="D600:D608" si="242">ROUND(((($D$598*$C145*$B$205+$C$505)*$E$500)*$D393),2)</f>
        <v>0</v>
      </c>
      <c r="E600" s="831">
        <f t="shared" ref="E600:E608" si="243">ROUND(((($E$598*$C168*$B$205+$C$505)*$E$500)*$E393),2)</f>
        <v>0</v>
      </c>
      <c r="F600" s="852">
        <f t="shared" ref="F600:F608" si="244">ROUND(((($F$598*$C191*$B$205+$C$506)*$E$500)*$F393),2)</f>
        <v>0</v>
      </c>
      <c r="G600" s="831">
        <f t="shared" ref="G600:G608" si="245">ROUND(((($G$598*$C168*$B$205+$C$505)*$E$500)*$G393),2)</f>
        <v>0</v>
      </c>
      <c r="H600" s="833">
        <f t="shared" ref="H600:H608" si="246">ROUND(((($H$598*$C191*$B$205+$C$506)*$E$500)*$H393),2)</f>
        <v>0</v>
      </c>
      <c r="I600" s="833">
        <f t="shared" ref="I600:I608" si="247">ROUND(((($I$598*$C191*$B$205+$C$506)*$E$500)*$I393),2)</f>
        <v>0</v>
      </c>
      <c r="J600" s="852">
        <f t="shared" ref="J600:J608" si="248">ROUND(((($J$598*$C191*$B$205+$C$506)*$E$500)*$J393),2)</f>
        <v>0</v>
      </c>
      <c r="K600" s="673">
        <f t="shared" si="241"/>
        <v>0</v>
      </c>
    </row>
    <row r="601" spans="1:11" ht="17.45" customHeight="1">
      <c r="A601" s="1435"/>
      <c r="B601" s="669" t="s">
        <v>297</v>
      </c>
      <c r="C601" s="831">
        <f>ROUND(((($C$598*$C123*$D$205+$C$505)*$E$500)*$C394),2)</f>
        <v>0</v>
      </c>
      <c r="D601" s="852">
        <f t="shared" si="242"/>
        <v>0</v>
      </c>
      <c r="E601" s="831">
        <f t="shared" si="243"/>
        <v>0</v>
      </c>
      <c r="F601" s="852">
        <f t="shared" si="244"/>
        <v>0</v>
      </c>
      <c r="G601" s="831">
        <f t="shared" si="245"/>
        <v>0</v>
      </c>
      <c r="H601" s="833">
        <f t="shared" si="246"/>
        <v>0</v>
      </c>
      <c r="I601" s="833">
        <f t="shared" si="247"/>
        <v>0</v>
      </c>
      <c r="J601" s="852">
        <f t="shared" si="248"/>
        <v>0</v>
      </c>
      <c r="K601" s="674">
        <f t="shared" si="241"/>
        <v>0</v>
      </c>
    </row>
    <row r="602" spans="1:11" ht="17.45" customHeight="1">
      <c r="A602" s="1435"/>
      <c r="B602" s="669" t="s">
        <v>298</v>
      </c>
      <c r="C602" s="831">
        <f>ROUND(((($C$598*$C124*$E$205+$C$505)*$E$500)*$C395),2)</f>
        <v>0</v>
      </c>
      <c r="D602" s="852">
        <f t="shared" si="242"/>
        <v>0</v>
      </c>
      <c r="E602" s="831">
        <f t="shared" si="243"/>
        <v>0</v>
      </c>
      <c r="F602" s="852">
        <f t="shared" si="244"/>
        <v>0</v>
      </c>
      <c r="G602" s="831">
        <f t="shared" si="245"/>
        <v>0</v>
      </c>
      <c r="H602" s="833">
        <f t="shared" si="246"/>
        <v>0</v>
      </c>
      <c r="I602" s="833">
        <f t="shared" si="247"/>
        <v>0</v>
      </c>
      <c r="J602" s="852">
        <f t="shared" si="248"/>
        <v>0</v>
      </c>
      <c r="K602" s="674">
        <f t="shared" si="241"/>
        <v>0</v>
      </c>
    </row>
    <row r="603" spans="1:11" ht="17.45" customHeight="1">
      <c r="A603" s="1435"/>
      <c r="B603" s="669" t="s">
        <v>299</v>
      </c>
      <c r="C603" s="831">
        <f>ROUND(((($C$598*$C125*$F$205+$C$505)*$E$500)*$C396),2)</f>
        <v>0</v>
      </c>
      <c r="D603" s="852">
        <f t="shared" si="242"/>
        <v>0</v>
      </c>
      <c r="E603" s="831">
        <f t="shared" si="243"/>
        <v>0</v>
      </c>
      <c r="F603" s="852">
        <f t="shared" si="244"/>
        <v>0</v>
      </c>
      <c r="G603" s="831">
        <f t="shared" si="245"/>
        <v>0</v>
      </c>
      <c r="H603" s="833">
        <f t="shared" si="246"/>
        <v>0</v>
      </c>
      <c r="I603" s="833">
        <f t="shared" si="247"/>
        <v>0</v>
      </c>
      <c r="J603" s="852">
        <f t="shared" si="248"/>
        <v>0</v>
      </c>
      <c r="K603" s="675">
        <f t="shared" si="241"/>
        <v>0</v>
      </c>
    </row>
    <row r="604" spans="1:11" ht="17.45" customHeight="1">
      <c r="A604" s="1435"/>
      <c r="B604" s="676" t="s">
        <v>350</v>
      </c>
      <c r="C604" s="828">
        <f>ROUND(((($C$598*$C126*G$205+$C$505)*$E$500)*$C397),2)</f>
        <v>0</v>
      </c>
      <c r="D604" s="853">
        <f t="shared" si="242"/>
        <v>0</v>
      </c>
      <c r="E604" s="828">
        <f t="shared" si="243"/>
        <v>0</v>
      </c>
      <c r="F604" s="853">
        <f t="shared" si="244"/>
        <v>0</v>
      </c>
      <c r="G604" s="828">
        <f t="shared" si="245"/>
        <v>0</v>
      </c>
      <c r="H604" s="830">
        <f t="shared" si="246"/>
        <v>0</v>
      </c>
      <c r="I604" s="830">
        <f t="shared" si="247"/>
        <v>0</v>
      </c>
      <c r="J604" s="853">
        <f t="shared" si="248"/>
        <v>0</v>
      </c>
      <c r="K604" s="673">
        <f>SUM(C604:J604)</f>
        <v>0</v>
      </c>
    </row>
    <row r="605" spans="1:11" ht="17.45" customHeight="1">
      <c r="A605" s="1435"/>
      <c r="B605" s="669" t="s">
        <v>351</v>
      </c>
      <c r="C605" s="831">
        <f>ROUND(((($C$598*$C127*$H$205+$C$505)*$E$500)*$C398),2)</f>
        <v>0</v>
      </c>
      <c r="D605" s="852">
        <f t="shared" si="242"/>
        <v>0</v>
      </c>
      <c r="E605" s="831">
        <f t="shared" si="243"/>
        <v>0</v>
      </c>
      <c r="F605" s="852">
        <f t="shared" si="244"/>
        <v>0</v>
      </c>
      <c r="G605" s="831">
        <f t="shared" si="245"/>
        <v>0</v>
      </c>
      <c r="H605" s="833">
        <f t="shared" si="246"/>
        <v>0</v>
      </c>
      <c r="I605" s="833">
        <f t="shared" si="247"/>
        <v>0</v>
      </c>
      <c r="J605" s="852">
        <f t="shared" si="248"/>
        <v>0</v>
      </c>
      <c r="K605" s="673">
        <f>SUM(C605:J605)</f>
        <v>0</v>
      </c>
    </row>
    <row r="606" spans="1:11" ht="17.45" customHeight="1">
      <c r="A606" s="1435"/>
      <c r="B606" s="669" t="s">
        <v>352</v>
      </c>
      <c r="C606" s="831">
        <f>ROUND(((($C$598*$C128*$I$205+$C$505)*$E$500)*$C399),2)</f>
        <v>0</v>
      </c>
      <c r="D606" s="852">
        <f t="shared" si="242"/>
        <v>0</v>
      </c>
      <c r="E606" s="831">
        <f t="shared" si="243"/>
        <v>0</v>
      </c>
      <c r="F606" s="852">
        <f t="shared" si="244"/>
        <v>0</v>
      </c>
      <c r="G606" s="831">
        <f t="shared" si="245"/>
        <v>0</v>
      </c>
      <c r="H606" s="833">
        <f t="shared" si="246"/>
        <v>0</v>
      </c>
      <c r="I606" s="833">
        <f t="shared" si="247"/>
        <v>0</v>
      </c>
      <c r="J606" s="852">
        <f t="shared" si="248"/>
        <v>0</v>
      </c>
      <c r="K606" s="674">
        <f>SUM(C606:J606)</f>
        <v>0</v>
      </c>
    </row>
    <row r="607" spans="1:11" ht="17.45" customHeight="1">
      <c r="A607" s="1435"/>
      <c r="B607" s="669" t="s">
        <v>353</v>
      </c>
      <c r="C607" s="831">
        <f>ROUND(((($C$598*$C129*$J$205+$C$505)*$E$500)*$C400),2)</f>
        <v>0</v>
      </c>
      <c r="D607" s="852">
        <f t="shared" si="242"/>
        <v>0</v>
      </c>
      <c r="E607" s="831">
        <f t="shared" si="243"/>
        <v>0</v>
      </c>
      <c r="F607" s="852">
        <f t="shared" si="244"/>
        <v>0</v>
      </c>
      <c r="G607" s="831">
        <f t="shared" si="245"/>
        <v>0</v>
      </c>
      <c r="H607" s="833">
        <f t="shared" si="246"/>
        <v>0</v>
      </c>
      <c r="I607" s="833">
        <f t="shared" si="247"/>
        <v>0</v>
      </c>
      <c r="J607" s="852">
        <f t="shared" si="248"/>
        <v>0</v>
      </c>
      <c r="K607" s="674">
        <f>SUM(C607:J607)</f>
        <v>0</v>
      </c>
    </row>
    <row r="608" spans="1:11" ht="17.45" customHeight="1">
      <c r="A608" s="1436"/>
      <c r="B608" s="680" t="s">
        <v>354</v>
      </c>
      <c r="C608" s="828">
        <f>ROUND(((($C$598*$C130*$K$205+$C$505)*$E$500)*$C401),2)</f>
        <v>0</v>
      </c>
      <c r="D608" s="853">
        <f t="shared" si="242"/>
        <v>0</v>
      </c>
      <c r="E608" s="828">
        <f t="shared" si="243"/>
        <v>0</v>
      </c>
      <c r="F608" s="853">
        <f t="shared" si="244"/>
        <v>0</v>
      </c>
      <c r="G608" s="828">
        <f t="shared" si="245"/>
        <v>0</v>
      </c>
      <c r="H608" s="830">
        <f t="shared" si="246"/>
        <v>0</v>
      </c>
      <c r="I608" s="830">
        <f t="shared" si="247"/>
        <v>0</v>
      </c>
      <c r="J608" s="853">
        <f t="shared" si="248"/>
        <v>0</v>
      </c>
      <c r="K608" s="674">
        <f>SUM(C608:J608)</f>
        <v>0</v>
      </c>
    </row>
    <row r="609" spans="1:11" ht="17.45" customHeight="1">
      <c r="A609" s="1434">
        <v>20</v>
      </c>
      <c r="B609" s="665" t="s">
        <v>291</v>
      </c>
      <c r="C609" s="840">
        <f>ROUND(((($C$598*$D121*$B$205+$D$505)*$E$500)*$C403),2)</f>
        <v>122.68</v>
      </c>
      <c r="D609" s="851">
        <f>ROUND(((($D$598*$D144*$B$205+$D$505)*$E$500)*$D403),2)</f>
        <v>115.89</v>
      </c>
      <c r="E609" s="840">
        <f>ROUND(((($E$598*$D167*$B$205+$D$505)*$E$500)*$E403),2)</f>
        <v>0</v>
      </c>
      <c r="F609" s="851">
        <f>ROUND(((($F$598*$D190*$B$205+$D$506)*$E$500)*$F403),2)</f>
        <v>17.97</v>
      </c>
      <c r="G609" s="840">
        <f>ROUND(((($G$598*$D167*$B$205+$D$505)*$E$500)*$G403),2)</f>
        <v>50.55</v>
      </c>
      <c r="H609" s="842">
        <f>ROUND(((($H$598*$D190*$B$205+$D$506)*$E$500)*$H403),2)</f>
        <v>51.74</v>
      </c>
      <c r="I609" s="842">
        <f>ROUND(((($I$598*$D190*$B$205+$D$506)*$E$500)*$I403),2)</f>
        <v>7.45</v>
      </c>
      <c r="J609" s="851">
        <f>ROUND(((($J$598*$D190*$B$205+$D$506)*$E$500)*$J403),2)</f>
        <v>22.48</v>
      </c>
      <c r="K609" s="681">
        <f t="shared" si="241"/>
        <v>388.76</v>
      </c>
    </row>
    <row r="610" spans="1:11" ht="17.45" customHeight="1">
      <c r="A610" s="1435"/>
      <c r="B610" s="669" t="s">
        <v>292</v>
      </c>
      <c r="C610" s="831">
        <f>ROUND(((($C$598*$D122*$C$205+$D$505)*$E$500)*$C404),2)</f>
        <v>0</v>
      </c>
      <c r="D610" s="852">
        <f t="shared" ref="D610:D618" si="249">ROUND(((($D$598*$D145*$B$205+$D$505)*$E$500)*$D404),2)</f>
        <v>0</v>
      </c>
      <c r="E610" s="831">
        <f t="shared" ref="E610:E618" si="250">ROUND(((($E$598*$D168*$B$205+$D$505)*$E$500)*$E404),2)</f>
        <v>0</v>
      </c>
      <c r="F610" s="852">
        <f t="shared" ref="F610:F618" si="251">ROUND(((($F$598*$D191*$B$205+$D$506)*$E$500)*$F404),2)</f>
        <v>0</v>
      </c>
      <c r="G610" s="831">
        <f t="shared" ref="G610:G618" si="252">ROUND(((($G$598*$D168*$B$205+$D$505)*$E$500)*$G404),2)</f>
        <v>0</v>
      </c>
      <c r="H610" s="833">
        <f t="shared" ref="H610:H618" si="253">ROUND(((($H$598*$D191*$B$205+$D$506)*$E$500)*$H404),2)</f>
        <v>0</v>
      </c>
      <c r="I610" s="833">
        <f t="shared" ref="I610:I618" si="254">ROUND(((($I$598*$D191*$B$205+$D$506)*$E$500)*$I404),2)</f>
        <v>0</v>
      </c>
      <c r="J610" s="852">
        <f t="shared" ref="J610:J618" si="255">ROUND(((($J$598*$D191*$B$205+$D$506)*$E$500)*$J404),2)</f>
        <v>0</v>
      </c>
      <c r="K610" s="674">
        <f t="shared" si="241"/>
        <v>0</v>
      </c>
    </row>
    <row r="611" spans="1:11" ht="17.45" customHeight="1">
      <c r="A611" s="1435"/>
      <c r="B611" s="669" t="s">
        <v>297</v>
      </c>
      <c r="C611" s="831">
        <f>ROUND(((($C$598*$D123*$D$205+$D$505)*$E$500)*$C405),2)</f>
        <v>0</v>
      </c>
      <c r="D611" s="852">
        <f t="shared" si="249"/>
        <v>0</v>
      </c>
      <c r="E611" s="831">
        <f t="shared" si="250"/>
        <v>0</v>
      </c>
      <c r="F611" s="852">
        <f t="shared" si="251"/>
        <v>0</v>
      </c>
      <c r="G611" s="831">
        <f t="shared" si="252"/>
        <v>0</v>
      </c>
      <c r="H611" s="833">
        <f t="shared" si="253"/>
        <v>0</v>
      </c>
      <c r="I611" s="833">
        <f t="shared" si="254"/>
        <v>0</v>
      </c>
      <c r="J611" s="852">
        <f t="shared" si="255"/>
        <v>0</v>
      </c>
      <c r="K611" s="674">
        <f t="shared" si="241"/>
        <v>0</v>
      </c>
    </row>
    <row r="612" spans="1:11" ht="17.45" customHeight="1">
      <c r="A612" s="1435"/>
      <c r="B612" s="669" t="s">
        <v>298</v>
      </c>
      <c r="C612" s="831">
        <f>ROUND(((($C$598*$D124*$E$205+$D$505)*$E$500)*$C406),2)</f>
        <v>0</v>
      </c>
      <c r="D612" s="852">
        <f t="shared" si="249"/>
        <v>0</v>
      </c>
      <c r="E612" s="831">
        <f t="shared" si="250"/>
        <v>0</v>
      </c>
      <c r="F612" s="852">
        <f t="shared" si="251"/>
        <v>0</v>
      </c>
      <c r="G612" s="831">
        <f t="shared" si="252"/>
        <v>0</v>
      </c>
      <c r="H612" s="833">
        <f t="shared" si="253"/>
        <v>0</v>
      </c>
      <c r="I612" s="833">
        <f t="shared" si="254"/>
        <v>0</v>
      </c>
      <c r="J612" s="852">
        <f t="shared" si="255"/>
        <v>0</v>
      </c>
      <c r="K612" s="674">
        <f t="shared" si="241"/>
        <v>0</v>
      </c>
    </row>
    <row r="613" spans="1:11" ht="17.45" customHeight="1">
      <c r="A613" s="1435"/>
      <c r="B613" s="669" t="s">
        <v>299</v>
      </c>
      <c r="C613" s="831">
        <f>ROUND(((($C$598*$D125*$F$205+$D$505)*$E$500)*$C407),2)</f>
        <v>0</v>
      </c>
      <c r="D613" s="852">
        <f t="shared" si="249"/>
        <v>0</v>
      </c>
      <c r="E613" s="831">
        <f t="shared" si="250"/>
        <v>0</v>
      </c>
      <c r="F613" s="852">
        <f t="shared" si="251"/>
        <v>0</v>
      </c>
      <c r="G613" s="831">
        <f t="shared" si="252"/>
        <v>0</v>
      </c>
      <c r="H613" s="833">
        <f t="shared" si="253"/>
        <v>0</v>
      </c>
      <c r="I613" s="833">
        <f t="shared" si="254"/>
        <v>0</v>
      </c>
      <c r="J613" s="852">
        <f t="shared" si="255"/>
        <v>0</v>
      </c>
      <c r="K613" s="675">
        <f t="shared" si="241"/>
        <v>0</v>
      </c>
    </row>
    <row r="614" spans="1:11" ht="17.45" customHeight="1">
      <c r="A614" s="1435"/>
      <c r="B614" s="676" t="s">
        <v>345</v>
      </c>
      <c r="C614" s="828">
        <f>ROUND(((($C$598*$D126*$G$205+$D$505)*$E$500)*$C408),2)</f>
        <v>0</v>
      </c>
      <c r="D614" s="853">
        <f t="shared" si="249"/>
        <v>0</v>
      </c>
      <c r="E614" s="828">
        <f t="shared" si="250"/>
        <v>0</v>
      </c>
      <c r="F614" s="853">
        <f t="shared" si="251"/>
        <v>0</v>
      </c>
      <c r="G614" s="828">
        <f t="shared" si="252"/>
        <v>0</v>
      </c>
      <c r="H614" s="830">
        <f t="shared" si="253"/>
        <v>0</v>
      </c>
      <c r="I614" s="830">
        <f t="shared" si="254"/>
        <v>0</v>
      </c>
      <c r="J614" s="853">
        <f t="shared" si="255"/>
        <v>0</v>
      </c>
      <c r="K614" s="674">
        <f>SUM(C614:J614)</f>
        <v>0</v>
      </c>
    </row>
    <row r="615" spans="1:11" ht="17.45" customHeight="1">
      <c r="A615" s="1435"/>
      <c r="B615" s="669" t="s">
        <v>346</v>
      </c>
      <c r="C615" s="831">
        <f>ROUND(((($C$598*$D127*$H$205+$D$505)*$E$500)*$C409),2)</f>
        <v>0</v>
      </c>
      <c r="D615" s="852">
        <f t="shared" si="249"/>
        <v>0</v>
      </c>
      <c r="E615" s="831">
        <f t="shared" si="250"/>
        <v>0</v>
      </c>
      <c r="F615" s="852">
        <f t="shared" si="251"/>
        <v>0</v>
      </c>
      <c r="G615" s="831">
        <f t="shared" si="252"/>
        <v>0</v>
      </c>
      <c r="H615" s="833">
        <f t="shared" si="253"/>
        <v>0</v>
      </c>
      <c r="I615" s="833">
        <f t="shared" si="254"/>
        <v>0</v>
      </c>
      <c r="J615" s="852">
        <f t="shared" si="255"/>
        <v>0</v>
      </c>
      <c r="K615" s="674">
        <f>SUM(C615:J615)</f>
        <v>0</v>
      </c>
    </row>
    <row r="616" spans="1:11" ht="17.45" customHeight="1">
      <c r="A616" s="1435"/>
      <c r="B616" s="669" t="s">
        <v>344</v>
      </c>
      <c r="C616" s="831">
        <f>ROUND(((($C$598*$D128*$I$205+$D$505)*$E$500)*$C410),2)</f>
        <v>0</v>
      </c>
      <c r="D616" s="852">
        <f t="shared" si="249"/>
        <v>0</v>
      </c>
      <c r="E616" s="831">
        <f t="shared" si="250"/>
        <v>0</v>
      </c>
      <c r="F616" s="852">
        <f t="shared" si="251"/>
        <v>0</v>
      </c>
      <c r="G616" s="831">
        <f t="shared" si="252"/>
        <v>0</v>
      </c>
      <c r="H616" s="833">
        <f t="shared" si="253"/>
        <v>0</v>
      </c>
      <c r="I616" s="833">
        <f t="shared" si="254"/>
        <v>0</v>
      </c>
      <c r="J616" s="852">
        <f t="shared" si="255"/>
        <v>0</v>
      </c>
      <c r="K616" s="674">
        <f>SUM(C616:J616)</f>
        <v>0</v>
      </c>
    </row>
    <row r="617" spans="1:11" ht="17.45" customHeight="1">
      <c r="A617" s="1435"/>
      <c r="B617" s="669" t="s">
        <v>348</v>
      </c>
      <c r="C617" s="831">
        <f>ROUND(((($C$598*$D129*$J$205+$D$505)*$E$500)*$C411),2)</f>
        <v>0</v>
      </c>
      <c r="D617" s="852">
        <f t="shared" si="249"/>
        <v>0</v>
      </c>
      <c r="E617" s="831">
        <f t="shared" si="250"/>
        <v>0</v>
      </c>
      <c r="F617" s="852">
        <f t="shared" si="251"/>
        <v>0</v>
      </c>
      <c r="G617" s="831">
        <f t="shared" si="252"/>
        <v>0</v>
      </c>
      <c r="H617" s="833">
        <f t="shared" si="253"/>
        <v>0</v>
      </c>
      <c r="I617" s="833">
        <f t="shared" si="254"/>
        <v>0</v>
      </c>
      <c r="J617" s="852">
        <f t="shared" si="255"/>
        <v>0</v>
      </c>
      <c r="K617" s="674">
        <f>SUM(C617:J617)</f>
        <v>0</v>
      </c>
    </row>
    <row r="618" spans="1:11" ht="17.45" customHeight="1">
      <c r="A618" s="1436"/>
      <c r="B618" s="680" t="s">
        <v>349</v>
      </c>
      <c r="C618" s="828">
        <f>ROUND(((($C$598*$D130*$K$205+$D$505)*$E$500)*$C412),2)</f>
        <v>0</v>
      </c>
      <c r="D618" s="853">
        <f t="shared" si="249"/>
        <v>0</v>
      </c>
      <c r="E618" s="828">
        <f t="shared" si="250"/>
        <v>0</v>
      </c>
      <c r="F618" s="853">
        <f t="shared" si="251"/>
        <v>0</v>
      </c>
      <c r="G618" s="828">
        <f t="shared" si="252"/>
        <v>0</v>
      </c>
      <c r="H618" s="830">
        <f t="shared" si="253"/>
        <v>0</v>
      </c>
      <c r="I618" s="830">
        <f t="shared" si="254"/>
        <v>0</v>
      </c>
      <c r="J618" s="853">
        <f t="shared" si="255"/>
        <v>0</v>
      </c>
      <c r="K618" s="674">
        <f>SUM(C618:J618)</f>
        <v>0</v>
      </c>
    </row>
    <row r="619" spans="1:11" ht="17.45" customHeight="1">
      <c r="A619" s="1434">
        <v>30</v>
      </c>
      <c r="B619" s="665" t="s">
        <v>291</v>
      </c>
      <c r="C619" s="840">
        <f>ROUND(((($C$598*$E121*$B$205+$E$505)*$E$500)*$C414),2)</f>
        <v>136.85</v>
      </c>
      <c r="D619" s="851">
        <f>ROUND(((($D$598*$E144*$B$205+$E$505)*$E$500)*$D414),2)</f>
        <v>121.4</v>
      </c>
      <c r="E619" s="840">
        <f>ROUND(((($E$598*$E167*$B$205+$E$505)*$E$500)*$E414),2)</f>
        <v>0</v>
      </c>
      <c r="F619" s="851">
        <f>ROUND(((($F$598*$E190*$B$205+$E$506)*$E$500)*$F414),2)</f>
        <v>19.239999999999998</v>
      </c>
      <c r="G619" s="840">
        <f>ROUND(((($G$598*$E167*$B$205+$E$505)*$E$500)*$G414),2)</f>
        <v>53.74</v>
      </c>
      <c r="H619" s="842">
        <f>ROUND(((($H$598*$E190*$B$205+$E$506)*$E$500)*$H414),2)</f>
        <v>56.93</v>
      </c>
      <c r="I619" s="842">
        <f>ROUND(((($I$598*$E190*$B$205+$E$506)*$E$500)*$I414),2)</f>
        <v>7.91</v>
      </c>
      <c r="J619" s="851">
        <f>ROUND(((($J$598*$E190*$B$205+$E$506)*$E$500)*$J414),2)</f>
        <v>23.45</v>
      </c>
      <c r="K619" s="681">
        <f t="shared" si="241"/>
        <v>419.52000000000004</v>
      </c>
    </row>
    <row r="620" spans="1:11" ht="17.45" customHeight="1">
      <c r="A620" s="1435"/>
      <c r="B620" s="669" t="s">
        <v>292</v>
      </c>
      <c r="C620" s="831">
        <f>ROUND(((($C$598*$E122*$C$205+$E$505)*$E$500)*$C415),2)</f>
        <v>0</v>
      </c>
      <c r="D620" s="852">
        <f t="shared" ref="D620:D628" si="256">ROUND(((($D$598*$E145*$B$205+$E$505)*$E$500)*$D415),2)</f>
        <v>0</v>
      </c>
      <c r="E620" s="831">
        <f t="shared" ref="E620:E628" si="257">ROUND(((($E$598*$E168*$B$205+$E$505)*$E$500)*$E415),2)</f>
        <v>0</v>
      </c>
      <c r="F620" s="852">
        <f t="shared" ref="F620:F628" si="258">ROUND(((($F$598*$E191*$B$205+$E$506)*$E$500)*$F415),2)</f>
        <v>0</v>
      </c>
      <c r="G620" s="831">
        <f t="shared" ref="G620:G628" si="259">ROUND(((($G$598*$E168*$B$205+$E$505)*$E$500)*$G415),2)</f>
        <v>0</v>
      </c>
      <c r="H620" s="833">
        <f t="shared" ref="H620:H628" si="260">ROUND(((($H$598*$E191*$B$205+$E$506)*$E$500)*$H415),2)</f>
        <v>0</v>
      </c>
      <c r="I620" s="833">
        <f t="shared" ref="I620:I628" si="261">ROUND(((($I$598*$E191*$B$205+$E$506)*$E$500)*$I415),2)</f>
        <v>0</v>
      </c>
      <c r="J620" s="852">
        <f t="shared" ref="J620:J628" si="262">ROUND(((($J$598*$E191*$B$205+$E$506)*$E$500)*$J415),2)</f>
        <v>0</v>
      </c>
      <c r="K620" s="674">
        <f t="shared" si="241"/>
        <v>0</v>
      </c>
    </row>
    <row r="621" spans="1:11" ht="17.45" customHeight="1">
      <c r="A621" s="1435"/>
      <c r="B621" s="669" t="s">
        <v>297</v>
      </c>
      <c r="C621" s="831">
        <f>ROUND(((($C$598*$E123*$D$205+$E$505)*$E$500)*$C416),2)</f>
        <v>0</v>
      </c>
      <c r="D621" s="852">
        <f t="shared" si="256"/>
        <v>0</v>
      </c>
      <c r="E621" s="831">
        <f t="shared" si="257"/>
        <v>0</v>
      </c>
      <c r="F621" s="852">
        <f t="shared" si="258"/>
        <v>0</v>
      </c>
      <c r="G621" s="831">
        <f t="shared" si="259"/>
        <v>0</v>
      </c>
      <c r="H621" s="833">
        <f t="shared" si="260"/>
        <v>0</v>
      </c>
      <c r="I621" s="833">
        <f t="shared" si="261"/>
        <v>0</v>
      </c>
      <c r="J621" s="852">
        <f t="shared" si="262"/>
        <v>0</v>
      </c>
      <c r="K621" s="674">
        <f t="shared" si="241"/>
        <v>0</v>
      </c>
    </row>
    <row r="622" spans="1:11" ht="17.45" customHeight="1">
      <c r="A622" s="1435"/>
      <c r="B622" s="669" t="s">
        <v>298</v>
      </c>
      <c r="C622" s="831">
        <f>ROUND(((($C$598*$E124*$E$205+$E$505)*$E$500)*$C417),2)</f>
        <v>0</v>
      </c>
      <c r="D622" s="852">
        <f t="shared" si="256"/>
        <v>0</v>
      </c>
      <c r="E622" s="831">
        <f t="shared" si="257"/>
        <v>0</v>
      </c>
      <c r="F622" s="852">
        <f t="shared" si="258"/>
        <v>0</v>
      </c>
      <c r="G622" s="831">
        <f t="shared" si="259"/>
        <v>0</v>
      </c>
      <c r="H622" s="833">
        <f t="shared" si="260"/>
        <v>0</v>
      </c>
      <c r="I622" s="833">
        <f t="shared" si="261"/>
        <v>0</v>
      </c>
      <c r="J622" s="852">
        <f t="shared" si="262"/>
        <v>0</v>
      </c>
      <c r="K622" s="674">
        <f t="shared" si="241"/>
        <v>0</v>
      </c>
    </row>
    <row r="623" spans="1:11" ht="17.45" customHeight="1">
      <c r="A623" s="1435"/>
      <c r="B623" s="669" t="s">
        <v>299</v>
      </c>
      <c r="C623" s="831">
        <f>ROUND(((($C$598*$E125*$F$205+$E$505)*$E$500)*$C418),2)</f>
        <v>0</v>
      </c>
      <c r="D623" s="852">
        <f t="shared" si="256"/>
        <v>0</v>
      </c>
      <c r="E623" s="831">
        <f t="shared" si="257"/>
        <v>0</v>
      </c>
      <c r="F623" s="852">
        <f t="shared" si="258"/>
        <v>0</v>
      </c>
      <c r="G623" s="831">
        <f t="shared" si="259"/>
        <v>0</v>
      </c>
      <c r="H623" s="833">
        <f t="shared" si="260"/>
        <v>0</v>
      </c>
      <c r="I623" s="833">
        <f t="shared" si="261"/>
        <v>0</v>
      </c>
      <c r="J623" s="852">
        <f t="shared" si="262"/>
        <v>0</v>
      </c>
      <c r="K623" s="675">
        <f t="shared" si="241"/>
        <v>0</v>
      </c>
    </row>
    <row r="624" spans="1:11" ht="17.45" customHeight="1">
      <c r="A624" s="1435"/>
      <c r="B624" s="676" t="s">
        <v>345</v>
      </c>
      <c r="C624" s="828">
        <f>ROUND(((($C$598*$E126*$G$205+$E$505)*$E$500)*$C419),2)</f>
        <v>0</v>
      </c>
      <c r="D624" s="853">
        <f t="shared" si="256"/>
        <v>0</v>
      </c>
      <c r="E624" s="828">
        <f t="shared" si="257"/>
        <v>0</v>
      </c>
      <c r="F624" s="853">
        <f t="shared" si="258"/>
        <v>0</v>
      </c>
      <c r="G624" s="828">
        <f t="shared" si="259"/>
        <v>0</v>
      </c>
      <c r="H624" s="830">
        <f t="shared" si="260"/>
        <v>0</v>
      </c>
      <c r="I624" s="830">
        <f t="shared" si="261"/>
        <v>0</v>
      </c>
      <c r="J624" s="853">
        <f t="shared" si="262"/>
        <v>0</v>
      </c>
      <c r="K624" s="674">
        <f>SUM(C624:J624)</f>
        <v>0</v>
      </c>
    </row>
    <row r="625" spans="1:11" ht="17.45" customHeight="1">
      <c r="A625" s="1435"/>
      <c r="B625" s="669" t="s">
        <v>346</v>
      </c>
      <c r="C625" s="831">
        <f>ROUND(((($C$598*$E127*$H$205+$E$505)*$E$500)*$C420),2)</f>
        <v>0</v>
      </c>
      <c r="D625" s="852">
        <f t="shared" si="256"/>
        <v>0</v>
      </c>
      <c r="E625" s="831">
        <f t="shared" si="257"/>
        <v>0</v>
      </c>
      <c r="F625" s="852">
        <f t="shared" si="258"/>
        <v>0</v>
      </c>
      <c r="G625" s="831">
        <f t="shared" si="259"/>
        <v>0</v>
      </c>
      <c r="H625" s="833">
        <f t="shared" si="260"/>
        <v>0</v>
      </c>
      <c r="I625" s="833">
        <f t="shared" si="261"/>
        <v>0</v>
      </c>
      <c r="J625" s="852">
        <f t="shared" si="262"/>
        <v>0</v>
      </c>
      <c r="K625" s="674">
        <f>SUM(C625:J625)</f>
        <v>0</v>
      </c>
    </row>
    <row r="626" spans="1:11" ht="17.45" customHeight="1">
      <c r="A626" s="1435"/>
      <c r="B626" s="669" t="s">
        <v>344</v>
      </c>
      <c r="C626" s="831">
        <f>ROUND(((($C$598*$E128*$I$205+$E$505)*$E$500)*$C421),2)</f>
        <v>0</v>
      </c>
      <c r="D626" s="852">
        <f t="shared" si="256"/>
        <v>0</v>
      </c>
      <c r="E626" s="831">
        <f t="shared" si="257"/>
        <v>0</v>
      </c>
      <c r="F626" s="852">
        <f t="shared" si="258"/>
        <v>0</v>
      </c>
      <c r="G626" s="831">
        <f t="shared" si="259"/>
        <v>0</v>
      </c>
      <c r="H626" s="833">
        <f t="shared" si="260"/>
        <v>0</v>
      </c>
      <c r="I626" s="833">
        <f t="shared" si="261"/>
        <v>0</v>
      </c>
      <c r="J626" s="852">
        <f t="shared" si="262"/>
        <v>0</v>
      </c>
      <c r="K626" s="674">
        <f>SUM(C626:J626)</f>
        <v>0</v>
      </c>
    </row>
    <row r="627" spans="1:11" ht="17.45" customHeight="1">
      <c r="A627" s="1435"/>
      <c r="B627" s="669" t="s">
        <v>348</v>
      </c>
      <c r="C627" s="831">
        <f>ROUND(((($C$598*$E129*$J$205+$E$505)*$E$500)*$C422),2)</f>
        <v>0</v>
      </c>
      <c r="D627" s="852">
        <f t="shared" si="256"/>
        <v>0</v>
      </c>
      <c r="E627" s="831">
        <f t="shared" si="257"/>
        <v>0</v>
      </c>
      <c r="F627" s="852">
        <f t="shared" si="258"/>
        <v>0</v>
      </c>
      <c r="G627" s="831">
        <f t="shared" si="259"/>
        <v>0</v>
      </c>
      <c r="H627" s="833">
        <f t="shared" si="260"/>
        <v>0</v>
      </c>
      <c r="I627" s="833">
        <f t="shared" si="261"/>
        <v>0</v>
      </c>
      <c r="J627" s="852">
        <f t="shared" si="262"/>
        <v>0</v>
      </c>
      <c r="K627" s="674">
        <f>SUM(C627:J627)</f>
        <v>0</v>
      </c>
    </row>
    <row r="628" spans="1:11" ht="17.45" customHeight="1">
      <c r="A628" s="1436"/>
      <c r="B628" s="680" t="s">
        <v>349</v>
      </c>
      <c r="C628" s="828">
        <f>ROUND(((($C$598*$E130*$K$205+$E$505)*$E$500)*$C423),2)</f>
        <v>0</v>
      </c>
      <c r="D628" s="853">
        <f t="shared" si="256"/>
        <v>0</v>
      </c>
      <c r="E628" s="828">
        <f t="shared" si="257"/>
        <v>0</v>
      </c>
      <c r="F628" s="853">
        <f t="shared" si="258"/>
        <v>0</v>
      </c>
      <c r="G628" s="828">
        <f t="shared" si="259"/>
        <v>0</v>
      </c>
      <c r="H628" s="830">
        <f t="shared" si="260"/>
        <v>0</v>
      </c>
      <c r="I628" s="830">
        <f t="shared" si="261"/>
        <v>0</v>
      </c>
      <c r="J628" s="853">
        <f t="shared" si="262"/>
        <v>0</v>
      </c>
      <c r="K628" s="674">
        <f>SUM(C628:J628)</f>
        <v>0</v>
      </c>
    </row>
    <row r="629" spans="1:11" ht="17.45" customHeight="1">
      <c r="A629" s="1434">
        <v>40</v>
      </c>
      <c r="B629" s="665" t="s">
        <v>291</v>
      </c>
      <c r="C629" s="840">
        <f>ROUND(((($C$598*$F121*$B$205+$F$505)*$E$500)*$C425),2)</f>
        <v>149.11000000000001</v>
      </c>
      <c r="D629" s="851">
        <f>ROUND(((($D$598*$F144*$B$205+$F$505)*$E$500)*$D425),2)</f>
        <v>128.12</v>
      </c>
      <c r="E629" s="840">
        <f>ROUND(((($E$598*$F167*$B$205+$F$505)*$E$500)*$E425),2)</f>
        <v>0</v>
      </c>
      <c r="F629" s="851">
        <f>ROUND(((($F$598*$F190*$B$205+$F$506)*$E$500)*$F425),2)</f>
        <v>19.190000000000001</v>
      </c>
      <c r="G629" s="840">
        <f>ROUND(((($G$598*$F167*$B$205+$F$505)*$E$500)*$G425),2)</f>
        <v>55.95</v>
      </c>
      <c r="H629" s="842">
        <f>ROUND(((($H$598*$F190*$B$205+$F$506)*$E$500)*$H425),2)</f>
        <v>57.76</v>
      </c>
      <c r="I629" s="842">
        <f>ROUND(((($I$598*$F190*$B$205+$F$506)*$E$500)*$I425),2)</f>
        <v>7.9</v>
      </c>
      <c r="J629" s="851">
        <f>ROUND(((($J$598*$F190*$B$205+$F$506)*$E$500)*$J425),2)</f>
        <v>23.06</v>
      </c>
      <c r="K629" s="681">
        <f t="shared" si="241"/>
        <v>441.09</v>
      </c>
    </row>
    <row r="630" spans="1:11" ht="17.45" customHeight="1">
      <c r="A630" s="1435"/>
      <c r="B630" s="669" t="s">
        <v>292</v>
      </c>
      <c r="C630" s="831">
        <f>ROUND(((($C$598*$F122*$C$205+$F$505)*$E$500)*$C426),2)</f>
        <v>0</v>
      </c>
      <c r="D630" s="852">
        <f t="shared" ref="D630:D638" si="263">ROUND(((($D$598*$F145*$B$205+$F$505)*$E$500)*$D426),2)</f>
        <v>0</v>
      </c>
      <c r="E630" s="831">
        <f t="shared" ref="E630:E638" si="264">ROUND(((($E$598*$F168*$B$205+$F$505)*$E$500)*$E426),2)</f>
        <v>0</v>
      </c>
      <c r="F630" s="852">
        <f t="shared" ref="F630:F638" si="265">ROUND(((($F$598*$F191*$B$205+$F$506)*$E$500)*$F426),2)</f>
        <v>0</v>
      </c>
      <c r="G630" s="831">
        <f t="shared" ref="G630:G638" si="266">ROUND(((($G$598*$F168*$B$205+$F$505)*$E$500)*$G426),2)</f>
        <v>0</v>
      </c>
      <c r="H630" s="833">
        <f t="shared" ref="H630:H638" si="267">ROUND(((($H$598*$F191*$B$205+$F$506)*$E$500)*$H426),2)</f>
        <v>0</v>
      </c>
      <c r="I630" s="833">
        <f t="shared" ref="I630:I638" si="268">ROUND(((($I$598*$F191*$B$205+$F$506)*$E$500)*$I426),2)</f>
        <v>0</v>
      </c>
      <c r="J630" s="852">
        <f t="shared" ref="J630:J638" si="269">ROUND(((($J$598*$F191*$B$205+$F$506)*$E$500)*$J426),2)</f>
        <v>0</v>
      </c>
      <c r="K630" s="674">
        <f t="shared" si="241"/>
        <v>0</v>
      </c>
    </row>
    <row r="631" spans="1:11" ht="17.45" customHeight="1">
      <c r="A631" s="1435"/>
      <c r="B631" s="669" t="s">
        <v>297</v>
      </c>
      <c r="C631" s="831">
        <f>ROUND(((($C$598*$F123*$D$205+$F$505)*$E$500)*$C427),2)</f>
        <v>0</v>
      </c>
      <c r="D631" s="852">
        <f t="shared" si="263"/>
        <v>0</v>
      </c>
      <c r="E631" s="831">
        <f t="shared" si="264"/>
        <v>0</v>
      </c>
      <c r="F631" s="852">
        <f t="shared" si="265"/>
        <v>0</v>
      </c>
      <c r="G631" s="831">
        <f t="shared" si="266"/>
        <v>0</v>
      </c>
      <c r="H631" s="833">
        <f t="shared" si="267"/>
        <v>0</v>
      </c>
      <c r="I631" s="833">
        <f t="shared" si="268"/>
        <v>0</v>
      </c>
      <c r="J631" s="852">
        <f t="shared" si="269"/>
        <v>0</v>
      </c>
      <c r="K631" s="674">
        <f t="shared" si="241"/>
        <v>0</v>
      </c>
    </row>
    <row r="632" spans="1:11" ht="17.45" customHeight="1">
      <c r="A632" s="1435"/>
      <c r="B632" s="669" t="s">
        <v>298</v>
      </c>
      <c r="C632" s="831">
        <f>ROUND(((($C$598*$F124*$E$205+$F$505)*$E$500)*$C428),2)</f>
        <v>0</v>
      </c>
      <c r="D632" s="852">
        <f t="shared" si="263"/>
        <v>0</v>
      </c>
      <c r="E632" s="831">
        <f t="shared" si="264"/>
        <v>0</v>
      </c>
      <c r="F632" s="852">
        <f t="shared" si="265"/>
        <v>0</v>
      </c>
      <c r="G632" s="831">
        <f t="shared" si="266"/>
        <v>0</v>
      </c>
      <c r="H632" s="833">
        <f t="shared" si="267"/>
        <v>0</v>
      </c>
      <c r="I632" s="833">
        <f t="shared" si="268"/>
        <v>0</v>
      </c>
      <c r="J632" s="852">
        <f t="shared" si="269"/>
        <v>0</v>
      </c>
      <c r="K632" s="674">
        <f t="shared" si="241"/>
        <v>0</v>
      </c>
    </row>
    <row r="633" spans="1:11" ht="17.45" customHeight="1">
      <c r="A633" s="1435"/>
      <c r="B633" s="669" t="s">
        <v>299</v>
      </c>
      <c r="C633" s="831">
        <f>ROUND(((($C$598*$F125*$F$205+$F$505)*$E$500)*$C429),2)</f>
        <v>0</v>
      </c>
      <c r="D633" s="852">
        <f t="shared" si="263"/>
        <v>0</v>
      </c>
      <c r="E633" s="831">
        <f t="shared" si="264"/>
        <v>0</v>
      </c>
      <c r="F633" s="852">
        <f t="shared" si="265"/>
        <v>0</v>
      </c>
      <c r="G633" s="831">
        <f t="shared" si="266"/>
        <v>0</v>
      </c>
      <c r="H633" s="833">
        <f t="shared" si="267"/>
        <v>0</v>
      </c>
      <c r="I633" s="833">
        <f t="shared" si="268"/>
        <v>0</v>
      </c>
      <c r="J633" s="852">
        <f t="shared" si="269"/>
        <v>0</v>
      </c>
      <c r="K633" s="675">
        <f t="shared" si="241"/>
        <v>0</v>
      </c>
    </row>
    <row r="634" spans="1:11" ht="17.45" customHeight="1">
      <c r="A634" s="1435"/>
      <c r="B634" s="676" t="s">
        <v>345</v>
      </c>
      <c r="C634" s="828">
        <f>ROUND(((($C$598*$F126*$G$205+$F$505)*$E$500)*$C430),2)</f>
        <v>0</v>
      </c>
      <c r="D634" s="853">
        <f t="shared" si="263"/>
        <v>0</v>
      </c>
      <c r="E634" s="828">
        <f t="shared" si="264"/>
        <v>0</v>
      </c>
      <c r="F634" s="853">
        <f t="shared" si="265"/>
        <v>0</v>
      </c>
      <c r="G634" s="828">
        <f t="shared" si="266"/>
        <v>0</v>
      </c>
      <c r="H634" s="830">
        <f t="shared" si="267"/>
        <v>0</v>
      </c>
      <c r="I634" s="830">
        <f t="shared" si="268"/>
        <v>0</v>
      </c>
      <c r="J634" s="853">
        <f t="shared" si="269"/>
        <v>0</v>
      </c>
      <c r="K634" s="674">
        <f>SUM(C634:J634)</f>
        <v>0</v>
      </c>
    </row>
    <row r="635" spans="1:11" ht="17.45" customHeight="1">
      <c r="A635" s="1435"/>
      <c r="B635" s="669" t="s">
        <v>346</v>
      </c>
      <c r="C635" s="831">
        <f>ROUND(((($C$598*$F127*$H$205+$F$505)*$E$500)*$C431),2)</f>
        <v>0</v>
      </c>
      <c r="D635" s="852">
        <f t="shared" si="263"/>
        <v>0</v>
      </c>
      <c r="E635" s="831">
        <f t="shared" si="264"/>
        <v>0</v>
      </c>
      <c r="F635" s="852">
        <f t="shared" si="265"/>
        <v>0</v>
      </c>
      <c r="G635" s="831">
        <f t="shared" si="266"/>
        <v>0</v>
      </c>
      <c r="H635" s="833">
        <f t="shared" si="267"/>
        <v>0</v>
      </c>
      <c r="I635" s="833">
        <f t="shared" si="268"/>
        <v>0</v>
      </c>
      <c r="J635" s="852">
        <f t="shared" si="269"/>
        <v>0</v>
      </c>
      <c r="K635" s="674">
        <f>SUM(C635:J635)</f>
        <v>0</v>
      </c>
    </row>
    <row r="636" spans="1:11" ht="17.45" customHeight="1">
      <c r="A636" s="1435"/>
      <c r="B636" s="669" t="s">
        <v>344</v>
      </c>
      <c r="C636" s="831">
        <f>ROUND(((($C$598*$F128*$I$205+$F$505)*$E$500)*$C432),2)</f>
        <v>0</v>
      </c>
      <c r="D636" s="852">
        <f t="shared" si="263"/>
        <v>0</v>
      </c>
      <c r="E636" s="831">
        <f t="shared" si="264"/>
        <v>0</v>
      </c>
      <c r="F636" s="852">
        <f t="shared" si="265"/>
        <v>0</v>
      </c>
      <c r="G636" s="831">
        <f t="shared" si="266"/>
        <v>0</v>
      </c>
      <c r="H636" s="833">
        <f t="shared" si="267"/>
        <v>0</v>
      </c>
      <c r="I636" s="833">
        <f t="shared" si="268"/>
        <v>0</v>
      </c>
      <c r="J636" s="852">
        <f t="shared" si="269"/>
        <v>0</v>
      </c>
      <c r="K636" s="674">
        <f>SUM(C636:J636)</f>
        <v>0</v>
      </c>
    </row>
    <row r="637" spans="1:11" ht="17.45" customHeight="1">
      <c r="A637" s="1435"/>
      <c r="B637" s="669" t="s">
        <v>348</v>
      </c>
      <c r="C637" s="831">
        <f>ROUND(((($C$598*$F129*$J$205+$F$505)*$E$500)*$C433),2)</f>
        <v>0</v>
      </c>
      <c r="D637" s="852">
        <f t="shared" si="263"/>
        <v>0</v>
      </c>
      <c r="E637" s="831">
        <f t="shared" si="264"/>
        <v>0</v>
      </c>
      <c r="F637" s="852">
        <f t="shared" si="265"/>
        <v>0</v>
      </c>
      <c r="G637" s="831">
        <f t="shared" si="266"/>
        <v>0</v>
      </c>
      <c r="H637" s="833">
        <f t="shared" si="267"/>
        <v>0</v>
      </c>
      <c r="I637" s="833">
        <f t="shared" si="268"/>
        <v>0</v>
      </c>
      <c r="J637" s="852">
        <f t="shared" si="269"/>
        <v>0</v>
      </c>
      <c r="K637" s="674">
        <f>SUM(C637:J637)</f>
        <v>0</v>
      </c>
    </row>
    <row r="638" spans="1:11" ht="17.45" customHeight="1">
      <c r="A638" s="1436"/>
      <c r="B638" s="680" t="s">
        <v>349</v>
      </c>
      <c r="C638" s="828">
        <f>ROUND(((($C$598*$F130*$K$205+$F$505)*$E$500)*$C434),2)</f>
        <v>0</v>
      </c>
      <c r="D638" s="853">
        <f t="shared" si="263"/>
        <v>0</v>
      </c>
      <c r="E638" s="828">
        <f t="shared" si="264"/>
        <v>0</v>
      </c>
      <c r="F638" s="853">
        <f t="shared" si="265"/>
        <v>0</v>
      </c>
      <c r="G638" s="828">
        <f t="shared" si="266"/>
        <v>0</v>
      </c>
      <c r="H638" s="830">
        <f t="shared" si="267"/>
        <v>0</v>
      </c>
      <c r="I638" s="830">
        <f t="shared" si="268"/>
        <v>0</v>
      </c>
      <c r="J638" s="853">
        <f t="shared" si="269"/>
        <v>0</v>
      </c>
      <c r="K638" s="674">
        <f>SUM(C638:J638)</f>
        <v>0</v>
      </c>
    </row>
    <row r="639" spans="1:11" ht="17.45" customHeight="1">
      <c r="A639" s="1434">
        <v>50</v>
      </c>
      <c r="B639" s="665" t="s">
        <v>291</v>
      </c>
      <c r="C639" s="840">
        <f>ROUND(((($C$598*$G121*$B$205+$G$505)*$E$500)*$C436),2)</f>
        <v>151.13999999999999</v>
      </c>
      <c r="D639" s="851">
        <f>ROUND(((($D$598*$G144*$B$205+$G$505)*$E$500)*$D436),2)</f>
        <v>129.61000000000001</v>
      </c>
      <c r="E639" s="840">
        <f>ROUND(((($E$598*$G167*$B$205+$G$505)*$E$500)*$E436),2)</f>
        <v>0</v>
      </c>
      <c r="F639" s="851">
        <f>ROUND(((($F$598*$G190*$B$205+$G$506)*$E$500)*$F436),2)</f>
        <v>19.12</v>
      </c>
      <c r="G639" s="840">
        <f>ROUND(((($G$598*$G167*$B$205+$G$505)*$E$500)*$G436),2)</f>
        <v>55.7</v>
      </c>
      <c r="H639" s="842">
        <f>ROUND(((($H$598*$G190*$B$205+$G$506)*$E$500)*$H436),2)</f>
        <v>58.93</v>
      </c>
      <c r="I639" s="842">
        <f>ROUND(((($I$598*$G190*$B$205+$G$506)*$E$500)*$I436),2)</f>
        <v>7.77</v>
      </c>
      <c r="J639" s="851">
        <f>ROUND(((($J$598*$G190*$B$205+$G$506)*$E$500)*$J436),2)</f>
        <v>22.98</v>
      </c>
      <c r="K639" s="681">
        <f t="shared" si="241"/>
        <v>445.25</v>
      </c>
    </row>
    <row r="640" spans="1:11" ht="17.45" customHeight="1">
      <c r="A640" s="1435"/>
      <c r="B640" s="669" t="s">
        <v>292</v>
      </c>
      <c r="C640" s="831">
        <f>ROUND(((($C$598*$G122*$C$205+$G$505)*$E$500)*$C437),2)</f>
        <v>0</v>
      </c>
      <c r="D640" s="852">
        <f t="shared" ref="D640:D648" si="270">ROUND(((($D$598*$G145*$B$205+$G$505)*$E$500)*$D437),2)</f>
        <v>0</v>
      </c>
      <c r="E640" s="831">
        <f t="shared" ref="E640:E648" si="271">ROUND(((($E$598*$G168*$B$205+$G$505)*$E$500)*$E437),2)</f>
        <v>0</v>
      </c>
      <c r="F640" s="852">
        <f t="shared" ref="F640:F648" si="272">ROUND(((($F$598*$G191*$B$205+$G$506)*$E$500)*$F437),2)</f>
        <v>0</v>
      </c>
      <c r="G640" s="831">
        <f t="shared" ref="G640:G648" si="273">ROUND(((($G$598*$G168*$B$205+$G$505)*$E$500)*$G437),2)</f>
        <v>0</v>
      </c>
      <c r="H640" s="833">
        <f t="shared" ref="H640:H648" si="274">ROUND(((($H$598*$G191*$B$205+$G$506)*$E$500)*$H437),2)</f>
        <v>0</v>
      </c>
      <c r="I640" s="833">
        <f t="shared" ref="I640:I648" si="275">ROUND(((($I$598*$G191*$B$205+$G$506)*$E$500)*$I437),2)</f>
        <v>0</v>
      </c>
      <c r="J640" s="852">
        <f t="shared" ref="J640:J648" si="276">ROUND(((($J$598*$G191*$B$205+$G$506)*$E$500)*$J437),2)</f>
        <v>0</v>
      </c>
      <c r="K640" s="674">
        <f t="shared" si="241"/>
        <v>0</v>
      </c>
    </row>
    <row r="641" spans="1:11" ht="17.45" customHeight="1">
      <c r="A641" s="1435"/>
      <c r="B641" s="669" t="s">
        <v>297</v>
      </c>
      <c r="C641" s="831">
        <f>ROUND(((($C$598*$G123*$D$205+$G$505)*$E$500)*$C438),2)</f>
        <v>0</v>
      </c>
      <c r="D641" s="852">
        <f t="shared" si="270"/>
        <v>0</v>
      </c>
      <c r="E641" s="831">
        <f t="shared" si="271"/>
        <v>0</v>
      </c>
      <c r="F641" s="852">
        <f t="shared" si="272"/>
        <v>0</v>
      </c>
      <c r="G641" s="831">
        <f t="shared" si="273"/>
        <v>0</v>
      </c>
      <c r="H641" s="833">
        <f t="shared" si="274"/>
        <v>0</v>
      </c>
      <c r="I641" s="833">
        <f t="shared" si="275"/>
        <v>0</v>
      </c>
      <c r="J641" s="852">
        <f t="shared" si="276"/>
        <v>0</v>
      </c>
      <c r="K641" s="674">
        <f t="shared" si="241"/>
        <v>0</v>
      </c>
    </row>
    <row r="642" spans="1:11" ht="17.25" customHeight="1">
      <c r="A642" s="1435"/>
      <c r="B642" s="669" t="s">
        <v>298</v>
      </c>
      <c r="C642" s="831">
        <f>ROUND(((($C$598*$G124*$E$205+$G$505)*$E$500)*$C439),2)</f>
        <v>0</v>
      </c>
      <c r="D642" s="852">
        <f t="shared" si="270"/>
        <v>0</v>
      </c>
      <c r="E642" s="831">
        <f t="shared" si="271"/>
        <v>0</v>
      </c>
      <c r="F642" s="852">
        <f t="shared" si="272"/>
        <v>0</v>
      </c>
      <c r="G642" s="831">
        <f t="shared" si="273"/>
        <v>0</v>
      </c>
      <c r="H642" s="833">
        <f t="shared" si="274"/>
        <v>0</v>
      </c>
      <c r="I642" s="833">
        <f t="shared" si="275"/>
        <v>0</v>
      </c>
      <c r="J642" s="852">
        <f t="shared" si="276"/>
        <v>0</v>
      </c>
      <c r="K642" s="674">
        <f t="shared" si="241"/>
        <v>0</v>
      </c>
    </row>
    <row r="643" spans="1:11" ht="17.45" customHeight="1">
      <c r="A643" s="1435"/>
      <c r="B643" s="669" t="s">
        <v>299</v>
      </c>
      <c r="C643" s="831">
        <f>ROUND(((($C$598*$G125*$F$205+$G$505)*$E$500)*$C440),2)</f>
        <v>0</v>
      </c>
      <c r="D643" s="852">
        <f t="shared" si="270"/>
        <v>0</v>
      </c>
      <c r="E643" s="831">
        <f t="shared" si="271"/>
        <v>0</v>
      </c>
      <c r="F643" s="852">
        <f t="shared" si="272"/>
        <v>0</v>
      </c>
      <c r="G643" s="831">
        <f t="shared" si="273"/>
        <v>0</v>
      </c>
      <c r="H643" s="833">
        <f t="shared" si="274"/>
        <v>0</v>
      </c>
      <c r="I643" s="833">
        <f t="shared" si="275"/>
        <v>0</v>
      </c>
      <c r="J643" s="852">
        <f t="shared" si="276"/>
        <v>0</v>
      </c>
      <c r="K643" s="675">
        <f t="shared" si="241"/>
        <v>0</v>
      </c>
    </row>
    <row r="644" spans="1:11" ht="17.45" customHeight="1">
      <c r="A644" s="1435"/>
      <c r="B644" s="676" t="s">
        <v>345</v>
      </c>
      <c r="C644" s="828">
        <f>ROUND(((($C$598*$G126*$G$205+$G$505)*$E$500)*$C441),2)</f>
        <v>0</v>
      </c>
      <c r="D644" s="853">
        <f t="shared" si="270"/>
        <v>0</v>
      </c>
      <c r="E644" s="828">
        <f t="shared" si="271"/>
        <v>0</v>
      </c>
      <c r="F644" s="853">
        <f t="shared" si="272"/>
        <v>0</v>
      </c>
      <c r="G644" s="828">
        <f t="shared" si="273"/>
        <v>0</v>
      </c>
      <c r="H644" s="830">
        <f t="shared" si="274"/>
        <v>0</v>
      </c>
      <c r="I644" s="830">
        <f t="shared" si="275"/>
        <v>0</v>
      </c>
      <c r="J644" s="853">
        <f t="shared" si="276"/>
        <v>0</v>
      </c>
      <c r="K644" s="674">
        <f>SUM(C644:J644)</f>
        <v>0</v>
      </c>
    </row>
    <row r="645" spans="1:11" ht="17.45" customHeight="1">
      <c r="A645" s="1435"/>
      <c r="B645" s="669" t="s">
        <v>346</v>
      </c>
      <c r="C645" s="831">
        <f>ROUND(((($C$598*$G127*$H$205+$G$505)*$E$500)*$C442),2)</f>
        <v>0</v>
      </c>
      <c r="D645" s="852">
        <f t="shared" si="270"/>
        <v>0</v>
      </c>
      <c r="E645" s="831">
        <f t="shared" si="271"/>
        <v>0</v>
      </c>
      <c r="F645" s="852">
        <f t="shared" si="272"/>
        <v>0</v>
      </c>
      <c r="G645" s="831">
        <f t="shared" si="273"/>
        <v>0</v>
      </c>
      <c r="H645" s="833">
        <f t="shared" si="274"/>
        <v>0</v>
      </c>
      <c r="I645" s="833">
        <f t="shared" si="275"/>
        <v>0</v>
      </c>
      <c r="J645" s="852">
        <f t="shared" si="276"/>
        <v>0</v>
      </c>
      <c r="K645" s="674">
        <f>SUM(C645:J645)</f>
        <v>0</v>
      </c>
    </row>
    <row r="646" spans="1:11" ht="17.45" customHeight="1">
      <c r="A646" s="1435"/>
      <c r="B646" s="669" t="s">
        <v>344</v>
      </c>
      <c r="C646" s="831">
        <f>ROUND(((($C$598*$G128*$I$205+$G$505)*$E$500)*$C443),2)</f>
        <v>0</v>
      </c>
      <c r="D646" s="852">
        <f t="shared" si="270"/>
        <v>0</v>
      </c>
      <c r="E646" s="831">
        <f t="shared" si="271"/>
        <v>0</v>
      </c>
      <c r="F646" s="852">
        <f t="shared" si="272"/>
        <v>0</v>
      </c>
      <c r="G646" s="831">
        <f t="shared" si="273"/>
        <v>0</v>
      </c>
      <c r="H646" s="833">
        <f t="shared" si="274"/>
        <v>0</v>
      </c>
      <c r="I646" s="833">
        <f t="shared" si="275"/>
        <v>0</v>
      </c>
      <c r="J646" s="852">
        <f t="shared" si="276"/>
        <v>0</v>
      </c>
      <c r="K646" s="674">
        <f>SUM(C646:J646)</f>
        <v>0</v>
      </c>
    </row>
    <row r="647" spans="1:11" ht="17.25" customHeight="1">
      <c r="A647" s="1435"/>
      <c r="B647" s="669" t="s">
        <v>348</v>
      </c>
      <c r="C647" s="831">
        <f>ROUND(((($C$598*$G129*$J$205+$G$505)*$E$500)*$C444),2)</f>
        <v>0</v>
      </c>
      <c r="D647" s="852">
        <f t="shared" si="270"/>
        <v>0</v>
      </c>
      <c r="E647" s="831">
        <f t="shared" si="271"/>
        <v>0</v>
      </c>
      <c r="F647" s="852">
        <f t="shared" si="272"/>
        <v>0</v>
      </c>
      <c r="G647" s="831">
        <f t="shared" si="273"/>
        <v>0</v>
      </c>
      <c r="H647" s="833">
        <f t="shared" si="274"/>
        <v>0</v>
      </c>
      <c r="I647" s="833">
        <f t="shared" si="275"/>
        <v>0</v>
      </c>
      <c r="J647" s="852">
        <f t="shared" si="276"/>
        <v>0</v>
      </c>
      <c r="K647" s="674">
        <f>SUM(C647:J647)</f>
        <v>0</v>
      </c>
    </row>
    <row r="648" spans="1:11" ht="17.45" customHeight="1">
      <c r="A648" s="1436"/>
      <c r="B648" s="680" t="s">
        <v>349</v>
      </c>
      <c r="C648" s="828">
        <f>ROUND(((($C$598*$G130*$K$205+$G$505)*$E$500)*$C445),2)</f>
        <v>0</v>
      </c>
      <c r="D648" s="853">
        <f t="shared" si="270"/>
        <v>0</v>
      </c>
      <c r="E648" s="828">
        <f t="shared" si="271"/>
        <v>0</v>
      </c>
      <c r="F648" s="853">
        <f t="shared" si="272"/>
        <v>0</v>
      </c>
      <c r="G648" s="828">
        <f t="shared" si="273"/>
        <v>0</v>
      </c>
      <c r="H648" s="830">
        <f t="shared" si="274"/>
        <v>0</v>
      </c>
      <c r="I648" s="830">
        <f t="shared" si="275"/>
        <v>0</v>
      </c>
      <c r="J648" s="853">
        <f t="shared" si="276"/>
        <v>0</v>
      </c>
      <c r="K648" s="674">
        <f>SUM(C648:J648)</f>
        <v>0</v>
      </c>
    </row>
    <row r="649" spans="1:11" ht="17.45" customHeight="1">
      <c r="A649" s="1434">
        <v>60</v>
      </c>
      <c r="B649" s="665" t="s">
        <v>291</v>
      </c>
      <c r="C649" s="840">
        <f>ROUND(((($C$598*$H121*$B$205+$H$505)*$E$500)*$C447),2)</f>
        <v>153.74</v>
      </c>
      <c r="D649" s="851">
        <f>ROUND(((($D$598*$H144*$B$205+$H$505)*$E$500)*$D447),2)</f>
        <v>129.03</v>
      </c>
      <c r="E649" s="840">
        <f>ROUND(((($E$598*$H167*$B$205+$H$505)*$E$500)*$E447),2)</f>
        <v>0</v>
      </c>
      <c r="F649" s="851">
        <f>ROUND(((($F$598*$H190*$B$205+$H$506)*$E$500)*$F447),2)</f>
        <v>18.739999999999998</v>
      </c>
      <c r="G649" s="840">
        <f>ROUND(((($G$598*$H167*$B$205+$H$505)*$E$500)*$G447),2)</f>
        <v>56.21</v>
      </c>
      <c r="H649" s="842">
        <f>ROUND(((($H$598*$H190*$B$205+$H$506)*$E$500)*$H447),2)</f>
        <v>58.17</v>
      </c>
      <c r="I649" s="842">
        <f>ROUND(((($I$598*$H190*$B$205+$H$506)*$E$500)*$I447),2)</f>
        <v>8.01</v>
      </c>
      <c r="J649" s="851">
        <f>ROUND(((($J$598*$H190*$B$205+$H$506)*$E$500)*$J447),2)</f>
        <v>22.75</v>
      </c>
      <c r="K649" s="681">
        <f t="shared" si="241"/>
        <v>446.65</v>
      </c>
    </row>
    <row r="650" spans="1:11" ht="17.45" customHeight="1">
      <c r="A650" s="1435"/>
      <c r="B650" s="669" t="s">
        <v>292</v>
      </c>
      <c r="C650" s="831">
        <f>ROUND(((($C$598*$H122*$C$205+$H$505)*$E$500)*$C448),2)</f>
        <v>0</v>
      </c>
      <c r="D650" s="852">
        <f t="shared" ref="D650:D658" si="277">ROUND(((($D$598*$H145*$B$205+$H$505)*$E$500)*$D448),2)</f>
        <v>0</v>
      </c>
      <c r="E650" s="831">
        <f t="shared" ref="E650:E658" si="278">ROUND(((($E$598*$H168*$B$205+$H$505)*$E$500)*$E448),2)</f>
        <v>0</v>
      </c>
      <c r="F650" s="852">
        <f t="shared" ref="F650:F658" si="279">ROUND(((($F$598*$H191*$B$205+$H$506)*$E$500)*$F448),2)</f>
        <v>0</v>
      </c>
      <c r="G650" s="831">
        <f t="shared" ref="G650:G658" si="280">ROUND(((($G$598*$H168*$B$205+$H$505)*$E$500)*$G448),2)</f>
        <v>0</v>
      </c>
      <c r="H650" s="833">
        <f t="shared" ref="H650:H658" si="281">ROUND(((($H$598*$H191*$B$205+$H$506)*$E$500)*$H448),2)</f>
        <v>0</v>
      </c>
      <c r="I650" s="833">
        <f t="shared" ref="I650:I658" si="282">ROUND(((($I$598*$H191*$B$205+$H$506)*$E$500)*$I448),2)</f>
        <v>0</v>
      </c>
      <c r="J650" s="852">
        <f t="shared" ref="J650:J658" si="283">ROUND(((($J$598*$H191*$B$205+$H$506)*$E$500)*$J448),2)</f>
        <v>0</v>
      </c>
      <c r="K650" s="674">
        <f t="shared" si="241"/>
        <v>0</v>
      </c>
    </row>
    <row r="651" spans="1:11" ht="17.45" customHeight="1">
      <c r="A651" s="1435"/>
      <c r="B651" s="669" t="s">
        <v>297</v>
      </c>
      <c r="C651" s="831">
        <f>ROUND(((($C$598*$H123*$D$205+$H$505)*$E$500)*$C449),2)</f>
        <v>0</v>
      </c>
      <c r="D651" s="852">
        <f t="shared" si="277"/>
        <v>0</v>
      </c>
      <c r="E651" s="831">
        <f t="shared" si="278"/>
        <v>0</v>
      </c>
      <c r="F651" s="852">
        <f t="shared" si="279"/>
        <v>0</v>
      </c>
      <c r="G651" s="831">
        <f t="shared" si="280"/>
        <v>0</v>
      </c>
      <c r="H651" s="833">
        <f t="shared" si="281"/>
        <v>0</v>
      </c>
      <c r="I651" s="833">
        <f t="shared" si="282"/>
        <v>0</v>
      </c>
      <c r="J651" s="852">
        <f t="shared" si="283"/>
        <v>0</v>
      </c>
      <c r="K651" s="674">
        <f t="shared" si="241"/>
        <v>0</v>
      </c>
    </row>
    <row r="652" spans="1:11" ht="17.45" customHeight="1">
      <c r="A652" s="1435"/>
      <c r="B652" s="669" t="s">
        <v>298</v>
      </c>
      <c r="C652" s="831">
        <f>ROUND(((($C$598*$H124*$E$205+$H$505)*$E$500)*$C450),2)</f>
        <v>0</v>
      </c>
      <c r="D652" s="852">
        <f t="shared" si="277"/>
        <v>0</v>
      </c>
      <c r="E652" s="831">
        <f t="shared" si="278"/>
        <v>0</v>
      </c>
      <c r="F652" s="852">
        <f t="shared" si="279"/>
        <v>0</v>
      </c>
      <c r="G652" s="831">
        <f t="shared" si="280"/>
        <v>0</v>
      </c>
      <c r="H652" s="833">
        <f t="shared" si="281"/>
        <v>0</v>
      </c>
      <c r="I652" s="833">
        <f t="shared" si="282"/>
        <v>0</v>
      </c>
      <c r="J652" s="852">
        <f t="shared" si="283"/>
        <v>0</v>
      </c>
      <c r="K652" s="674">
        <f t="shared" si="241"/>
        <v>0</v>
      </c>
    </row>
    <row r="653" spans="1:11" ht="17.45" customHeight="1">
      <c r="A653" s="1435"/>
      <c r="B653" s="669" t="s">
        <v>299</v>
      </c>
      <c r="C653" s="831">
        <f>ROUND(((($C$598*$H125*$F$205+$H$505)*$E$500)*$C451),2)</f>
        <v>0</v>
      </c>
      <c r="D653" s="852">
        <f t="shared" si="277"/>
        <v>0</v>
      </c>
      <c r="E653" s="831">
        <f t="shared" si="278"/>
        <v>0</v>
      </c>
      <c r="F653" s="852">
        <f t="shared" si="279"/>
        <v>0</v>
      </c>
      <c r="G653" s="831">
        <f t="shared" si="280"/>
        <v>0</v>
      </c>
      <c r="H653" s="833">
        <f t="shared" si="281"/>
        <v>0</v>
      </c>
      <c r="I653" s="833">
        <f t="shared" si="282"/>
        <v>0</v>
      </c>
      <c r="J653" s="852">
        <f t="shared" si="283"/>
        <v>0</v>
      </c>
      <c r="K653" s="675">
        <f t="shared" si="241"/>
        <v>0</v>
      </c>
    </row>
    <row r="654" spans="1:11" ht="17.45" customHeight="1">
      <c r="A654" s="1435"/>
      <c r="B654" s="676" t="s">
        <v>345</v>
      </c>
      <c r="C654" s="831">
        <f>ROUND(((($C$598*$H126*$G$205+$H$505)*$E$500)*$C452),2)</f>
        <v>0</v>
      </c>
      <c r="D654" s="853">
        <f t="shared" si="277"/>
        <v>0</v>
      </c>
      <c r="E654" s="828">
        <f t="shared" si="278"/>
        <v>0</v>
      </c>
      <c r="F654" s="853">
        <f t="shared" si="279"/>
        <v>0</v>
      </c>
      <c r="G654" s="828">
        <f t="shared" si="280"/>
        <v>0</v>
      </c>
      <c r="H654" s="830">
        <f t="shared" si="281"/>
        <v>0</v>
      </c>
      <c r="I654" s="830">
        <f t="shared" si="282"/>
        <v>0</v>
      </c>
      <c r="J654" s="853">
        <f t="shared" si="283"/>
        <v>0</v>
      </c>
      <c r="K654" s="674">
        <f>SUM(C654:J654)</f>
        <v>0</v>
      </c>
    </row>
    <row r="655" spans="1:11" ht="17.45" customHeight="1">
      <c r="A655" s="1435"/>
      <c r="B655" s="669" t="s">
        <v>346</v>
      </c>
      <c r="C655" s="831">
        <f>ROUND(((($C$598*$H127*$H$205+$H$505)*$E$500)*$C453),2)</f>
        <v>0</v>
      </c>
      <c r="D655" s="852">
        <f t="shared" si="277"/>
        <v>0</v>
      </c>
      <c r="E655" s="831">
        <f t="shared" si="278"/>
        <v>0</v>
      </c>
      <c r="F655" s="852">
        <f t="shared" si="279"/>
        <v>0</v>
      </c>
      <c r="G655" s="831">
        <f t="shared" si="280"/>
        <v>0</v>
      </c>
      <c r="H655" s="833">
        <f t="shared" si="281"/>
        <v>0</v>
      </c>
      <c r="I655" s="833">
        <f t="shared" si="282"/>
        <v>0</v>
      </c>
      <c r="J655" s="852">
        <f t="shared" si="283"/>
        <v>0</v>
      </c>
      <c r="K655" s="674">
        <f>SUM(C655:J655)</f>
        <v>0</v>
      </c>
    </row>
    <row r="656" spans="1:11" ht="17.45" customHeight="1">
      <c r="A656" s="1435"/>
      <c r="B656" s="669" t="s">
        <v>344</v>
      </c>
      <c r="C656" s="831">
        <f>ROUND(((($C$598*$H128*$I$205+$H$505)*$E$500)*$C454),2)</f>
        <v>0</v>
      </c>
      <c r="D656" s="852">
        <f t="shared" si="277"/>
        <v>0</v>
      </c>
      <c r="E656" s="831">
        <f t="shared" si="278"/>
        <v>0</v>
      </c>
      <c r="F656" s="852">
        <f t="shared" si="279"/>
        <v>0</v>
      </c>
      <c r="G656" s="831">
        <f t="shared" si="280"/>
        <v>0</v>
      </c>
      <c r="H656" s="833">
        <f t="shared" si="281"/>
        <v>0</v>
      </c>
      <c r="I656" s="833">
        <f t="shared" si="282"/>
        <v>0</v>
      </c>
      <c r="J656" s="852">
        <f t="shared" si="283"/>
        <v>0</v>
      </c>
      <c r="K656" s="674">
        <f>SUM(C656:J656)</f>
        <v>0</v>
      </c>
    </row>
    <row r="657" spans="1:11" ht="17.45" customHeight="1">
      <c r="A657" s="1435"/>
      <c r="B657" s="669" t="s">
        <v>348</v>
      </c>
      <c r="C657" s="831">
        <f>ROUND(((($C$598*$H129*$J$205+$H$505)*$E$500)*$C455),2)</f>
        <v>0</v>
      </c>
      <c r="D657" s="852">
        <f t="shared" si="277"/>
        <v>0</v>
      </c>
      <c r="E657" s="831">
        <f t="shared" si="278"/>
        <v>0</v>
      </c>
      <c r="F657" s="852">
        <f t="shared" si="279"/>
        <v>0</v>
      </c>
      <c r="G657" s="831">
        <f t="shared" si="280"/>
        <v>0</v>
      </c>
      <c r="H657" s="833">
        <f t="shared" si="281"/>
        <v>0</v>
      </c>
      <c r="I657" s="833">
        <f t="shared" si="282"/>
        <v>0</v>
      </c>
      <c r="J657" s="852">
        <f t="shared" si="283"/>
        <v>0</v>
      </c>
      <c r="K657" s="674">
        <f>SUM(C657:J657)</f>
        <v>0</v>
      </c>
    </row>
    <row r="658" spans="1:11" ht="17.45" customHeight="1">
      <c r="A658" s="1436"/>
      <c r="B658" s="680" t="s">
        <v>349</v>
      </c>
      <c r="C658" s="828">
        <f>ROUND(((($C$598*$H130*$K$205+$H$505)*$E$500)*$C456),2)</f>
        <v>0</v>
      </c>
      <c r="D658" s="853">
        <f t="shared" si="277"/>
        <v>0</v>
      </c>
      <c r="E658" s="828">
        <f t="shared" si="278"/>
        <v>0</v>
      </c>
      <c r="F658" s="853">
        <f t="shared" si="279"/>
        <v>0</v>
      </c>
      <c r="G658" s="828">
        <f t="shared" si="280"/>
        <v>0</v>
      </c>
      <c r="H658" s="830">
        <f t="shared" si="281"/>
        <v>0</v>
      </c>
      <c r="I658" s="830">
        <f t="shared" si="282"/>
        <v>0</v>
      </c>
      <c r="J658" s="853">
        <f t="shared" si="283"/>
        <v>0</v>
      </c>
      <c r="K658" s="674">
        <f>SUM(C658:J658)</f>
        <v>0</v>
      </c>
    </row>
    <row r="659" spans="1:11" ht="17.45" customHeight="1">
      <c r="A659" s="1434">
        <v>70</v>
      </c>
      <c r="B659" s="665" t="s">
        <v>291</v>
      </c>
      <c r="C659" s="840">
        <f>ROUND(((($C$598*$I121*$B$205+$I$505)*$E$500)*$C458),2)</f>
        <v>149.81</v>
      </c>
      <c r="D659" s="851">
        <f>ROUND(((($D$598*$I144*$B$205+$I$505)*$E$500)*$D458),2)</f>
        <v>125.37</v>
      </c>
      <c r="E659" s="840">
        <f>ROUND(((($E$598*$I167*$B$205+$I$505)*$E$500)*$E458),2)</f>
        <v>0</v>
      </c>
      <c r="F659" s="851">
        <f>ROUND(((($F$598*$I190*$B$205+$I$506)*$E$500)*$F458),2)</f>
        <v>19.47</v>
      </c>
      <c r="G659" s="840">
        <f>ROUND(((($G$598*$I167*$B$205+$I$505)*$E$500)*$G458),2)</f>
        <v>56.75</v>
      </c>
      <c r="H659" s="842">
        <f>ROUND(((($H$598*$I190*$B$205+$I$506)*$E$500)*$H458),2)</f>
        <v>59.29</v>
      </c>
      <c r="I659" s="842">
        <f>ROUND(((($I$598*$I190*$B$205+$I$506)*$E$500)*$I458),2)</f>
        <v>8.2899999999999991</v>
      </c>
      <c r="J659" s="851">
        <f>ROUND(((($J$598*$I190*$B$205+$I$506)*$E$500)*$J458),2)</f>
        <v>23.61</v>
      </c>
      <c r="K659" s="681">
        <f t="shared" si="241"/>
        <v>442.59000000000003</v>
      </c>
    </row>
    <row r="660" spans="1:11" ht="17.45" customHeight="1">
      <c r="A660" s="1435"/>
      <c r="B660" s="669" t="s">
        <v>292</v>
      </c>
      <c r="C660" s="831">
        <f>ROUND(((($C$598*$I122*$C$205+$I$505)*$E$500)*$C459),2)</f>
        <v>0</v>
      </c>
      <c r="D660" s="852">
        <f t="shared" ref="D660:D668" si="284">ROUND(((($D$598*$I145*$B$205+$I$505)*$E$500)*$D459),2)</f>
        <v>0</v>
      </c>
      <c r="E660" s="831">
        <f t="shared" ref="E660:E668" si="285">ROUND(((($E$598*$I168*$B$205+$I$505)*$E$500)*$E459),2)</f>
        <v>0</v>
      </c>
      <c r="F660" s="852">
        <f t="shared" ref="F660:F668" si="286">ROUND(((($F$598*$I191*$B$205+$I$506)*$E$500)*$F459),2)</f>
        <v>0</v>
      </c>
      <c r="G660" s="831">
        <f t="shared" ref="G660:G668" si="287">ROUND(((($G$598*$I168*$B$205+$I$505)*$E$500)*$G459),2)</f>
        <v>0</v>
      </c>
      <c r="H660" s="833">
        <f t="shared" ref="H660:H668" si="288">ROUND(((($H$598*$I191*$B$205+$I$506)*$E$500)*$H459),2)</f>
        <v>0</v>
      </c>
      <c r="I660" s="833">
        <f t="shared" ref="I660:I668" si="289">ROUND(((($I$598*$I191*$B$205+$I$506)*$E$500)*$I459),2)</f>
        <v>0</v>
      </c>
      <c r="J660" s="852">
        <f t="shared" ref="J660:J668" si="290">ROUND(((($J$598*$I191*$B$205+$I$506)*$E$500)*$J459),2)</f>
        <v>0</v>
      </c>
      <c r="K660" s="674">
        <f t="shared" si="241"/>
        <v>0</v>
      </c>
    </row>
    <row r="661" spans="1:11" ht="17.45" customHeight="1">
      <c r="A661" s="1435"/>
      <c r="B661" s="669" t="s">
        <v>297</v>
      </c>
      <c r="C661" s="831">
        <f>ROUND(((($C$598*$I123*$D$205+$I$505)*$E$500)*$C460),2)</f>
        <v>0</v>
      </c>
      <c r="D661" s="852">
        <f t="shared" si="284"/>
        <v>0</v>
      </c>
      <c r="E661" s="831">
        <f t="shared" si="285"/>
        <v>0</v>
      </c>
      <c r="F661" s="852">
        <f t="shared" si="286"/>
        <v>0</v>
      </c>
      <c r="G661" s="831">
        <f t="shared" si="287"/>
        <v>0</v>
      </c>
      <c r="H661" s="833">
        <f t="shared" si="288"/>
        <v>0</v>
      </c>
      <c r="I661" s="833">
        <f t="shared" si="289"/>
        <v>0</v>
      </c>
      <c r="J661" s="852">
        <f t="shared" si="290"/>
        <v>0</v>
      </c>
      <c r="K661" s="674">
        <f t="shared" si="241"/>
        <v>0</v>
      </c>
    </row>
    <row r="662" spans="1:11" ht="17.45" customHeight="1">
      <c r="A662" s="1435"/>
      <c r="B662" s="669" t="s">
        <v>298</v>
      </c>
      <c r="C662" s="831">
        <f>ROUND(((($C$598*$I124*$E$205+$I$505)*$E$500)*$C461),2)</f>
        <v>0</v>
      </c>
      <c r="D662" s="852">
        <f t="shared" si="284"/>
        <v>0</v>
      </c>
      <c r="E662" s="831">
        <f t="shared" si="285"/>
        <v>0</v>
      </c>
      <c r="F662" s="852">
        <f t="shared" si="286"/>
        <v>0</v>
      </c>
      <c r="G662" s="831">
        <f t="shared" si="287"/>
        <v>0</v>
      </c>
      <c r="H662" s="833">
        <f t="shared" si="288"/>
        <v>0</v>
      </c>
      <c r="I662" s="833">
        <f t="shared" si="289"/>
        <v>0</v>
      </c>
      <c r="J662" s="852">
        <f t="shared" si="290"/>
        <v>0</v>
      </c>
      <c r="K662" s="674">
        <f t="shared" si="241"/>
        <v>0</v>
      </c>
    </row>
    <row r="663" spans="1:11" ht="17.45" customHeight="1">
      <c r="A663" s="1435"/>
      <c r="B663" s="669" t="s">
        <v>299</v>
      </c>
      <c r="C663" s="831">
        <f>ROUND(((($C$598*$I125*$F$205+$I$505)*$E$500)*$C462),2)</f>
        <v>0</v>
      </c>
      <c r="D663" s="852">
        <f t="shared" si="284"/>
        <v>0</v>
      </c>
      <c r="E663" s="831">
        <f t="shared" si="285"/>
        <v>0</v>
      </c>
      <c r="F663" s="852">
        <f t="shared" si="286"/>
        <v>0</v>
      </c>
      <c r="G663" s="831">
        <f t="shared" si="287"/>
        <v>0</v>
      </c>
      <c r="H663" s="833">
        <f t="shared" si="288"/>
        <v>0</v>
      </c>
      <c r="I663" s="833">
        <f t="shared" si="289"/>
        <v>0</v>
      </c>
      <c r="J663" s="852">
        <f t="shared" si="290"/>
        <v>0</v>
      </c>
      <c r="K663" s="675">
        <f t="shared" si="241"/>
        <v>0</v>
      </c>
    </row>
    <row r="664" spans="1:11" ht="17.45" customHeight="1">
      <c r="A664" s="1435"/>
      <c r="B664" s="676" t="s">
        <v>345</v>
      </c>
      <c r="C664" s="828">
        <f>ROUND(((($C$598*$I126*$G$205+$I$505)*$E$500)*$C463),2)</f>
        <v>0</v>
      </c>
      <c r="D664" s="853">
        <f t="shared" si="284"/>
        <v>0</v>
      </c>
      <c r="E664" s="828">
        <f t="shared" si="285"/>
        <v>0</v>
      </c>
      <c r="F664" s="853">
        <f t="shared" si="286"/>
        <v>0</v>
      </c>
      <c r="G664" s="828">
        <f t="shared" si="287"/>
        <v>0</v>
      </c>
      <c r="H664" s="830">
        <f t="shared" si="288"/>
        <v>0</v>
      </c>
      <c r="I664" s="830">
        <f t="shared" si="289"/>
        <v>0</v>
      </c>
      <c r="J664" s="853">
        <f t="shared" si="290"/>
        <v>0</v>
      </c>
      <c r="K664" s="674">
        <f>SUM(C664:J664)</f>
        <v>0</v>
      </c>
    </row>
    <row r="665" spans="1:11" ht="17.45" customHeight="1">
      <c r="A665" s="1435"/>
      <c r="B665" s="669" t="s">
        <v>346</v>
      </c>
      <c r="C665" s="831">
        <f>ROUND(((($C$598*$I127*$H$205+$I$505)*$E$500)*$C464),2)</f>
        <v>0</v>
      </c>
      <c r="D665" s="852">
        <f t="shared" si="284"/>
        <v>0</v>
      </c>
      <c r="E665" s="831">
        <f t="shared" si="285"/>
        <v>0</v>
      </c>
      <c r="F665" s="852">
        <f t="shared" si="286"/>
        <v>0</v>
      </c>
      <c r="G665" s="831">
        <f t="shared" si="287"/>
        <v>0</v>
      </c>
      <c r="H665" s="833">
        <f t="shared" si="288"/>
        <v>0</v>
      </c>
      <c r="I665" s="833">
        <f t="shared" si="289"/>
        <v>0</v>
      </c>
      <c r="J665" s="852">
        <f t="shared" si="290"/>
        <v>0</v>
      </c>
      <c r="K665" s="674">
        <f>SUM(C665:J665)</f>
        <v>0</v>
      </c>
    </row>
    <row r="666" spans="1:11" ht="17.45" customHeight="1">
      <c r="A666" s="1435"/>
      <c r="B666" s="669" t="s">
        <v>344</v>
      </c>
      <c r="C666" s="831">
        <f>ROUND(((($C$598*$I128*$I$205+$I$505)*$E$500)*$C465),2)</f>
        <v>0</v>
      </c>
      <c r="D666" s="852">
        <f t="shared" si="284"/>
        <v>0</v>
      </c>
      <c r="E666" s="831">
        <f t="shared" si="285"/>
        <v>0</v>
      </c>
      <c r="F666" s="852">
        <f t="shared" si="286"/>
        <v>0</v>
      </c>
      <c r="G666" s="831">
        <f t="shared" si="287"/>
        <v>0</v>
      </c>
      <c r="H666" s="833">
        <f t="shared" si="288"/>
        <v>0</v>
      </c>
      <c r="I666" s="833">
        <f t="shared" si="289"/>
        <v>0</v>
      </c>
      <c r="J666" s="852">
        <f t="shared" si="290"/>
        <v>0</v>
      </c>
      <c r="K666" s="674">
        <f>SUM(C666:J666)</f>
        <v>0</v>
      </c>
    </row>
    <row r="667" spans="1:11" ht="17.45" customHeight="1">
      <c r="A667" s="1435"/>
      <c r="B667" s="669" t="s">
        <v>348</v>
      </c>
      <c r="C667" s="831">
        <f>ROUND(((($C$598*$I129*$J$205+$I$505)*$E$500)*$C466),2)</f>
        <v>0</v>
      </c>
      <c r="D667" s="852">
        <f t="shared" si="284"/>
        <v>0</v>
      </c>
      <c r="E667" s="831">
        <f t="shared" si="285"/>
        <v>0</v>
      </c>
      <c r="F667" s="852">
        <f t="shared" si="286"/>
        <v>0</v>
      </c>
      <c r="G667" s="831">
        <f t="shared" si="287"/>
        <v>0</v>
      </c>
      <c r="H667" s="833">
        <f t="shared" si="288"/>
        <v>0</v>
      </c>
      <c r="I667" s="833">
        <f t="shared" si="289"/>
        <v>0</v>
      </c>
      <c r="J667" s="852">
        <f t="shared" si="290"/>
        <v>0</v>
      </c>
      <c r="K667" s="674">
        <f>SUM(C667:J667)</f>
        <v>0</v>
      </c>
    </row>
    <row r="668" spans="1:11" ht="17.45" customHeight="1">
      <c r="A668" s="1436"/>
      <c r="B668" s="680" t="s">
        <v>349</v>
      </c>
      <c r="C668" s="828">
        <f>ROUND(((($C$598*$I130*$K$205+$I$505)*$E$500)*$C467),2)</f>
        <v>0</v>
      </c>
      <c r="D668" s="853">
        <f t="shared" si="284"/>
        <v>0</v>
      </c>
      <c r="E668" s="828">
        <f t="shared" si="285"/>
        <v>0</v>
      </c>
      <c r="F668" s="853">
        <f t="shared" si="286"/>
        <v>0</v>
      </c>
      <c r="G668" s="828">
        <f t="shared" si="287"/>
        <v>0</v>
      </c>
      <c r="H668" s="830">
        <f t="shared" si="288"/>
        <v>0</v>
      </c>
      <c r="I668" s="830">
        <f t="shared" si="289"/>
        <v>0</v>
      </c>
      <c r="J668" s="853">
        <f t="shared" si="290"/>
        <v>0</v>
      </c>
      <c r="K668" s="674">
        <f>SUM(C668:J668)</f>
        <v>0</v>
      </c>
    </row>
    <row r="669" spans="1:11" ht="17.45" customHeight="1">
      <c r="A669" s="1434">
        <v>80</v>
      </c>
      <c r="B669" s="665" t="s">
        <v>291</v>
      </c>
      <c r="C669" s="840">
        <f>ROUND(((($C$598*$J121*$B$205+$J$505)*$E$500)*$C469),2)</f>
        <v>155.32</v>
      </c>
      <c r="D669" s="851">
        <f>ROUND(((($D$598*$J144*$B$205+$J$505)*$E$500)*$D469),2)</f>
        <v>131.53</v>
      </c>
      <c r="E669" s="840">
        <f>ROUND(((($E$598*$J167*$B$205+$J$505)*$E$500)*$E469),2)</f>
        <v>0</v>
      </c>
      <c r="F669" s="851">
        <f>ROUND(((($F$598*$J190*$B$205+$J$506)*$E$500)*$F469),2)</f>
        <v>20.71</v>
      </c>
      <c r="G669" s="840">
        <f>ROUND(((($G$598*$J167*$B$205+$J$505)*$E$500)*$G469),2)</f>
        <v>60.04</v>
      </c>
      <c r="H669" s="842">
        <f>ROUND(((($H$598*$J190*$B$205+$J$506)*$E$500)*$H469),2)</f>
        <v>62.14</v>
      </c>
      <c r="I669" s="842">
        <f>ROUND(((($I$598*$J190*$B$205+$J$506)*$E$500)*$I469),2)</f>
        <v>8.6199999999999992</v>
      </c>
      <c r="J669" s="851">
        <f>ROUND(((($J$598*$J190*$B$205+$J$506)*$E$500)*$J469),2)</f>
        <v>25.47</v>
      </c>
      <c r="K669" s="681">
        <f t="shared" si="241"/>
        <v>463.83000000000004</v>
      </c>
    </row>
    <row r="670" spans="1:11" ht="17.45" customHeight="1">
      <c r="A670" s="1435"/>
      <c r="B670" s="669" t="s">
        <v>292</v>
      </c>
      <c r="C670" s="831">
        <f>ROUND(((($C$598*$J122*$C$205+$J$505)*$E$500)*$C470),2)</f>
        <v>0</v>
      </c>
      <c r="D670" s="852">
        <f t="shared" ref="D670:D678" si="291">ROUND(((($D$598*$J145*$B$205+$J$505)*$E$500)*$D470),2)</f>
        <v>0</v>
      </c>
      <c r="E670" s="831">
        <f t="shared" ref="E670:E678" si="292">ROUND(((($E$598*$J168*$B$205+$J$505)*$E$500)*$E470),2)</f>
        <v>0</v>
      </c>
      <c r="F670" s="852">
        <f t="shared" ref="F670:F678" si="293">ROUND(((($F$598*$J191*$B$205+$J$506)*$E$500)*$F470),2)</f>
        <v>0</v>
      </c>
      <c r="G670" s="831">
        <f t="shared" ref="G670:G678" si="294">ROUND(((($G$598*$J168*$B$205+$J$505)*$E$500)*$G470),2)</f>
        <v>0</v>
      </c>
      <c r="H670" s="833">
        <f t="shared" ref="H670:H678" si="295">ROUND(((($H$598*$J191*$B$205+$J$506)*$E$500)*$H470),2)</f>
        <v>0</v>
      </c>
      <c r="I670" s="833">
        <f t="shared" ref="I670:I678" si="296">ROUND(((($I$598*$J191*$B$205+$J$506)*$E$500)*$I470),2)</f>
        <v>0</v>
      </c>
      <c r="J670" s="852">
        <f t="shared" ref="J670:J678" si="297">ROUND(((($J$598*$J191*$B$205+$J$506)*$E$500)*$J470),2)</f>
        <v>0</v>
      </c>
      <c r="K670" s="684">
        <f t="shared" si="241"/>
        <v>0</v>
      </c>
    </row>
    <row r="671" spans="1:11" ht="17.45" customHeight="1">
      <c r="A671" s="1435"/>
      <c r="B671" s="669" t="s">
        <v>297</v>
      </c>
      <c r="C671" s="831">
        <f>ROUND(((($C$598*$J123*$D$205+$J$505)*$E$500)*$C471),2)</f>
        <v>0</v>
      </c>
      <c r="D671" s="852">
        <f t="shared" si="291"/>
        <v>0</v>
      </c>
      <c r="E671" s="831">
        <f t="shared" si="292"/>
        <v>0</v>
      </c>
      <c r="F671" s="852">
        <f t="shared" si="293"/>
        <v>0</v>
      </c>
      <c r="G671" s="831">
        <f t="shared" si="294"/>
        <v>0</v>
      </c>
      <c r="H671" s="833">
        <f t="shared" si="295"/>
        <v>0</v>
      </c>
      <c r="I671" s="833">
        <f t="shared" si="296"/>
        <v>0</v>
      </c>
      <c r="J671" s="852">
        <f t="shared" si="297"/>
        <v>0</v>
      </c>
      <c r="K671" s="674">
        <f t="shared" si="241"/>
        <v>0</v>
      </c>
    </row>
    <row r="672" spans="1:11" ht="17.45" customHeight="1">
      <c r="A672" s="1435"/>
      <c r="B672" s="669" t="s">
        <v>298</v>
      </c>
      <c r="C672" s="831">
        <f>ROUND(((($C$598*$J124*$E$205+$J$505)*$E$500)*$C472),2)</f>
        <v>0</v>
      </c>
      <c r="D672" s="852">
        <f t="shared" si="291"/>
        <v>0</v>
      </c>
      <c r="E672" s="831">
        <f t="shared" si="292"/>
        <v>0</v>
      </c>
      <c r="F672" s="852">
        <f t="shared" si="293"/>
        <v>0</v>
      </c>
      <c r="G672" s="831">
        <f t="shared" si="294"/>
        <v>0</v>
      </c>
      <c r="H672" s="833">
        <f t="shared" si="295"/>
        <v>0</v>
      </c>
      <c r="I672" s="833">
        <f t="shared" si="296"/>
        <v>0</v>
      </c>
      <c r="J672" s="852">
        <f t="shared" si="297"/>
        <v>0</v>
      </c>
      <c r="K672" s="674">
        <f t="shared" si="241"/>
        <v>0</v>
      </c>
    </row>
    <row r="673" spans="1:23" ht="17.45" customHeight="1">
      <c r="A673" s="1435"/>
      <c r="B673" s="669" t="s">
        <v>299</v>
      </c>
      <c r="C673" s="831">
        <f>ROUND(((($C$598*$J125*$F$205+$J$505)*$E$500)*$C473),2)</f>
        <v>0</v>
      </c>
      <c r="D673" s="852">
        <f t="shared" si="291"/>
        <v>0</v>
      </c>
      <c r="E673" s="831">
        <f t="shared" si="292"/>
        <v>0</v>
      </c>
      <c r="F673" s="852">
        <f t="shared" si="293"/>
        <v>0</v>
      </c>
      <c r="G673" s="831">
        <f t="shared" si="294"/>
        <v>0</v>
      </c>
      <c r="H673" s="833">
        <f t="shared" si="295"/>
        <v>0</v>
      </c>
      <c r="I673" s="833">
        <f t="shared" si="296"/>
        <v>0</v>
      </c>
      <c r="J673" s="852">
        <f t="shared" si="297"/>
        <v>0</v>
      </c>
      <c r="K673" s="675">
        <f t="shared" si="241"/>
        <v>0</v>
      </c>
    </row>
    <row r="674" spans="1:23" ht="17.45" customHeight="1">
      <c r="A674" s="1435"/>
      <c r="B674" s="676" t="s">
        <v>345</v>
      </c>
      <c r="C674" s="828">
        <f>ROUND(((($C$598*$J126*$G$205+$J$505)*$E$500)*$C474),2)</f>
        <v>0</v>
      </c>
      <c r="D674" s="853">
        <f t="shared" si="291"/>
        <v>0</v>
      </c>
      <c r="E674" s="828">
        <f t="shared" si="292"/>
        <v>0</v>
      </c>
      <c r="F674" s="853">
        <f t="shared" si="293"/>
        <v>0</v>
      </c>
      <c r="G674" s="828">
        <f t="shared" si="294"/>
        <v>0</v>
      </c>
      <c r="H674" s="830">
        <f t="shared" si="295"/>
        <v>0</v>
      </c>
      <c r="I674" s="830">
        <f t="shared" si="296"/>
        <v>0</v>
      </c>
      <c r="J674" s="853">
        <f t="shared" si="297"/>
        <v>0</v>
      </c>
      <c r="K674" s="674">
        <f>SUM(C674:J674)</f>
        <v>0</v>
      </c>
    </row>
    <row r="675" spans="1:23" ht="17.45" customHeight="1">
      <c r="A675" s="1435"/>
      <c r="B675" s="669" t="s">
        <v>346</v>
      </c>
      <c r="C675" s="831">
        <f>ROUND(((($C$598*$J127*$H$205+$J$505)*$E$500)*$C475),2)</f>
        <v>0</v>
      </c>
      <c r="D675" s="852">
        <f t="shared" si="291"/>
        <v>0</v>
      </c>
      <c r="E675" s="831">
        <f t="shared" si="292"/>
        <v>0</v>
      </c>
      <c r="F675" s="852">
        <f t="shared" si="293"/>
        <v>0</v>
      </c>
      <c r="G675" s="831">
        <f t="shared" si="294"/>
        <v>0</v>
      </c>
      <c r="H675" s="833">
        <f t="shared" si="295"/>
        <v>0</v>
      </c>
      <c r="I675" s="833">
        <f t="shared" si="296"/>
        <v>0</v>
      </c>
      <c r="J675" s="852">
        <f t="shared" si="297"/>
        <v>0</v>
      </c>
      <c r="K675" s="684">
        <f>SUM(C675:J675)</f>
        <v>0</v>
      </c>
    </row>
    <row r="676" spans="1:23" ht="17.45" customHeight="1">
      <c r="A676" s="1435"/>
      <c r="B676" s="669" t="s">
        <v>344</v>
      </c>
      <c r="C676" s="831">
        <f>ROUND(((($C$598*$J128*$I$205+$J$505)*$E$500)*$C476),2)</f>
        <v>0</v>
      </c>
      <c r="D676" s="852">
        <f t="shared" si="291"/>
        <v>0</v>
      </c>
      <c r="E676" s="831">
        <f t="shared" si="292"/>
        <v>0</v>
      </c>
      <c r="F676" s="852">
        <f t="shared" si="293"/>
        <v>0</v>
      </c>
      <c r="G676" s="831">
        <f t="shared" si="294"/>
        <v>0</v>
      </c>
      <c r="H676" s="833">
        <f t="shared" si="295"/>
        <v>0</v>
      </c>
      <c r="I676" s="833">
        <f t="shared" si="296"/>
        <v>0</v>
      </c>
      <c r="J676" s="852">
        <f t="shared" si="297"/>
        <v>0</v>
      </c>
      <c r="K676" s="674">
        <f>SUM(C676:J676)</f>
        <v>0</v>
      </c>
    </row>
    <row r="677" spans="1:23" ht="17.45" customHeight="1">
      <c r="A677" s="1435"/>
      <c r="B677" s="669" t="s">
        <v>348</v>
      </c>
      <c r="C677" s="831">
        <f>ROUND(((($C$598*$J129*$J$205+$J$505)*$E$500)*$C477),2)</f>
        <v>0</v>
      </c>
      <c r="D677" s="852">
        <f t="shared" si="291"/>
        <v>0</v>
      </c>
      <c r="E677" s="831">
        <f t="shared" si="292"/>
        <v>0</v>
      </c>
      <c r="F677" s="852">
        <f t="shared" si="293"/>
        <v>0</v>
      </c>
      <c r="G677" s="831">
        <f t="shared" si="294"/>
        <v>0</v>
      </c>
      <c r="H677" s="833">
        <f t="shared" si="295"/>
        <v>0</v>
      </c>
      <c r="I677" s="833">
        <f t="shared" si="296"/>
        <v>0</v>
      </c>
      <c r="J677" s="852">
        <f t="shared" si="297"/>
        <v>0</v>
      </c>
      <c r="K677" s="674">
        <f>SUM(C677:J677)</f>
        <v>0</v>
      </c>
    </row>
    <row r="678" spans="1:23" ht="17.45" customHeight="1" thickBot="1">
      <c r="A678" s="1450"/>
      <c r="B678" s="692" t="s">
        <v>349</v>
      </c>
      <c r="C678" s="837">
        <f>ROUND(((($C$598*$J130*$K$205+$J$505)*$E$500)*$C478),2)</f>
        <v>0</v>
      </c>
      <c r="D678" s="866">
        <f t="shared" si="291"/>
        <v>0</v>
      </c>
      <c r="E678" s="837">
        <f t="shared" si="292"/>
        <v>0</v>
      </c>
      <c r="F678" s="866">
        <f t="shared" si="293"/>
        <v>0</v>
      </c>
      <c r="G678" s="837">
        <f t="shared" si="294"/>
        <v>0</v>
      </c>
      <c r="H678" s="839">
        <f t="shared" si="295"/>
        <v>0</v>
      </c>
      <c r="I678" s="839">
        <f t="shared" si="296"/>
        <v>0</v>
      </c>
      <c r="J678" s="866">
        <f t="shared" si="297"/>
        <v>0</v>
      </c>
      <c r="K678" s="693">
        <f>SUM(C678:J678)</f>
        <v>0</v>
      </c>
    </row>
    <row r="679" spans="1:23" ht="17.45" customHeight="1">
      <c r="A679" s="510"/>
      <c r="B679" s="510"/>
      <c r="C679" s="421"/>
      <c r="D679" s="421"/>
      <c r="E679" s="421"/>
      <c r="F679" s="421"/>
      <c r="G679" s="421"/>
      <c r="H679" s="421"/>
      <c r="I679" s="421"/>
      <c r="J679" s="421"/>
      <c r="K679" s="431"/>
    </row>
    <row r="680" spans="1:23">
      <c r="A680" s="510"/>
      <c r="B680" s="510"/>
      <c r="C680" s="421"/>
      <c r="D680" s="421"/>
      <c r="E680" s="421"/>
      <c r="F680" s="421"/>
      <c r="G680" s="421"/>
      <c r="H680" s="421"/>
      <c r="I680" s="421"/>
      <c r="J680" s="421"/>
      <c r="K680" s="431"/>
      <c r="N680" s="392" t="s">
        <v>969</v>
      </c>
    </row>
    <row r="681" spans="1:23" ht="20.100000000000001" customHeight="1" thickBot="1">
      <c r="A681" s="70" t="s">
        <v>296</v>
      </c>
      <c r="B681" s="390"/>
      <c r="C681" s="393" t="s">
        <v>56</v>
      </c>
      <c r="D681" s="76">
        <f>$E$217</f>
        <v>2222</v>
      </c>
      <c r="E681" s="390" t="s">
        <v>57</v>
      </c>
      <c r="F681" s="390" t="s">
        <v>1</v>
      </c>
      <c r="G681" s="390"/>
      <c r="H681" s="390"/>
      <c r="I681" s="390" t="s">
        <v>70</v>
      </c>
      <c r="J681" s="390"/>
      <c r="N681" s="1320" t="s">
        <v>964</v>
      </c>
      <c r="O681" s="1321"/>
      <c r="P681" s="1322" t="s">
        <v>56</v>
      </c>
      <c r="Q681" s="1323">
        <v>2044</v>
      </c>
      <c r="R681" s="1321" t="s">
        <v>57</v>
      </c>
      <c r="S681" s="1321" t="s">
        <v>1</v>
      </c>
      <c r="T681" s="1321"/>
      <c r="U681" s="1321"/>
      <c r="V681" s="1321" t="s">
        <v>70</v>
      </c>
      <c r="W681" s="1321"/>
    </row>
    <row r="682" spans="1:23" ht="17.100000000000001" customHeight="1">
      <c r="A682" s="465" t="s">
        <v>71</v>
      </c>
      <c r="B682" s="466"/>
      <c r="C682" s="439">
        <f>A235</f>
        <v>10</v>
      </c>
      <c r="D682" s="467">
        <f>A237</f>
        <v>20</v>
      </c>
      <c r="E682" s="467">
        <f>A239</f>
        <v>30</v>
      </c>
      <c r="F682" s="467">
        <f>A241</f>
        <v>40</v>
      </c>
      <c r="G682" s="467">
        <f>A243</f>
        <v>50</v>
      </c>
      <c r="H682" s="467">
        <f>A245</f>
        <v>60</v>
      </c>
      <c r="I682" s="467">
        <f>A247</f>
        <v>70</v>
      </c>
      <c r="J682" s="468">
        <f>A249</f>
        <v>80</v>
      </c>
      <c r="N682" s="1324" t="s">
        <v>71</v>
      </c>
      <c r="O682" s="1325"/>
      <c r="P682" s="1326">
        <v>10</v>
      </c>
      <c r="Q682" s="1327">
        <v>20</v>
      </c>
      <c r="R682" s="1327">
        <v>30</v>
      </c>
      <c r="S682" s="1327">
        <v>40</v>
      </c>
      <c r="T682" s="1327">
        <v>50</v>
      </c>
      <c r="U682" s="1327">
        <v>60</v>
      </c>
      <c r="V682" s="1327">
        <v>70</v>
      </c>
      <c r="W682" s="1328">
        <v>80</v>
      </c>
    </row>
    <row r="683" spans="1:23" ht="17.100000000000001" customHeight="1">
      <c r="A683" s="1428" t="s">
        <v>454</v>
      </c>
      <c r="B683" s="1429"/>
      <c r="C683" s="516">
        <f>B106</f>
        <v>8.9999999999999993E-3</v>
      </c>
      <c r="D683" s="517">
        <f>C106</f>
        <v>7.0000000000000001E-3</v>
      </c>
      <c r="E683" s="517">
        <f>C106</f>
        <v>7.0000000000000001E-3</v>
      </c>
      <c r="F683" s="694">
        <f>C106</f>
        <v>7.0000000000000001E-3</v>
      </c>
      <c r="G683" s="694">
        <f>E106</f>
        <v>5.0000000000000001E-3</v>
      </c>
      <c r="H683" s="694">
        <f>E106</f>
        <v>5.0000000000000001E-3</v>
      </c>
      <c r="I683" s="694">
        <f>E106</f>
        <v>5.0000000000000001E-3</v>
      </c>
      <c r="J683" s="695">
        <f>E106</f>
        <v>5.0000000000000001E-3</v>
      </c>
      <c r="N683" s="1520" t="s">
        <v>965</v>
      </c>
      <c r="O683" s="1521"/>
      <c r="P683" s="1329">
        <v>8.9999999999999993E-3</v>
      </c>
      <c r="Q683" s="1330">
        <v>7.0000000000000001E-3</v>
      </c>
      <c r="R683" s="1330">
        <v>7.0000000000000001E-3</v>
      </c>
      <c r="S683" s="1331">
        <v>7.0000000000000001E-3</v>
      </c>
      <c r="T683" s="1331">
        <v>5.0000000000000001E-3</v>
      </c>
      <c r="U683" s="1331">
        <v>5.0000000000000001E-3</v>
      </c>
      <c r="V683" s="1331">
        <v>5.0000000000000001E-3</v>
      </c>
      <c r="W683" s="1332">
        <v>5.0000000000000001E-3</v>
      </c>
    </row>
    <row r="684" spans="1:23" ht="17.100000000000001" customHeight="1">
      <c r="A684" s="479" t="str">
        <f>E6</f>
        <v>진주</v>
      </c>
      <c r="B684" s="616" t="str">
        <f>B7</f>
        <v>1구간</v>
      </c>
      <c r="C684" s="696">
        <f>ROUNDUP(C685,0)</f>
        <v>6</v>
      </c>
      <c r="D684" s="697">
        <f t="shared" ref="D684:J698" si="298">ROUNDUP(D685,0)</f>
        <v>9</v>
      </c>
      <c r="E684" s="697">
        <f t="shared" si="298"/>
        <v>9</v>
      </c>
      <c r="F684" s="697">
        <f t="shared" si="298"/>
        <v>10</v>
      </c>
      <c r="G684" s="697">
        <f t="shared" si="298"/>
        <v>14</v>
      </c>
      <c r="H684" s="697">
        <f t="shared" si="298"/>
        <v>14</v>
      </c>
      <c r="I684" s="697">
        <f t="shared" si="298"/>
        <v>14</v>
      </c>
      <c r="J684" s="698">
        <f t="shared" si="298"/>
        <v>14</v>
      </c>
      <c r="N684" s="1333" t="s">
        <v>966</v>
      </c>
      <c r="O684" s="1334" t="s">
        <v>2</v>
      </c>
      <c r="P684" s="1335">
        <v>11</v>
      </c>
      <c r="Q684" s="1336">
        <v>15</v>
      </c>
      <c r="R684" s="1336">
        <v>16</v>
      </c>
      <c r="S684" s="1336">
        <v>16</v>
      </c>
      <c r="T684" s="1336">
        <v>21</v>
      </c>
      <c r="U684" s="1336">
        <v>20</v>
      </c>
      <c r="V684" s="1336">
        <v>20</v>
      </c>
      <c r="W684" s="1337">
        <v>20</v>
      </c>
    </row>
    <row r="685" spans="1:23" ht="12" customHeight="1">
      <c r="B685" s="442"/>
      <c r="C685" s="699">
        <f>ROUND(K514/C683/3600,2)</f>
        <v>5.01</v>
      </c>
      <c r="D685" s="700">
        <f>ROUND(K524/D683/3600,2)</f>
        <v>8.33</v>
      </c>
      <c r="E685" s="700">
        <f>ROUND($K534/E683/3600,2)</f>
        <v>8.8699999999999992</v>
      </c>
      <c r="F685" s="700">
        <f>ROUND($K544/F683/3600,2)</f>
        <v>9.3699999999999992</v>
      </c>
      <c r="G685" s="700">
        <f>ROUND($K554/G683/3600,2)</f>
        <v>13.32</v>
      </c>
      <c r="H685" s="700">
        <f>ROUND($K564/H683/3600,2)</f>
        <v>13.32</v>
      </c>
      <c r="I685" s="700">
        <f>ROUND($K574/I683/3600,2)</f>
        <v>13.04</v>
      </c>
      <c r="J685" s="701">
        <f>ROUND($K584/J683/3600,2)</f>
        <v>13.62</v>
      </c>
      <c r="N685" s="1338"/>
      <c r="O685" s="1339"/>
      <c r="P685" s="1340">
        <v>10.93</v>
      </c>
      <c r="Q685" s="1341">
        <v>14.55</v>
      </c>
      <c r="R685" s="1341">
        <v>15.2</v>
      </c>
      <c r="S685" s="1341">
        <v>15.2</v>
      </c>
      <c r="T685" s="1341">
        <v>20.91</v>
      </c>
      <c r="U685" s="1341">
        <v>19.899999999999999</v>
      </c>
      <c r="V685" s="1341">
        <v>19.03</v>
      </c>
      <c r="W685" s="1342">
        <v>19.04</v>
      </c>
    </row>
    <row r="686" spans="1:23" ht="17.100000000000001" customHeight="1">
      <c r="A686" s="479" t="str">
        <f>F6</f>
        <v>방향</v>
      </c>
      <c r="B686" s="702" t="str">
        <f>C7</f>
        <v>2구간</v>
      </c>
      <c r="C686" s="703">
        <f>ROUNDUP(C687,0)</f>
        <v>0</v>
      </c>
      <c r="D686" s="704">
        <f t="shared" si="298"/>
        <v>0</v>
      </c>
      <c r="E686" s="704">
        <f t="shared" si="298"/>
        <v>0</v>
      </c>
      <c r="F686" s="704">
        <f t="shared" si="298"/>
        <v>0</v>
      </c>
      <c r="G686" s="704">
        <f t="shared" si="298"/>
        <v>0</v>
      </c>
      <c r="H686" s="704">
        <f>ROUNDUP(H687,0)</f>
        <v>0</v>
      </c>
      <c r="I686" s="704">
        <f t="shared" si="298"/>
        <v>0</v>
      </c>
      <c r="J686" s="705">
        <f t="shared" si="298"/>
        <v>0</v>
      </c>
      <c r="N686" s="1333" t="s">
        <v>967</v>
      </c>
      <c r="O686" s="1343" t="s">
        <v>3</v>
      </c>
      <c r="P686" s="1344">
        <v>10</v>
      </c>
      <c r="Q686" s="1345">
        <v>18</v>
      </c>
      <c r="R686" s="1345">
        <v>20</v>
      </c>
      <c r="S686" s="1345">
        <v>22</v>
      </c>
      <c r="T686" s="1345">
        <v>31</v>
      </c>
      <c r="U686" s="1345">
        <v>31</v>
      </c>
      <c r="V686" s="1345">
        <v>31</v>
      </c>
      <c r="W686" s="1346">
        <v>31</v>
      </c>
    </row>
    <row r="687" spans="1:23" ht="12" customHeight="1">
      <c r="A687" s="479"/>
      <c r="B687" s="622"/>
      <c r="C687" s="706">
        <f>ROUND($K515/C$683/3600,2)</f>
        <v>0</v>
      </c>
      <c r="D687" s="707">
        <f>ROUND($K525/D$683/3600,2)</f>
        <v>0</v>
      </c>
      <c r="E687" s="707">
        <f>ROUND($K535/E$683/3600,2)</f>
        <v>0</v>
      </c>
      <c r="F687" s="707">
        <f>ROUND($K545/F$683/3600,2)</f>
        <v>0</v>
      </c>
      <c r="G687" s="707">
        <f>ROUND($K555/G$683/3600,2)</f>
        <v>0</v>
      </c>
      <c r="H687" s="707">
        <f>ROUND($K565/H$683/3600,2)</f>
        <v>0</v>
      </c>
      <c r="I687" s="707">
        <f>ROUND($K575/I$683/3600,2)</f>
        <v>0</v>
      </c>
      <c r="J687" s="708">
        <f>ROUND($K585/J$683/3600,2)</f>
        <v>0</v>
      </c>
      <c r="N687" s="1333"/>
      <c r="O687" s="1347"/>
      <c r="P687" s="1348">
        <v>9.2799999999999994</v>
      </c>
      <c r="Q687" s="1349">
        <v>17.399999999999999</v>
      </c>
      <c r="R687" s="1349">
        <v>19.809999999999999</v>
      </c>
      <c r="S687" s="1349">
        <v>21.14</v>
      </c>
      <c r="T687" s="1349">
        <v>30.52</v>
      </c>
      <c r="U687" s="1349">
        <v>30.53</v>
      </c>
      <c r="V687" s="1349">
        <v>30.02</v>
      </c>
      <c r="W687" s="1350">
        <v>30.87</v>
      </c>
    </row>
    <row r="688" spans="1:23" ht="17.100000000000001" customHeight="1">
      <c r="A688" s="479"/>
      <c r="B688" s="483" t="str">
        <f>D7</f>
        <v>3구간</v>
      </c>
      <c r="C688" s="709">
        <f>ROUNDUP(C689,0)</f>
        <v>0</v>
      </c>
      <c r="D688" s="710">
        <f t="shared" si="298"/>
        <v>0</v>
      </c>
      <c r="E688" s="710">
        <f t="shared" si="298"/>
        <v>0</v>
      </c>
      <c r="F688" s="710">
        <f t="shared" si="298"/>
        <v>0</v>
      </c>
      <c r="G688" s="710">
        <f t="shared" si="298"/>
        <v>0</v>
      </c>
      <c r="H688" s="710">
        <f t="shared" si="298"/>
        <v>0</v>
      </c>
      <c r="I688" s="710">
        <f t="shared" si="298"/>
        <v>0</v>
      </c>
      <c r="J688" s="711">
        <f t="shared" si="298"/>
        <v>0</v>
      </c>
      <c r="N688" s="1333"/>
      <c r="O688" s="1351" t="s">
        <v>878</v>
      </c>
      <c r="P688" s="1352">
        <v>53</v>
      </c>
      <c r="Q688" s="1353">
        <v>58</v>
      </c>
      <c r="R688" s="1353">
        <v>67</v>
      </c>
      <c r="S688" s="1353">
        <v>62</v>
      </c>
      <c r="T688" s="1353">
        <v>82</v>
      </c>
      <c r="U688" s="1353">
        <v>73</v>
      </c>
      <c r="V688" s="1353">
        <v>68</v>
      </c>
      <c r="W688" s="1354">
        <v>65</v>
      </c>
    </row>
    <row r="689" spans="1:23" ht="12" customHeight="1">
      <c r="A689" s="479"/>
      <c r="B689" s="442"/>
      <c r="C689" s="706">
        <f>ROUND($K516/C$683/3600,2)</f>
        <v>0</v>
      </c>
      <c r="D689" s="707">
        <f>ROUND($K526/D$683/3600,2)</f>
        <v>0</v>
      </c>
      <c r="E689" s="707">
        <f>ROUND($K536/E$683/3600,2)</f>
        <v>0</v>
      </c>
      <c r="F689" s="707">
        <f>ROUND($K546/F$683/3600,2)</f>
        <v>0</v>
      </c>
      <c r="G689" s="707">
        <f>ROUND($K556/G$683/3600,2)</f>
        <v>0</v>
      </c>
      <c r="H689" s="707">
        <f>ROUND($K566/H$683/3600,2)</f>
        <v>0</v>
      </c>
      <c r="I689" s="707">
        <f>ROUND($K576/I$683/3600,2)</f>
        <v>0</v>
      </c>
      <c r="J689" s="708">
        <f>ROUND($K586/J$683/3600,2)</f>
        <v>0</v>
      </c>
      <c r="N689" s="1333"/>
      <c r="O689" s="1339"/>
      <c r="P689" s="1348">
        <v>52.76</v>
      </c>
      <c r="Q689" s="1349">
        <v>57.99</v>
      </c>
      <c r="R689" s="1349">
        <v>66.819999999999993</v>
      </c>
      <c r="S689" s="1349">
        <v>61.62</v>
      </c>
      <c r="T689" s="1349">
        <v>81.510000000000005</v>
      </c>
      <c r="U689" s="1349">
        <v>72.650000000000006</v>
      </c>
      <c r="V689" s="1349">
        <v>67.55</v>
      </c>
      <c r="W689" s="1350">
        <v>64.77</v>
      </c>
    </row>
    <row r="690" spans="1:23" ht="17.100000000000001" customHeight="1">
      <c r="A690" s="479"/>
      <c r="B690" s="483" t="str">
        <f>E7</f>
        <v>4구간</v>
      </c>
      <c r="C690" s="709">
        <f>ROUNDUP(C691,0)</f>
        <v>0</v>
      </c>
      <c r="D690" s="710">
        <f t="shared" si="298"/>
        <v>0</v>
      </c>
      <c r="E690" s="710">
        <f t="shared" si="298"/>
        <v>0</v>
      </c>
      <c r="F690" s="710">
        <f t="shared" si="298"/>
        <v>0</v>
      </c>
      <c r="G690" s="710">
        <f t="shared" si="298"/>
        <v>0</v>
      </c>
      <c r="H690" s="710">
        <f t="shared" si="298"/>
        <v>0</v>
      </c>
      <c r="I690" s="710">
        <f t="shared" si="298"/>
        <v>0</v>
      </c>
      <c r="J690" s="711">
        <f t="shared" si="298"/>
        <v>0</v>
      </c>
      <c r="N690" s="1333"/>
      <c r="O690" s="1351" t="s">
        <v>879</v>
      </c>
      <c r="P690" s="1352">
        <v>17</v>
      </c>
      <c r="Q690" s="1353">
        <v>23</v>
      </c>
      <c r="R690" s="1353">
        <v>24</v>
      </c>
      <c r="S690" s="1353">
        <v>24</v>
      </c>
      <c r="T690" s="1353">
        <v>33</v>
      </c>
      <c r="U690" s="1353">
        <v>32</v>
      </c>
      <c r="V690" s="1353">
        <v>30</v>
      </c>
      <c r="W690" s="1354">
        <v>31</v>
      </c>
    </row>
    <row r="691" spans="1:23" ht="12" customHeight="1">
      <c r="A691" s="479"/>
      <c r="B691" s="622"/>
      <c r="C691" s="706">
        <f>ROUND($K517/C$683/3600,2)</f>
        <v>0</v>
      </c>
      <c r="D691" s="707">
        <f>ROUND($K527/D$683/3600,2)</f>
        <v>0</v>
      </c>
      <c r="E691" s="707">
        <f>ROUND($K537/E$683/3600,2)</f>
        <v>0</v>
      </c>
      <c r="F691" s="707">
        <f>ROUND($K547/F$683/3600,2)</f>
        <v>0</v>
      </c>
      <c r="G691" s="707">
        <f>ROUND($K557/G$683/3600,2)</f>
        <v>0</v>
      </c>
      <c r="H691" s="707">
        <f>ROUND($K567/H$683/3600,2)</f>
        <v>0</v>
      </c>
      <c r="I691" s="707">
        <f>ROUND($K577/I$683/3600,2)</f>
        <v>0</v>
      </c>
      <c r="J691" s="708">
        <f>ROUND($K587/J$683/3600,2)</f>
        <v>0</v>
      </c>
      <c r="N691" s="1333"/>
      <c r="O691" s="1347"/>
      <c r="P691" s="1348">
        <v>16.37</v>
      </c>
      <c r="Q691" s="1349">
        <v>22.56</v>
      </c>
      <c r="R691" s="1349">
        <v>23.67</v>
      </c>
      <c r="S691" s="1349">
        <v>23.52</v>
      </c>
      <c r="T691" s="1349">
        <v>32.340000000000003</v>
      </c>
      <c r="U691" s="1349">
        <v>31.15</v>
      </c>
      <c r="V691" s="1349">
        <v>29.85</v>
      </c>
      <c r="W691" s="1350">
        <v>30.12</v>
      </c>
    </row>
    <row r="692" spans="1:23" ht="17.100000000000001" customHeight="1">
      <c r="A692" s="479"/>
      <c r="B692" s="483" t="str">
        <f>F7</f>
        <v>5구간</v>
      </c>
      <c r="C692" s="709">
        <f>ROUNDUP(C693,0)</f>
        <v>0</v>
      </c>
      <c r="D692" s="710">
        <f t="shared" si="298"/>
        <v>0</v>
      </c>
      <c r="E692" s="710">
        <f t="shared" si="298"/>
        <v>0</v>
      </c>
      <c r="F692" s="710">
        <f t="shared" si="298"/>
        <v>0</v>
      </c>
      <c r="G692" s="710">
        <f t="shared" si="298"/>
        <v>0</v>
      </c>
      <c r="H692" s="710">
        <f t="shared" si="298"/>
        <v>0</v>
      </c>
      <c r="I692" s="710">
        <f t="shared" si="298"/>
        <v>0</v>
      </c>
      <c r="J692" s="711">
        <f t="shared" si="298"/>
        <v>0</v>
      </c>
      <c r="N692" s="1333"/>
      <c r="O692" s="1351" t="s">
        <v>881</v>
      </c>
      <c r="P692" s="1352">
        <v>27</v>
      </c>
      <c r="Q692" s="1353">
        <v>31</v>
      </c>
      <c r="R692" s="1353">
        <v>35</v>
      </c>
      <c r="S692" s="1353">
        <v>40</v>
      </c>
      <c r="T692" s="1353">
        <v>53</v>
      </c>
      <c r="U692" s="1353">
        <v>47</v>
      </c>
      <c r="V692" s="1353">
        <v>44</v>
      </c>
      <c r="W692" s="1354">
        <v>42</v>
      </c>
    </row>
    <row r="693" spans="1:23" ht="12" customHeight="1">
      <c r="A693" s="479"/>
      <c r="B693" s="702"/>
      <c r="C693" s="712">
        <f>ROUND($K518/C$683/3600,2)</f>
        <v>0</v>
      </c>
      <c r="D693" s="713">
        <f>ROUND($K528/D$683/3600,2)</f>
        <v>0</v>
      </c>
      <c r="E693" s="714">
        <f>ROUND($K538/E$683/3600,2)</f>
        <v>0</v>
      </c>
      <c r="F693" s="713">
        <f>ROUND($K548/F$683/3600,2)</f>
        <v>0</v>
      </c>
      <c r="G693" s="713">
        <f>ROUND($K558/G$683/3600,2)</f>
        <v>0</v>
      </c>
      <c r="H693" s="713">
        <f>ROUND($K568/H$683/3600,2)</f>
        <v>0</v>
      </c>
      <c r="I693" s="713">
        <f>ROUND($K578/I$683/3600,2)</f>
        <v>0</v>
      </c>
      <c r="J693" s="715">
        <f>ROUND($K588/J$683/3600,2)</f>
        <v>0</v>
      </c>
      <c r="N693" s="1333"/>
      <c r="O693" s="1343"/>
      <c r="P693" s="1355">
        <v>26.34</v>
      </c>
      <c r="Q693" s="1356">
        <v>30.23</v>
      </c>
      <c r="R693" s="1357">
        <v>34.549999999999997</v>
      </c>
      <c r="S693" s="1356">
        <v>39.76</v>
      </c>
      <c r="T693" s="1356">
        <v>52.65</v>
      </c>
      <c r="U693" s="1356">
        <v>46.96</v>
      </c>
      <c r="V693" s="1356">
        <v>43.64</v>
      </c>
      <c r="W693" s="1358">
        <v>41.95</v>
      </c>
    </row>
    <row r="694" spans="1:23" ht="17.100000000000001" customHeight="1">
      <c r="A694" s="479"/>
      <c r="B694" s="702" t="str">
        <f>B12</f>
        <v>6구간</v>
      </c>
      <c r="C694" s="703">
        <f>ROUNDUP(C695,0)</f>
        <v>0</v>
      </c>
      <c r="D694" s="704">
        <f t="shared" si="298"/>
        <v>0</v>
      </c>
      <c r="E694" s="704">
        <f t="shared" si="298"/>
        <v>0</v>
      </c>
      <c r="F694" s="704">
        <f t="shared" si="298"/>
        <v>0</v>
      </c>
      <c r="G694" s="704">
        <f t="shared" si="298"/>
        <v>0</v>
      </c>
      <c r="H694" s="704">
        <f t="shared" si="298"/>
        <v>0</v>
      </c>
      <c r="I694" s="704">
        <f t="shared" si="298"/>
        <v>0</v>
      </c>
      <c r="J694" s="705">
        <f t="shared" si="298"/>
        <v>0</v>
      </c>
      <c r="N694" s="1333"/>
      <c r="O694" s="1343" t="s">
        <v>883</v>
      </c>
      <c r="P694" s="1344">
        <v>0</v>
      </c>
      <c r="Q694" s="1345">
        <v>0</v>
      </c>
      <c r="R694" s="1345">
        <v>0</v>
      </c>
      <c r="S694" s="1345">
        <v>0</v>
      </c>
      <c r="T694" s="1345">
        <v>0</v>
      </c>
      <c r="U694" s="1345">
        <v>0</v>
      </c>
      <c r="V694" s="1345">
        <v>0</v>
      </c>
      <c r="W694" s="1346">
        <v>0</v>
      </c>
    </row>
    <row r="695" spans="1:23" ht="12" customHeight="1">
      <c r="B695" s="442"/>
      <c r="C695" s="699">
        <f>ROUND(K519/C683/3600,2)</f>
        <v>0</v>
      </c>
      <c r="D695" s="700">
        <f>ROUND(K529/D683/3600,2)</f>
        <v>0</v>
      </c>
      <c r="E695" s="700">
        <f>ROUND($K539/E683/3600,2)</f>
        <v>0</v>
      </c>
      <c r="F695" s="700">
        <f>ROUND($K549/F683/3600,2)</f>
        <v>0</v>
      </c>
      <c r="G695" s="700">
        <f>ROUND($K559/G683/3600,2)</f>
        <v>0</v>
      </c>
      <c r="H695" s="700">
        <f>ROUND($K569/H683/3600,2)</f>
        <v>0</v>
      </c>
      <c r="I695" s="700">
        <f>ROUND($K579/I683/3600,2)</f>
        <v>0</v>
      </c>
      <c r="J695" s="701">
        <f>ROUND($K589/J683/3600,2)</f>
        <v>0</v>
      </c>
      <c r="N695" s="1338"/>
      <c r="O695" s="1339"/>
      <c r="P695" s="1340">
        <v>0</v>
      </c>
      <c r="Q695" s="1341">
        <v>0</v>
      </c>
      <c r="R695" s="1341">
        <v>0</v>
      </c>
      <c r="S695" s="1341">
        <v>0</v>
      </c>
      <c r="T695" s="1341">
        <v>0</v>
      </c>
      <c r="U695" s="1341">
        <v>0</v>
      </c>
      <c r="V695" s="1341">
        <v>0</v>
      </c>
      <c r="W695" s="1342">
        <v>0</v>
      </c>
    </row>
    <row r="696" spans="1:23" ht="17.100000000000001" customHeight="1">
      <c r="A696" s="479"/>
      <c r="B696" s="702" t="str">
        <f>C12</f>
        <v>7구간</v>
      </c>
      <c r="C696" s="703">
        <f>ROUNDUP(C697,0)</f>
        <v>0</v>
      </c>
      <c r="D696" s="704">
        <f t="shared" si="298"/>
        <v>0</v>
      </c>
      <c r="E696" s="704">
        <f t="shared" si="298"/>
        <v>0</v>
      </c>
      <c r="F696" s="704">
        <f t="shared" si="298"/>
        <v>0</v>
      </c>
      <c r="G696" s="704">
        <f t="shared" si="298"/>
        <v>0</v>
      </c>
      <c r="H696" s="704">
        <f>ROUNDUP(H697,0)</f>
        <v>0</v>
      </c>
      <c r="I696" s="704">
        <f t="shared" si="298"/>
        <v>0</v>
      </c>
      <c r="J696" s="705">
        <f t="shared" si="298"/>
        <v>0</v>
      </c>
      <c r="N696" s="1333"/>
      <c r="O696" s="1343" t="s">
        <v>885</v>
      </c>
      <c r="P696" s="1344">
        <v>0</v>
      </c>
      <c r="Q696" s="1345">
        <v>0</v>
      </c>
      <c r="R696" s="1345">
        <v>0</v>
      </c>
      <c r="S696" s="1345">
        <v>0</v>
      </c>
      <c r="T696" s="1345">
        <v>0</v>
      </c>
      <c r="U696" s="1345">
        <v>0</v>
      </c>
      <c r="V696" s="1345">
        <v>0</v>
      </c>
      <c r="W696" s="1346">
        <v>0</v>
      </c>
    </row>
    <row r="697" spans="1:23" ht="12" customHeight="1">
      <c r="A697" s="479"/>
      <c r="B697" s="622"/>
      <c r="C697" s="706">
        <f>ROUND($K520/C$683/3600,2)</f>
        <v>0</v>
      </c>
      <c r="D697" s="707">
        <f>ROUND($K530/D$683/3600,2)</f>
        <v>0</v>
      </c>
      <c r="E697" s="707">
        <f>ROUND($K540/E$683/3600,2)</f>
        <v>0</v>
      </c>
      <c r="F697" s="707">
        <f>ROUND($K550/F$683/3600,2)</f>
        <v>0</v>
      </c>
      <c r="G697" s="707">
        <f>ROUND($K560/G$683/3600,2)</f>
        <v>0</v>
      </c>
      <c r="H697" s="707">
        <f>ROUND($K570/H$683/3600,2)</f>
        <v>0</v>
      </c>
      <c r="I697" s="707">
        <f>ROUND($K580/I$683/3600,2)</f>
        <v>0</v>
      </c>
      <c r="J697" s="708">
        <f>ROUND($K590/J$683/3600,2)</f>
        <v>0</v>
      </c>
      <c r="N697" s="1333"/>
      <c r="O697" s="1347"/>
      <c r="P697" s="1348">
        <v>0</v>
      </c>
      <c r="Q697" s="1349">
        <v>0</v>
      </c>
      <c r="R697" s="1349">
        <v>0</v>
      </c>
      <c r="S697" s="1349">
        <v>0</v>
      </c>
      <c r="T697" s="1349">
        <v>0</v>
      </c>
      <c r="U697" s="1349">
        <v>0</v>
      </c>
      <c r="V697" s="1349">
        <v>0</v>
      </c>
      <c r="W697" s="1350">
        <v>0</v>
      </c>
    </row>
    <row r="698" spans="1:23" ht="17.100000000000001" customHeight="1">
      <c r="A698" s="479"/>
      <c r="B698" s="483" t="str">
        <f>D12</f>
        <v>8구간</v>
      </c>
      <c r="C698" s="709">
        <f>ROUNDUP(C699,0)</f>
        <v>0</v>
      </c>
      <c r="D698" s="710">
        <f t="shared" si="298"/>
        <v>0</v>
      </c>
      <c r="E698" s="710">
        <f t="shared" si="298"/>
        <v>0</v>
      </c>
      <c r="F698" s="710">
        <f t="shared" si="298"/>
        <v>0</v>
      </c>
      <c r="G698" s="710">
        <f t="shared" si="298"/>
        <v>0</v>
      </c>
      <c r="H698" s="710">
        <f t="shared" si="298"/>
        <v>0</v>
      </c>
      <c r="I698" s="710">
        <f t="shared" si="298"/>
        <v>0</v>
      </c>
      <c r="J698" s="711">
        <f t="shared" si="298"/>
        <v>0</v>
      </c>
      <c r="N698" s="1333"/>
      <c r="O698" s="1351" t="s">
        <v>887</v>
      </c>
      <c r="P698" s="1352">
        <v>0</v>
      </c>
      <c r="Q698" s="1353">
        <v>0</v>
      </c>
      <c r="R698" s="1353">
        <v>0</v>
      </c>
      <c r="S698" s="1353">
        <v>0</v>
      </c>
      <c r="T698" s="1353">
        <v>0</v>
      </c>
      <c r="U698" s="1353">
        <v>0</v>
      </c>
      <c r="V698" s="1353">
        <v>0</v>
      </c>
      <c r="W698" s="1354">
        <v>0</v>
      </c>
    </row>
    <row r="699" spans="1:23" ht="12" customHeight="1">
      <c r="A699" s="479"/>
      <c r="B699" s="622"/>
      <c r="C699" s="706">
        <f>ROUND($K521/C$683/3600,2)</f>
        <v>0</v>
      </c>
      <c r="D699" s="707">
        <f>ROUND($K531/D$683/3600,2)</f>
        <v>0</v>
      </c>
      <c r="E699" s="707">
        <f>ROUND($K541/E$683/3600,2)</f>
        <v>0</v>
      </c>
      <c r="F699" s="707">
        <f>ROUND($K551/F$683/3600,2)</f>
        <v>0</v>
      </c>
      <c r="G699" s="707">
        <f>ROUND($K561/G$683/3600,2)</f>
        <v>0</v>
      </c>
      <c r="H699" s="707">
        <f>ROUND($K571/H$683/3600,2)</f>
        <v>0</v>
      </c>
      <c r="I699" s="707">
        <f>ROUND($K581/I$683/3600,2)</f>
        <v>0</v>
      </c>
      <c r="J699" s="708">
        <f>ROUND($K591/J$683/3600,2)</f>
        <v>0</v>
      </c>
      <c r="N699" s="1333"/>
      <c r="O699" s="1347"/>
      <c r="P699" s="1348">
        <v>0</v>
      </c>
      <c r="Q699" s="1349">
        <v>0</v>
      </c>
      <c r="R699" s="1349">
        <v>0</v>
      </c>
      <c r="S699" s="1349">
        <v>0</v>
      </c>
      <c r="T699" s="1349">
        <v>0</v>
      </c>
      <c r="U699" s="1349">
        <v>0</v>
      </c>
      <c r="V699" s="1349">
        <v>0</v>
      </c>
      <c r="W699" s="1350">
        <v>0</v>
      </c>
    </row>
    <row r="700" spans="1:23" ht="17.100000000000001" customHeight="1">
      <c r="A700" s="479"/>
      <c r="B700" s="483" t="str">
        <f>E12</f>
        <v>9구간</v>
      </c>
      <c r="C700" s="709">
        <f>ROUNDUP(C701,0)</f>
        <v>0</v>
      </c>
      <c r="D700" s="710">
        <f t="shared" ref="D700:J702" si="299">ROUNDUP(D701,0)</f>
        <v>0</v>
      </c>
      <c r="E700" s="710">
        <f t="shared" si="299"/>
        <v>0</v>
      </c>
      <c r="F700" s="710">
        <f t="shared" si="299"/>
        <v>0</v>
      </c>
      <c r="G700" s="710">
        <f t="shared" si="299"/>
        <v>0</v>
      </c>
      <c r="H700" s="710">
        <f t="shared" si="299"/>
        <v>0</v>
      </c>
      <c r="I700" s="710">
        <f t="shared" si="299"/>
        <v>0</v>
      </c>
      <c r="J700" s="711">
        <f t="shared" si="299"/>
        <v>0</v>
      </c>
      <c r="N700" s="1333"/>
      <c r="O700" s="1351" t="s">
        <v>888</v>
      </c>
      <c r="P700" s="1352">
        <v>0</v>
      </c>
      <c r="Q700" s="1353">
        <v>0</v>
      </c>
      <c r="R700" s="1353">
        <v>0</v>
      </c>
      <c r="S700" s="1353">
        <v>0</v>
      </c>
      <c r="T700" s="1353">
        <v>0</v>
      </c>
      <c r="U700" s="1353">
        <v>0</v>
      </c>
      <c r="V700" s="1353">
        <v>0</v>
      </c>
      <c r="W700" s="1354">
        <v>0</v>
      </c>
    </row>
    <row r="701" spans="1:23" ht="12" customHeight="1">
      <c r="A701" s="479"/>
      <c r="B701" s="622"/>
      <c r="C701" s="706">
        <f>ROUND($K522/C$683/3600,2)</f>
        <v>0</v>
      </c>
      <c r="D701" s="707">
        <f>ROUND($K532/D$683/3600,2)</f>
        <v>0</v>
      </c>
      <c r="E701" s="707">
        <f>ROUND($K542/E$683/3600,2)</f>
        <v>0</v>
      </c>
      <c r="F701" s="707">
        <f>ROUND($K552/F$683/3600,2)</f>
        <v>0</v>
      </c>
      <c r="G701" s="707">
        <f>ROUND($K562/G$683/3600,2)</f>
        <v>0</v>
      </c>
      <c r="H701" s="707">
        <f>ROUND($K572/H$683/3600,2)</f>
        <v>0</v>
      </c>
      <c r="I701" s="707">
        <f>ROUND($K582/I$683/3600,2)</f>
        <v>0</v>
      </c>
      <c r="J701" s="708">
        <f>ROUND($K592/J$683/3600,2)</f>
        <v>0</v>
      </c>
      <c r="N701" s="1333"/>
      <c r="O701" s="1347"/>
      <c r="P701" s="1348">
        <v>0</v>
      </c>
      <c r="Q701" s="1349">
        <v>0</v>
      </c>
      <c r="R701" s="1349">
        <v>0</v>
      </c>
      <c r="S701" s="1349">
        <v>0</v>
      </c>
      <c r="T701" s="1349">
        <v>0</v>
      </c>
      <c r="U701" s="1349">
        <v>0</v>
      </c>
      <c r="V701" s="1349">
        <v>0</v>
      </c>
      <c r="W701" s="1350">
        <v>0</v>
      </c>
    </row>
    <row r="702" spans="1:23" ht="17.100000000000001" customHeight="1">
      <c r="A702" s="479"/>
      <c r="B702" s="483" t="str">
        <f>F12</f>
        <v>10구간</v>
      </c>
      <c r="C702" s="709">
        <f>ROUNDUP(C703,0)</f>
        <v>0</v>
      </c>
      <c r="D702" s="710">
        <f t="shared" si="299"/>
        <v>0</v>
      </c>
      <c r="E702" s="710">
        <f t="shared" si="299"/>
        <v>0</v>
      </c>
      <c r="F702" s="710">
        <f t="shared" si="299"/>
        <v>0</v>
      </c>
      <c r="G702" s="710">
        <f t="shared" si="299"/>
        <v>0</v>
      </c>
      <c r="H702" s="710">
        <f t="shared" si="299"/>
        <v>0</v>
      </c>
      <c r="I702" s="710">
        <f t="shared" si="299"/>
        <v>0</v>
      </c>
      <c r="J702" s="711">
        <f t="shared" si="299"/>
        <v>0</v>
      </c>
      <c r="N702" s="1333"/>
      <c r="O702" s="1351" t="s">
        <v>889</v>
      </c>
      <c r="P702" s="1352">
        <v>0</v>
      </c>
      <c r="Q702" s="1353">
        <v>0</v>
      </c>
      <c r="R702" s="1353">
        <v>0</v>
      </c>
      <c r="S702" s="1353">
        <v>0</v>
      </c>
      <c r="T702" s="1353">
        <v>0</v>
      </c>
      <c r="U702" s="1353">
        <v>0</v>
      </c>
      <c r="V702" s="1353">
        <v>0</v>
      </c>
      <c r="W702" s="1354">
        <v>0</v>
      </c>
    </row>
    <row r="703" spans="1:23" ht="12" customHeight="1">
      <c r="A703" s="479"/>
      <c r="B703" s="702"/>
      <c r="C703" s="712">
        <f>ROUND($K523/C$683/3600,2)</f>
        <v>0</v>
      </c>
      <c r="D703" s="713">
        <f>ROUND($K533/D$683/3600,2)</f>
        <v>0</v>
      </c>
      <c r="E703" s="714">
        <f>ROUND($K543/E$683/3600,2)</f>
        <v>0</v>
      </c>
      <c r="F703" s="713">
        <f>ROUND($K553/F$683/3600,2)</f>
        <v>0</v>
      </c>
      <c r="G703" s="713">
        <f>ROUND($K563/G$683/3600,2)</f>
        <v>0</v>
      </c>
      <c r="H703" s="713">
        <f>ROUND($K573/H$683/3600,2)</f>
        <v>0</v>
      </c>
      <c r="I703" s="713">
        <f>ROUND($K583/I$683/3600,2)</f>
        <v>0</v>
      </c>
      <c r="J703" s="715">
        <f>ROUND($K593/J$683/3600,2)</f>
        <v>0</v>
      </c>
      <c r="N703" s="1333"/>
      <c r="O703" s="1343"/>
      <c r="P703" s="1355">
        <v>0</v>
      </c>
      <c r="Q703" s="1356">
        <v>0</v>
      </c>
      <c r="R703" s="1357">
        <v>0</v>
      </c>
      <c r="S703" s="1356">
        <v>0</v>
      </c>
      <c r="T703" s="1356">
        <v>0</v>
      </c>
      <c r="U703" s="1356">
        <v>0</v>
      </c>
      <c r="V703" s="1356">
        <v>0</v>
      </c>
      <c r="W703" s="1358">
        <v>0</v>
      </c>
    </row>
    <row r="704" spans="1:23" ht="16.5" customHeight="1">
      <c r="A704" s="515"/>
      <c r="B704" s="452" t="s">
        <v>72</v>
      </c>
      <c r="C704" s="256">
        <f>+C684+C686+C688+C690+C692+C694+C696+C698+C700+C702</f>
        <v>6</v>
      </c>
      <c r="D704" s="257">
        <f t="shared" ref="D704:J704" si="300">+D684+D686+D688+D690+D692+D694+D696+D698+D700+D702</f>
        <v>9</v>
      </c>
      <c r="E704" s="257">
        <f t="shared" si="300"/>
        <v>9</v>
      </c>
      <c r="F704" s="257">
        <f t="shared" si="300"/>
        <v>10</v>
      </c>
      <c r="G704" s="257">
        <f t="shared" si="300"/>
        <v>14</v>
      </c>
      <c r="H704" s="257">
        <f t="shared" si="300"/>
        <v>14</v>
      </c>
      <c r="I704" s="257">
        <f t="shared" si="300"/>
        <v>14</v>
      </c>
      <c r="J704" s="258">
        <f t="shared" si="300"/>
        <v>14</v>
      </c>
      <c r="N704" s="1359"/>
      <c r="O704" s="1360" t="s">
        <v>72</v>
      </c>
      <c r="P704" s="1361">
        <v>118</v>
      </c>
      <c r="Q704" s="1362">
        <v>145</v>
      </c>
      <c r="R704" s="1362">
        <v>162</v>
      </c>
      <c r="S704" s="1362">
        <v>164</v>
      </c>
      <c r="T704" s="1362">
        <v>220</v>
      </c>
      <c r="U704" s="1362">
        <v>203</v>
      </c>
      <c r="V704" s="1362">
        <v>193</v>
      </c>
      <c r="W704" s="1363">
        <v>189</v>
      </c>
    </row>
    <row r="705" spans="1:23" ht="17.100000000000001" customHeight="1">
      <c r="A705" s="479" t="str">
        <f>J6</f>
        <v>마산</v>
      </c>
      <c r="B705" s="616" t="str">
        <f>B684</f>
        <v>1구간</v>
      </c>
      <c r="C705" s="696">
        <f>ROUNDUP(C706,0)</f>
        <v>10</v>
      </c>
      <c r="D705" s="697">
        <f t="shared" ref="D705:J705" si="301">ROUNDUP(D706,0)</f>
        <v>16</v>
      </c>
      <c r="E705" s="697">
        <f t="shared" si="301"/>
        <v>17</v>
      </c>
      <c r="F705" s="697">
        <f t="shared" si="301"/>
        <v>18</v>
      </c>
      <c r="G705" s="697">
        <f t="shared" si="301"/>
        <v>25</v>
      </c>
      <c r="H705" s="697">
        <f t="shared" si="301"/>
        <v>25</v>
      </c>
      <c r="I705" s="697">
        <f t="shared" si="301"/>
        <v>25</v>
      </c>
      <c r="J705" s="698">
        <f t="shared" si="301"/>
        <v>26</v>
      </c>
      <c r="N705" s="1333" t="s">
        <v>968</v>
      </c>
      <c r="O705" s="1334" t="s">
        <v>2</v>
      </c>
      <c r="P705" s="1335">
        <v>12</v>
      </c>
      <c r="Q705" s="1336">
        <v>17</v>
      </c>
      <c r="R705" s="1336">
        <v>18</v>
      </c>
      <c r="S705" s="1336">
        <v>18</v>
      </c>
      <c r="T705" s="1336">
        <v>25</v>
      </c>
      <c r="U705" s="1336">
        <v>24</v>
      </c>
      <c r="V705" s="1336">
        <v>23</v>
      </c>
      <c r="W705" s="1337">
        <v>23</v>
      </c>
    </row>
    <row r="706" spans="1:23" ht="17.100000000000001" customHeight="1">
      <c r="A706" s="479"/>
      <c r="B706" s="442"/>
      <c r="C706" s="699">
        <f>ROUND($K599/$C$683/3600,2)</f>
        <v>9.2899999999999991</v>
      </c>
      <c r="D706" s="700">
        <f>ROUND($K609/$D$683/3600,2)</f>
        <v>15.43</v>
      </c>
      <c r="E706" s="700">
        <f>ROUND($K619/$E$683/3600,2)</f>
        <v>16.649999999999999</v>
      </c>
      <c r="F706" s="700">
        <f>ROUND($K629/$F$683/3600,2)</f>
        <v>17.5</v>
      </c>
      <c r="G706" s="700">
        <f>ROUND($K639/$G$683/3600,2)</f>
        <v>24.74</v>
      </c>
      <c r="H706" s="700">
        <f>ROUND($K649/$H$683/3600,2)</f>
        <v>24.81</v>
      </c>
      <c r="I706" s="700">
        <f>ROUND($K659/$I$683/3600,2)</f>
        <v>24.59</v>
      </c>
      <c r="J706" s="701">
        <f>ROUND($K669/$J$683/3600,2)</f>
        <v>25.77</v>
      </c>
      <c r="N706" s="1333"/>
      <c r="O706" s="1339"/>
      <c r="P706" s="1340">
        <v>11.7</v>
      </c>
      <c r="Q706" s="1341">
        <v>16.61</v>
      </c>
      <c r="R706" s="1341">
        <v>17.46</v>
      </c>
      <c r="S706" s="1341">
        <v>17.420000000000002</v>
      </c>
      <c r="T706" s="1341">
        <v>24.26</v>
      </c>
      <c r="U706" s="1341">
        <v>23.44</v>
      </c>
      <c r="V706" s="1341">
        <v>22.5</v>
      </c>
      <c r="W706" s="1342">
        <v>22.85</v>
      </c>
    </row>
    <row r="707" spans="1:23" ht="17.100000000000001" customHeight="1">
      <c r="A707" s="479" t="str">
        <f>K6</f>
        <v>방향</v>
      </c>
      <c r="B707" s="622" t="str">
        <f>B686</f>
        <v>2구간</v>
      </c>
      <c r="C707" s="703">
        <f t="shared" ref="C707:J707" si="302">ROUNDUP(C708,0)</f>
        <v>0</v>
      </c>
      <c r="D707" s="704">
        <f t="shared" si="302"/>
        <v>0</v>
      </c>
      <c r="E707" s="704">
        <f t="shared" si="302"/>
        <v>0</v>
      </c>
      <c r="F707" s="704">
        <f t="shared" si="302"/>
        <v>0</v>
      </c>
      <c r="G707" s="704">
        <f t="shared" si="302"/>
        <v>0</v>
      </c>
      <c r="H707" s="704">
        <f t="shared" si="302"/>
        <v>0</v>
      </c>
      <c r="I707" s="704">
        <f t="shared" si="302"/>
        <v>0</v>
      </c>
      <c r="J707" s="705">
        <f t="shared" si="302"/>
        <v>0</v>
      </c>
      <c r="N707" s="1333" t="s">
        <v>967</v>
      </c>
      <c r="O707" s="1347" t="s">
        <v>3</v>
      </c>
      <c r="P707" s="1344">
        <v>30</v>
      </c>
      <c r="Q707" s="1345">
        <v>35</v>
      </c>
      <c r="R707" s="1345">
        <v>38</v>
      </c>
      <c r="S707" s="1345">
        <v>41</v>
      </c>
      <c r="T707" s="1345">
        <v>68</v>
      </c>
      <c r="U707" s="1345">
        <v>60</v>
      </c>
      <c r="V707" s="1345">
        <v>56</v>
      </c>
      <c r="W707" s="1346">
        <v>54</v>
      </c>
    </row>
    <row r="708" spans="1:23" ht="17.100000000000001" customHeight="1">
      <c r="A708" s="479"/>
      <c r="B708" s="622"/>
      <c r="C708" s="706">
        <f>ROUND($K600/$C$683/3600,2)</f>
        <v>0</v>
      </c>
      <c r="D708" s="707">
        <f>ROUND($K610/$D$683/3600,2)</f>
        <v>0</v>
      </c>
      <c r="E708" s="707">
        <f>ROUND($K620/$E$683/3600,2)</f>
        <v>0</v>
      </c>
      <c r="F708" s="707">
        <f>ROUND($K630/$F$683/3600,2)</f>
        <v>0</v>
      </c>
      <c r="G708" s="707">
        <f>ROUND($K640/$G$683/3600,2)</f>
        <v>0</v>
      </c>
      <c r="H708" s="707">
        <f>ROUND($K650/$H$683/3600,2)</f>
        <v>0</v>
      </c>
      <c r="I708" s="707">
        <f>ROUND($K660/$I$683/3600,2)</f>
        <v>0</v>
      </c>
      <c r="J708" s="708">
        <f>ROUND($K670/$J$683/3600,2)</f>
        <v>0</v>
      </c>
      <c r="N708" s="1333"/>
      <c r="O708" s="1347"/>
      <c r="P708" s="1348">
        <v>29.15</v>
      </c>
      <c r="Q708" s="1349">
        <v>34.46</v>
      </c>
      <c r="R708" s="1349">
        <v>37.46</v>
      </c>
      <c r="S708" s="1349">
        <v>40.950000000000003</v>
      </c>
      <c r="T708" s="1349">
        <v>67.239999999999995</v>
      </c>
      <c r="U708" s="1349">
        <v>59.94</v>
      </c>
      <c r="V708" s="1349">
        <v>55.77</v>
      </c>
      <c r="W708" s="1350">
        <v>53.44</v>
      </c>
    </row>
    <row r="709" spans="1:23" ht="17.100000000000001" customHeight="1">
      <c r="A709" s="479"/>
      <c r="B709" s="483" t="str">
        <f>B688</f>
        <v>3구간</v>
      </c>
      <c r="C709" s="709">
        <f t="shared" ref="C709:J709" si="303">ROUNDUP(C710,0)</f>
        <v>0</v>
      </c>
      <c r="D709" s="710">
        <f t="shared" si="303"/>
        <v>0</v>
      </c>
      <c r="E709" s="710">
        <f t="shared" si="303"/>
        <v>0</v>
      </c>
      <c r="F709" s="710">
        <f t="shared" si="303"/>
        <v>0</v>
      </c>
      <c r="G709" s="710">
        <f t="shared" si="303"/>
        <v>0</v>
      </c>
      <c r="H709" s="710">
        <f t="shared" si="303"/>
        <v>0</v>
      </c>
      <c r="I709" s="710">
        <f t="shared" si="303"/>
        <v>0</v>
      </c>
      <c r="J709" s="711">
        <f t="shared" si="303"/>
        <v>0</v>
      </c>
      <c r="N709" s="1333"/>
      <c r="O709" s="1351" t="s">
        <v>878</v>
      </c>
      <c r="P709" s="1352">
        <v>17</v>
      </c>
      <c r="Q709" s="1353">
        <v>25</v>
      </c>
      <c r="R709" s="1353">
        <v>26</v>
      </c>
      <c r="S709" s="1353">
        <v>26</v>
      </c>
      <c r="T709" s="1353">
        <v>36</v>
      </c>
      <c r="U709" s="1353">
        <v>35</v>
      </c>
      <c r="V709" s="1353">
        <v>34</v>
      </c>
      <c r="W709" s="1354">
        <v>35</v>
      </c>
    </row>
    <row r="710" spans="1:23" ht="17.100000000000001" customHeight="1">
      <c r="A710" s="479"/>
      <c r="B710" s="622"/>
      <c r="C710" s="706">
        <f>ROUND($K601/$C$683/3600,2)</f>
        <v>0</v>
      </c>
      <c r="D710" s="707">
        <f>ROUND($K611/$D$683/3600,2)</f>
        <v>0</v>
      </c>
      <c r="E710" s="707">
        <f>ROUND($K621/$E$683/3600,2)</f>
        <v>0</v>
      </c>
      <c r="F710" s="707">
        <f>ROUND($K631/$F$683/3600,2)</f>
        <v>0</v>
      </c>
      <c r="G710" s="707">
        <f>ROUND($K641/$G$683/3600,2)</f>
        <v>0</v>
      </c>
      <c r="H710" s="707">
        <f>ROUND($K651/$H$683/3600,2)</f>
        <v>0</v>
      </c>
      <c r="I710" s="707">
        <f>ROUND($K661/$I$683/3600,2)</f>
        <v>0</v>
      </c>
      <c r="J710" s="708">
        <f>ROUND($K671/$J$683/3600,2)</f>
        <v>0</v>
      </c>
      <c r="N710" s="1333"/>
      <c r="O710" s="1347"/>
      <c r="P710" s="1348">
        <v>16.37</v>
      </c>
      <c r="Q710" s="1349">
        <v>24.1</v>
      </c>
      <c r="R710" s="1349">
        <v>25.06</v>
      </c>
      <c r="S710" s="1349">
        <v>25.35</v>
      </c>
      <c r="T710" s="1349">
        <v>35.5</v>
      </c>
      <c r="U710" s="1349">
        <v>34.69</v>
      </c>
      <c r="V710" s="1349">
        <v>33.57</v>
      </c>
      <c r="W710" s="1350">
        <v>34.11</v>
      </c>
    </row>
    <row r="711" spans="1:23" ht="17.100000000000001" customHeight="1">
      <c r="A711" s="479"/>
      <c r="B711" s="702" t="str">
        <f>B690</f>
        <v>4구간</v>
      </c>
      <c r="C711" s="703">
        <f t="shared" ref="C711:J711" si="304">ROUNDUP(C712,0)</f>
        <v>0</v>
      </c>
      <c r="D711" s="704">
        <f t="shared" si="304"/>
        <v>0</v>
      </c>
      <c r="E711" s="704">
        <f t="shared" si="304"/>
        <v>0</v>
      </c>
      <c r="F711" s="704">
        <f t="shared" si="304"/>
        <v>0</v>
      </c>
      <c r="G711" s="704">
        <f t="shared" si="304"/>
        <v>0</v>
      </c>
      <c r="H711" s="704">
        <f t="shared" si="304"/>
        <v>0</v>
      </c>
      <c r="I711" s="704">
        <f t="shared" si="304"/>
        <v>0</v>
      </c>
      <c r="J711" s="705">
        <f t="shared" si="304"/>
        <v>0</v>
      </c>
      <c r="N711" s="1333"/>
      <c r="O711" s="1343" t="s">
        <v>879</v>
      </c>
      <c r="P711" s="1344">
        <v>65</v>
      </c>
      <c r="Q711" s="1345">
        <v>69</v>
      </c>
      <c r="R711" s="1345">
        <v>67</v>
      </c>
      <c r="S711" s="1345">
        <v>61</v>
      </c>
      <c r="T711" s="1345">
        <v>81</v>
      </c>
      <c r="U711" s="1345">
        <v>72</v>
      </c>
      <c r="V711" s="1345">
        <v>67</v>
      </c>
      <c r="W711" s="1346">
        <v>65</v>
      </c>
    </row>
    <row r="712" spans="1:23" ht="17.100000000000001" customHeight="1">
      <c r="A712" s="479"/>
      <c r="B712" s="442"/>
      <c r="C712" s="699">
        <f>ROUND($K602/$C$683/3600,2)</f>
        <v>0</v>
      </c>
      <c r="D712" s="700">
        <f>ROUND($K612/$D$683/3600,2)</f>
        <v>0</v>
      </c>
      <c r="E712" s="700">
        <f>ROUND($K622/$E$683/3600,2)</f>
        <v>0</v>
      </c>
      <c r="F712" s="700">
        <f>ROUND($K632/$F$683/3600,2)</f>
        <v>0</v>
      </c>
      <c r="G712" s="700">
        <f>ROUND($K642/$G$683/3600,2)</f>
        <v>0</v>
      </c>
      <c r="H712" s="700">
        <f>ROUND($K652/$H$683/3600,2)</f>
        <v>0</v>
      </c>
      <c r="I712" s="700">
        <f>ROUND($K662/$I$683/3600,2)</f>
        <v>0</v>
      </c>
      <c r="J712" s="701">
        <f>ROUND($K672/$J$683/3600,2)</f>
        <v>0</v>
      </c>
      <c r="N712" s="1333"/>
      <c r="O712" s="1339"/>
      <c r="P712" s="1340">
        <v>64.53</v>
      </c>
      <c r="Q712" s="1341">
        <v>68.88</v>
      </c>
      <c r="R712" s="1341">
        <v>66.02</v>
      </c>
      <c r="S712" s="1341">
        <v>60.88</v>
      </c>
      <c r="T712" s="1341">
        <v>80.459999999999994</v>
      </c>
      <c r="U712" s="1341">
        <v>71.790000000000006</v>
      </c>
      <c r="V712" s="1341">
        <v>66.81</v>
      </c>
      <c r="W712" s="1342">
        <v>64.02</v>
      </c>
    </row>
    <row r="713" spans="1:23" ht="17.100000000000001" customHeight="1">
      <c r="A713" s="479"/>
      <c r="B713" s="702" t="str">
        <f>B692</f>
        <v>5구간</v>
      </c>
      <c r="C713" s="703">
        <f t="shared" ref="C713:J713" si="305">ROUNDUP(C714,0)</f>
        <v>0</v>
      </c>
      <c r="D713" s="704">
        <f t="shared" si="305"/>
        <v>0</v>
      </c>
      <c r="E713" s="704">
        <f t="shared" si="305"/>
        <v>0</v>
      </c>
      <c r="F713" s="704">
        <f t="shared" si="305"/>
        <v>0</v>
      </c>
      <c r="G713" s="704">
        <f t="shared" si="305"/>
        <v>0</v>
      </c>
      <c r="H713" s="704">
        <f t="shared" si="305"/>
        <v>0</v>
      </c>
      <c r="I713" s="704">
        <f t="shared" si="305"/>
        <v>0</v>
      </c>
      <c r="J713" s="705">
        <f t="shared" si="305"/>
        <v>0</v>
      </c>
      <c r="N713" s="1333"/>
      <c r="O713" s="1343" t="s">
        <v>881</v>
      </c>
      <c r="P713" s="1344">
        <v>14</v>
      </c>
      <c r="Q713" s="1345">
        <v>17</v>
      </c>
      <c r="R713" s="1345">
        <v>18</v>
      </c>
      <c r="S713" s="1345">
        <v>19</v>
      </c>
      <c r="T713" s="1345">
        <v>28</v>
      </c>
      <c r="U713" s="1345">
        <v>26</v>
      </c>
      <c r="V713" s="1345">
        <v>27</v>
      </c>
      <c r="W713" s="1346">
        <v>30</v>
      </c>
    </row>
    <row r="714" spans="1:23" ht="17.100000000000001" customHeight="1">
      <c r="A714" s="479"/>
      <c r="B714" s="702"/>
      <c r="C714" s="712">
        <f>ROUND($K603/$C$683/3600,2)</f>
        <v>0</v>
      </c>
      <c r="D714" s="714">
        <f>ROUND($K613/$D$683/3600,2)</f>
        <v>0</v>
      </c>
      <c r="E714" s="714">
        <f>ROUND($K623/$E$683/3600,2)</f>
        <v>0</v>
      </c>
      <c r="F714" s="714">
        <f>ROUND($K633/$F$683/3600,2)</f>
        <v>0</v>
      </c>
      <c r="G714" s="714">
        <f>ROUND($K643/$G$683/3600,2)</f>
        <v>0</v>
      </c>
      <c r="H714" s="714">
        <f>ROUND($K653/$H$683/3600,2)</f>
        <v>0</v>
      </c>
      <c r="I714" s="714">
        <f>ROUND($K663/$I$683/3600,2)</f>
        <v>0</v>
      </c>
      <c r="J714" s="715">
        <f>ROUND($K673/$J$683/3600,2)</f>
        <v>0</v>
      </c>
      <c r="N714" s="1333"/>
      <c r="O714" s="1343"/>
      <c r="P714" s="1355">
        <v>13.94</v>
      </c>
      <c r="Q714" s="1357">
        <v>16.989999999999998</v>
      </c>
      <c r="R714" s="1357">
        <v>17.82</v>
      </c>
      <c r="S714" s="1357">
        <v>18.47</v>
      </c>
      <c r="T714" s="1357">
        <v>27.97</v>
      </c>
      <c r="U714" s="1357">
        <v>25.81</v>
      </c>
      <c r="V714" s="1357">
        <v>26.81</v>
      </c>
      <c r="W714" s="1358">
        <v>29.56</v>
      </c>
    </row>
    <row r="715" spans="1:23" ht="17.100000000000001" customHeight="1">
      <c r="A715" s="479"/>
      <c r="B715" s="702" t="str">
        <f>B694</f>
        <v>6구간</v>
      </c>
      <c r="C715" s="703">
        <f>ROUNDUP(C716,0)</f>
        <v>0</v>
      </c>
      <c r="D715" s="704">
        <f t="shared" ref="D715:J715" si="306">ROUNDUP(D716,0)</f>
        <v>0</v>
      </c>
      <c r="E715" s="704">
        <f t="shared" si="306"/>
        <v>0</v>
      </c>
      <c r="F715" s="704">
        <f t="shared" si="306"/>
        <v>0</v>
      </c>
      <c r="G715" s="704">
        <f t="shared" si="306"/>
        <v>0</v>
      </c>
      <c r="H715" s="704">
        <f t="shared" si="306"/>
        <v>0</v>
      </c>
      <c r="I715" s="704">
        <f t="shared" si="306"/>
        <v>0</v>
      </c>
      <c r="J715" s="705">
        <f t="shared" si="306"/>
        <v>0</v>
      </c>
      <c r="N715" s="1333"/>
      <c r="O715" s="1343" t="s">
        <v>883</v>
      </c>
      <c r="P715" s="1344">
        <v>0</v>
      </c>
      <c r="Q715" s="1345">
        <v>0</v>
      </c>
      <c r="R715" s="1345">
        <v>0</v>
      </c>
      <c r="S715" s="1345">
        <v>0</v>
      </c>
      <c r="T715" s="1345">
        <v>0</v>
      </c>
      <c r="U715" s="1345">
        <v>0</v>
      </c>
      <c r="V715" s="1345">
        <v>0</v>
      </c>
      <c r="W715" s="1346">
        <v>0</v>
      </c>
    </row>
    <row r="716" spans="1:23" ht="17.100000000000001" customHeight="1">
      <c r="A716" s="479"/>
      <c r="B716" s="442"/>
      <c r="C716" s="699">
        <f>ROUND($K604/$C$683/3600,2)</f>
        <v>0</v>
      </c>
      <c r="D716" s="700">
        <f>ROUND($K614/$D$683/3600,2)</f>
        <v>0</v>
      </c>
      <c r="E716" s="700">
        <f>ROUND($K624/$E$683/3600,2)</f>
        <v>0</v>
      </c>
      <c r="F716" s="700">
        <f>ROUND($K634/$F$683/3600,2)</f>
        <v>0</v>
      </c>
      <c r="G716" s="700">
        <f>ROUND($K644/$G$683/3600,2)</f>
        <v>0</v>
      </c>
      <c r="H716" s="700">
        <f>ROUND($K654/$H$683/3600,2)</f>
        <v>0</v>
      </c>
      <c r="I716" s="700">
        <f>ROUND($K664/$I$683/3600,2)</f>
        <v>0</v>
      </c>
      <c r="J716" s="701">
        <f>ROUND($K674/$J$683/3600,2)</f>
        <v>0</v>
      </c>
      <c r="N716" s="1333"/>
      <c r="O716" s="1339"/>
      <c r="P716" s="1340">
        <v>0</v>
      </c>
      <c r="Q716" s="1341">
        <v>0</v>
      </c>
      <c r="R716" s="1341">
        <v>0</v>
      </c>
      <c r="S716" s="1341">
        <v>0</v>
      </c>
      <c r="T716" s="1341">
        <v>0</v>
      </c>
      <c r="U716" s="1341">
        <v>0</v>
      </c>
      <c r="V716" s="1341">
        <v>0</v>
      </c>
      <c r="W716" s="1342">
        <v>0</v>
      </c>
    </row>
    <row r="717" spans="1:23" ht="17.100000000000001" customHeight="1">
      <c r="A717" s="479"/>
      <c r="B717" s="622" t="str">
        <f>B696</f>
        <v>7구간</v>
      </c>
      <c r="C717" s="703">
        <f t="shared" ref="C717:J717" si="307">ROUNDUP(C718,0)</f>
        <v>0</v>
      </c>
      <c r="D717" s="704">
        <f t="shared" si="307"/>
        <v>0</v>
      </c>
      <c r="E717" s="704">
        <f t="shared" si="307"/>
        <v>0</v>
      </c>
      <c r="F717" s="704">
        <f t="shared" si="307"/>
        <v>0</v>
      </c>
      <c r="G717" s="704">
        <f t="shared" si="307"/>
        <v>0</v>
      </c>
      <c r="H717" s="704">
        <f t="shared" si="307"/>
        <v>0</v>
      </c>
      <c r="I717" s="704">
        <f t="shared" si="307"/>
        <v>0</v>
      </c>
      <c r="J717" s="705">
        <f t="shared" si="307"/>
        <v>0</v>
      </c>
      <c r="N717" s="1333"/>
      <c r="O717" s="1347" t="s">
        <v>885</v>
      </c>
      <c r="P717" s="1344">
        <v>0</v>
      </c>
      <c r="Q717" s="1345">
        <v>0</v>
      </c>
      <c r="R717" s="1345">
        <v>0</v>
      </c>
      <c r="S717" s="1345">
        <v>0</v>
      </c>
      <c r="T717" s="1345">
        <v>0</v>
      </c>
      <c r="U717" s="1345">
        <v>0</v>
      </c>
      <c r="V717" s="1345">
        <v>0</v>
      </c>
      <c r="W717" s="1346">
        <v>0</v>
      </c>
    </row>
    <row r="718" spans="1:23" ht="17.100000000000001" customHeight="1">
      <c r="A718" s="479"/>
      <c r="B718" s="622"/>
      <c r="C718" s="706">
        <f>ROUND($K605/$C$683/3600,2)</f>
        <v>0</v>
      </c>
      <c r="D718" s="707">
        <f>ROUND($K615/$D$683/3600,2)</f>
        <v>0</v>
      </c>
      <c r="E718" s="707">
        <f>ROUND($K625/$E$683/3600,2)</f>
        <v>0</v>
      </c>
      <c r="F718" s="707">
        <f>ROUND($K635/$F$683/3600,2)</f>
        <v>0</v>
      </c>
      <c r="G718" s="707">
        <f>ROUND($K645/$G$683/3600,2)</f>
        <v>0</v>
      </c>
      <c r="H718" s="707">
        <f>ROUND($K655/$H$683/3600,2)</f>
        <v>0</v>
      </c>
      <c r="I718" s="707">
        <f>ROUND($K665/$I$683/3600,2)</f>
        <v>0</v>
      </c>
      <c r="J718" s="708">
        <f>ROUND($K675/$J$683/3600,2)</f>
        <v>0</v>
      </c>
      <c r="N718" s="1333"/>
      <c r="O718" s="1347"/>
      <c r="P718" s="1348">
        <v>0</v>
      </c>
      <c r="Q718" s="1349">
        <v>0</v>
      </c>
      <c r="R718" s="1349">
        <v>0</v>
      </c>
      <c r="S718" s="1349">
        <v>0</v>
      </c>
      <c r="T718" s="1349">
        <v>0</v>
      </c>
      <c r="U718" s="1349">
        <v>0</v>
      </c>
      <c r="V718" s="1349">
        <v>0</v>
      </c>
      <c r="W718" s="1350">
        <v>0</v>
      </c>
    </row>
    <row r="719" spans="1:23" ht="17.100000000000001" customHeight="1">
      <c r="A719" s="479"/>
      <c r="B719" s="483" t="str">
        <f>B698</f>
        <v>8구간</v>
      </c>
      <c r="C719" s="709">
        <f t="shared" ref="C719:J719" si="308">ROUNDUP(C720,0)</f>
        <v>0</v>
      </c>
      <c r="D719" s="710">
        <f t="shared" si="308"/>
        <v>0</v>
      </c>
      <c r="E719" s="710">
        <f t="shared" si="308"/>
        <v>0</v>
      </c>
      <c r="F719" s="710">
        <f t="shared" si="308"/>
        <v>0</v>
      </c>
      <c r="G719" s="710">
        <f t="shared" si="308"/>
        <v>0</v>
      </c>
      <c r="H719" s="710">
        <f t="shared" si="308"/>
        <v>0</v>
      </c>
      <c r="I719" s="710">
        <f t="shared" si="308"/>
        <v>0</v>
      </c>
      <c r="J719" s="711">
        <f t="shared" si="308"/>
        <v>0</v>
      </c>
      <c r="N719" s="1333"/>
      <c r="O719" s="1351" t="s">
        <v>887</v>
      </c>
      <c r="P719" s="1352">
        <v>0</v>
      </c>
      <c r="Q719" s="1353">
        <v>0</v>
      </c>
      <c r="R719" s="1353">
        <v>0</v>
      </c>
      <c r="S719" s="1353">
        <v>0</v>
      </c>
      <c r="T719" s="1353">
        <v>0</v>
      </c>
      <c r="U719" s="1353">
        <v>0</v>
      </c>
      <c r="V719" s="1353">
        <v>0</v>
      </c>
      <c r="W719" s="1354">
        <v>0</v>
      </c>
    </row>
    <row r="720" spans="1:23" ht="17.100000000000001" customHeight="1">
      <c r="A720" s="479"/>
      <c r="B720" s="622"/>
      <c r="C720" s="706">
        <f>ROUND($K606/$C$683/3600,2)</f>
        <v>0</v>
      </c>
      <c r="D720" s="707">
        <f>ROUND($K616/$D$683/3600,2)</f>
        <v>0</v>
      </c>
      <c r="E720" s="707">
        <f>ROUND($K626/$E$683/3600,2)</f>
        <v>0</v>
      </c>
      <c r="F720" s="707">
        <f>ROUND($K636/$F$683/3600,2)</f>
        <v>0</v>
      </c>
      <c r="G720" s="707">
        <f>ROUND($K646/$G$683/3600,2)</f>
        <v>0</v>
      </c>
      <c r="H720" s="707">
        <f>ROUND($K656/$H$683/3600,2)</f>
        <v>0</v>
      </c>
      <c r="I720" s="707">
        <f>ROUND($K666/$I$683/3600,2)</f>
        <v>0</v>
      </c>
      <c r="J720" s="708">
        <f>ROUND($K676/$J$683/3600,2)</f>
        <v>0</v>
      </c>
      <c r="N720" s="1333"/>
      <c r="O720" s="1347"/>
      <c r="P720" s="1348">
        <v>0</v>
      </c>
      <c r="Q720" s="1349">
        <v>0</v>
      </c>
      <c r="R720" s="1349">
        <v>0</v>
      </c>
      <c r="S720" s="1349">
        <v>0</v>
      </c>
      <c r="T720" s="1349">
        <v>0</v>
      </c>
      <c r="U720" s="1349">
        <v>0</v>
      </c>
      <c r="V720" s="1349">
        <v>0</v>
      </c>
      <c r="W720" s="1350">
        <v>0</v>
      </c>
    </row>
    <row r="721" spans="1:23" ht="17.100000000000001" customHeight="1">
      <c r="A721" s="479"/>
      <c r="B721" s="622" t="str">
        <f>B700</f>
        <v>9구간</v>
      </c>
      <c r="C721" s="703">
        <f t="shared" ref="C721:J721" si="309">ROUNDUP(C722,0)</f>
        <v>0</v>
      </c>
      <c r="D721" s="704">
        <f t="shared" si="309"/>
        <v>0</v>
      </c>
      <c r="E721" s="704">
        <f t="shared" si="309"/>
        <v>0</v>
      </c>
      <c r="F721" s="704">
        <f t="shared" si="309"/>
        <v>0</v>
      </c>
      <c r="G721" s="704">
        <f t="shared" si="309"/>
        <v>0</v>
      </c>
      <c r="H721" s="704">
        <f t="shared" si="309"/>
        <v>0</v>
      </c>
      <c r="I721" s="704">
        <f t="shared" si="309"/>
        <v>0</v>
      </c>
      <c r="J721" s="705">
        <f t="shared" si="309"/>
        <v>0</v>
      </c>
      <c r="N721" s="1333"/>
      <c r="O721" s="1347" t="s">
        <v>888</v>
      </c>
      <c r="P721" s="1344">
        <v>0</v>
      </c>
      <c r="Q721" s="1345">
        <v>0</v>
      </c>
      <c r="R721" s="1345">
        <v>0</v>
      </c>
      <c r="S721" s="1345">
        <v>0</v>
      </c>
      <c r="T721" s="1345">
        <v>0</v>
      </c>
      <c r="U721" s="1345">
        <v>0</v>
      </c>
      <c r="V721" s="1345">
        <v>0</v>
      </c>
      <c r="W721" s="1346">
        <v>0</v>
      </c>
    </row>
    <row r="722" spans="1:23" ht="17.100000000000001" customHeight="1">
      <c r="A722" s="479"/>
      <c r="B722" s="442"/>
      <c r="C722" s="699">
        <f>ROUND($K607/$C$683/3600,2)</f>
        <v>0</v>
      </c>
      <c r="D722" s="700">
        <f>ROUND($K617/$D$683/3600,2)</f>
        <v>0</v>
      </c>
      <c r="E722" s="700">
        <f>ROUND($K627/$E$683/3600,2)</f>
        <v>0</v>
      </c>
      <c r="F722" s="700">
        <f>ROUND($K637/$F$683/3600,2)</f>
        <v>0</v>
      </c>
      <c r="G722" s="700">
        <f>ROUND($K647/$G$683/3600,2)</f>
        <v>0</v>
      </c>
      <c r="H722" s="700">
        <f>ROUND($K657/$H$683/3600,2)</f>
        <v>0</v>
      </c>
      <c r="I722" s="700">
        <f>ROUND($K667/$I$683/3600,2)</f>
        <v>0</v>
      </c>
      <c r="J722" s="701">
        <f>ROUND($K677/$J$683/3600,2)</f>
        <v>0</v>
      </c>
      <c r="N722" s="1333"/>
      <c r="O722" s="1339"/>
      <c r="P722" s="1340">
        <v>0</v>
      </c>
      <c r="Q722" s="1341">
        <v>0</v>
      </c>
      <c r="R722" s="1341">
        <v>0</v>
      </c>
      <c r="S722" s="1341">
        <v>0</v>
      </c>
      <c r="T722" s="1341">
        <v>0</v>
      </c>
      <c r="U722" s="1341">
        <v>0</v>
      </c>
      <c r="V722" s="1341">
        <v>0</v>
      </c>
      <c r="W722" s="1342">
        <v>0</v>
      </c>
    </row>
    <row r="723" spans="1:23" ht="17.100000000000001" customHeight="1">
      <c r="A723" s="479"/>
      <c r="B723" s="702" t="str">
        <f>B702</f>
        <v>10구간</v>
      </c>
      <c r="C723" s="703">
        <f t="shared" ref="C723:J723" si="310">ROUNDUP(C724,0)</f>
        <v>0</v>
      </c>
      <c r="D723" s="704">
        <f t="shared" si="310"/>
        <v>0</v>
      </c>
      <c r="E723" s="704">
        <f t="shared" si="310"/>
        <v>0</v>
      </c>
      <c r="F723" s="704">
        <f t="shared" si="310"/>
        <v>0</v>
      </c>
      <c r="G723" s="704">
        <f t="shared" si="310"/>
        <v>0</v>
      </c>
      <c r="H723" s="704">
        <f t="shared" si="310"/>
        <v>0</v>
      </c>
      <c r="I723" s="704">
        <f t="shared" si="310"/>
        <v>0</v>
      </c>
      <c r="J723" s="705">
        <f t="shared" si="310"/>
        <v>0</v>
      </c>
      <c r="N723" s="1333"/>
      <c r="O723" s="1343" t="s">
        <v>889</v>
      </c>
      <c r="P723" s="1344">
        <v>0</v>
      </c>
      <c r="Q723" s="1345">
        <v>0</v>
      </c>
      <c r="R723" s="1345">
        <v>0</v>
      </c>
      <c r="S723" s="1345">
        <v>0</v>
      </c>
      <c r="T723" s="1345">
        <v>0</v>
      </c>
      <c r="U723" s="1345">
        <v>0</v>
      </c>
      <c r="V723" s="1345">
        <v>0</v>
      </c>
      <c r="W723" s="1346">
        <v>0</v>
      </c>
    </row>
    <row r="724" spans="1:23" ht="17.100000000000001" customHeight="1">
      <c r="A724" s="479"/>
      <c r="B724" s="702"/>
      <c r="C724" s="712">
        <f>ROUND($K608/$C$683/3600,2)</f>
        <v>0</v>
      </c>
      <c r="D724" s="714">
        <f>ROUND($K618/$D$683/3600,2)</f>
        <v>0</v>
      </c>
      <c r="E724" s="714">
        <f>ROUND($K628/$E$683/3600,2)</f>
        <v>0</v>
      </c>
      <c r="F724" s="714">
        <f>ROUND($K638/$F$683/3600,2)</f>
        <v>0</v>
      </c>
      <c r="G724" s="714">
        <f>ROUND($K648/$G$683/3600,2)</f>
        <v>0</v>
      </c>
      <c r="H724" s="714">
        <f>ROUND($K658/$H$683/3600,2)</f>
        <v>0</v>
      </c>
      <c r="I724" s="714">
        <f>ROUND($K668/$I$683/3600,2)</f>
        <v>0</v>
      </c>
      <c r="J724" s="715">
        <f>ROUND($K678/$J$683/3600,2)</f>
        <v>0</v>
      </c>
      <c r="N724" s="1333"/>
      <c r="O724" s="1343"/>
      <c r="P724" s="1355">
        <v>0</v>
      </c>
      <c r="Q724" s="1357">
        <v>0</v>
      </c>
      <c r="R724" s="1357">
        <v>0</v>
      </c>
      <c r="S724" s="1357">
        <v>0</v>
      </c>
      <c r="T724" s="1357">
        <v>0</v>
      </c>
      <c r="U724" s="1357">
        <v>0</v>
      </c>
      <c r="V724" s="1357">
        <v>0</v>
      </c>
      <c r="W724" s="1358">
        <v>0</v>
      </c>
    </row>
    <row r="725" spans="1:23" ht="17.100000000000001" customHeight="1" thickBot="1">
      <c r="A725" s="486"/>
      <c r="B725" s="487" t="s">
        <v>72</v>
      </c>
      <c r="C725" s="259">
        <f>+C705+C707+C709+C711+C713+C715+C717+C719+C721+C723</f>
        <v>10</v>
      </c>
      <c r="D725" s="260">
        <f t="shared" ref="D725:J725" si="311">+D705+D707+D709+D711+D713+D715+D717+D719+D721+D723</f>
        <v>16</v>
      </c>
      <c r="E725" s="260">
        <f t="shared" si="311"/>
        <v>17</v>
      </c>
      <c r="F725" s="260">
        <f t="shared" si="311"/>
        <v>18</v>
      </c>
      <c r="G725" s="260">
        <f t="shared" si="311"/>
        <v>25</v>
      </c>
      <c r="H725" s="260">
        <f t="shared" si="311"/>
        <v>25</v>
      </c>
      <c r="I725" s="260">
        <f t="shared" si="311"/>
        <v>25</v>
      </c>
      <c r="J725" s="261">
        <f t="shared" si="311"/>
        <v>26</v>
      </c>
      <c r="N725" s="1364"/>
      <c r="O725" s="1365" t="s">
        <v>72</v>
      </c>
      <c r="P725" s="1366">
        <v>138</v>
      </c>
      <c r="Q725" s="1367">
        <v>163</v>
      </c>
      <c r="R725" s="1367">
        <v>167</v>
      </c>
      <c r="S725" s="1367">
        <v>165</v>
      </c>
      <c r="T725" s="1367">
        <v>238</v>
      </c>
      <c r="U725" s="1367">
        <v>217</v>
      </c>
      <c r="V725" s="1367">
        <v>207</v>
      </c>
      <c r="W725" s="1368">
        <v>207</v>
      </c>
    </row>
    <row r="726" spans="1:23" ht="17.100000000000001" customHeight="1">
      <c r="A726" s="390"/>
      <c r="B726" s="390"/>
      <c r="C726" s="390"/>
      <c r="D726" s="390"/>
      <c r="E726" s="390"/>
      <c r="F726" s="390"/>
      <c r="G726" s="390"/>
      <c r="H726" s="390"/>
      <c r="I726" s="390"/>
      <c r="J726" s="390"/>
    </row>
    <row r="727" spans="1:23" ht="17.100000000000001" customHeight="1">
      <c r="A727" s="390"/>
      <c r="B727" s="390"/>
      <c r="C727" s="390"/>
      <c r="D727" s="390"/>
      <c r="E727" s="390"/>
      <c r="F727" s="390"/>
      <c r="G727" s="390"/>
      <c r="H727" s="390"/>
      <c r="I727" s="390"/>
      <c r="J727" s="390"/>
    </row>
    <row r="728" spans="1:23" ht="18" customHeight="1">
      <c r="A728" s="716" t="s">
        <v>129</v>
      </c>
    </row>
    <row r="729" spans="1:23" ht="18" customHeight="1">
      <c r="A729" s="92" t="s">
        <v>27</v>
      </c>
      <c r="F729" s="93"/>
    </row>
    <row r="730" spans="1:23" ht="18" customHeight="1">
      <c r="A730" s="420" t="s">
        <v>455</v>
      </c>
      <c r="B730" s="420"/>
      <c r="C730" s="82"/>
      <c r="D730" s="420"/>
      <c r="E730" s="420"/>
      <c r="F730" s="390"/>
      <c r="H730" s="390"/>
      <c r="I730" s="390"/>
      <c r="J730" s="390"/>
    </row>
    <row r="731" spans="1:23" ht="18" customHeight="1">
      <c r="A731" s="420"/>
      <c r="B731" s="420" t="s">
        <v>456</v>
      </c>
      <c r="C731" s="82"/>
      <c r="D731" s="420"/>
      <c r="E731" s="420"/>
      <c r="F731" s="390"/>
      <c r="G731" s="420"/>
      <c r="H731" s="390"/>
      <c r="I731" s="390"/>
      <c r="J731" s="390"/>
    </row>
    <row r="732" spans="1:23" ht="18" customHeight="1">
      <c r="A732" s="420"/>
      <c r="B732" s="420" t="s">
        <v>457</v>
      </c>
      <c r="C732" s="82"/>
      <c r="D732" s="420"/>
      <c r="E732" s="420"/>
      <c r="F732" s="390"/>
      <c r="H732" s="390"/>
      <c r="I732" s="390"/>
      <c r="J732" s="390"/>
    </row>
    <row r="733" spans="1:23" ht="18" customHeight="1">
      <c r="A733" s="420"/>
      <c r="B733" s="420" t="s">
        <v>316</v>
      </c>
      <c r="C733" s="82"/>
      <c r="D733" s="420"/>
      <c r="E733" s="420"/>
      <c r="F733" s="390"/>
      <c r="H733" s="390"/>
      <c r="I733" s="390"/>
      <c r="J733" s="390"/>
    </row>
    <row r="734" spans="1:23" ht="18" customHeight="1">
      <c r="A734" s="420"/>
      <c r="B734" s="420" t="s">
        <v>317</v>
      </c>
      <c r="C734" s="82"/>
      <c r="D734" s="420"/>
      <c r="E734" s="420"/>
      <c r="F734" s="390"/>
      <c r="H734" s="390"/>
      <c r="I734" s="390"/>
      <c r="J734" s="390"/>
    </row>
    <row r="735" spans="1:23" ht="18" customHeight="1">
      <c r="B735" s="420" t="s">
        <v>458</v>
      </c>
    </row>
    <row r="736" spans="1:23" ht="18" customHeight="1">
      <c r="B736" s="390" t="s">
        <v>318</v>
      </c>
    </row>
    <row r="737" spans="1:7" ht="18" customHeight="1">
      <c r="B737" s="390"/>
    </row>
    <row r="738" spans="1:7" ht="18" customHeight="1"/>
    <row r="739" spans="1:7" ht="18" customHeight="1" thickBot="1">
      <c r="A739" s="92" t="s">
        <v>73</v>
      </c>
      <c r="G739" s="94"/>
    </row>
    <row r="740" spans="1:7" ht="18" customHeight="1">
      <c r="A740" s="1437" t="s">
        <v>176</v>
      </c>
      <c r="B740" s="1438"/>
      <c r="C740" s="1446" t="s">
        <v>311</v>
      </c>
      <c r="D740" s="1447"/>
      <c r="E740" s="1438"/>
      <c r="F740" s="1446" t="s">
        <v>188</v>
      </c>
      <c r="G740" s="1448"/>
    </row>
    <row r="741" spans="1:7" ht="18" customHeight="1">
      <c r="A741" s="1439"/>
      <c r="B741" s="1440"/>
      <c r="C741" s="1444" t="s">
        <v>139</v>
      </c>
      <c r="D741" s="1445"/>
      <c r="E741" s="1440"/>
      <c r="F741" s="1444" t="s">
        <v>459</v>
      </c>
      <c r="G741" s="1471"/>
    </row>
    <row r="742" spans="1:7" ht="18" customHeight="1">
      <c r="A742" s="1434" t="s">
        <v>138</v>
      </c>
      <c r="B742" s="495" t="s">
        <v>268</v>
      </c>
      <c r="C742" s="496" t="s">
        <v>1</v>
      </c>
      <c r="D742" s="497">
        <v>0.51800000000000002</v>
      </c>
      <c r="E742" s="498" t="s">
        <v>48</v>
      </c>
      <c r="F742" s="1472">
        <f>ROUND(D742/C$751*E751,4)</f>
        <v>1.78E-2</v>
      </c>
      <c r="G742" s="1473"/>
    </row>
    <row r="743" spans="1:7" ht="18" customHeight="1">
      <c r="A743" s="1436"/>
      <c r="B743" s="495" t="s">
        <v>269</v>
      </c>
      <c r="C743" s="496"/>
      <c r="D743" s="497">
        <v>0.5</v>
      </c>
      <c r="E743" s="498" t="s">
        <v>48</v>
      </c>
      <c r="F743" s="1472">
        <f>ROUND(D743/C$751*E751,4)</f>
        <v>1.72E-2</v>
      </c>
      <c r="G743" s="1473"/>
    </row>
    <row r="744" spans="1:7" ht="18" customHeight="1">
      <c r="A744" s="1464" t="s">
        <v>133</v>
      </c>
      <c r="B744" s="1465"/>
      <c r="C744" s="496"/>
      <c r="D744" s="497">
        <v>0.63</v>
      </c>
      <c r="E744" s="403" t="s">
        <v>48</v>
      </c>
      <c r="F744" s="1472">
        <f>ROUND(D744/C$751*E751,4)</f>
        <v>2.1700000000000001E-2</v>
      </c>
      <c r="G744" s="1473"/>
    </row>
    <row r="745" spans="1:7" ht="18" customHeight="1">
      <c r="A745" s="1464" t="s">
        <v>132</v>
      </c>
      <c r="B745" s="1465"/>
      <c r="C745" s="496" t="s">
        <v>1</v>
      </c>
      <c r="D745" s="497">
        <v>0.63</v>
      </c>
      <c r="E745" s="403" t="s">
        <v>48</v>
      </c>
      <c r="F745" s="1472">
        <f>ROUND(D745/C$751*E751,4)</f>
        <v>2.1700000000000001E-2</v>
      </c>
      <c r="G745" s="1473"/>
    </row>
    <row r="746" spans="1:7" ht="18" customHeight="1">
      <c r="A746" s="1462" t="s">
        <v>134</v>
      </c>
      <c r="B746" s="1463"/>
      <c r="C746" s="502">
        <v>111</v>
      </c>
      <c r="D746" s="503" t="s">
        <v>74</v>
      </c>
      <c r="E746" s="504"/>
      <c r="F746" s="1472">
        <f>ROUND(E747*C746*0.7355/C751,4)</f>
        <v>0.27210000000000001</v>
      </c>
      <c r="G746" s="1473"/>
    </row>
    <row r="747" spans="1:7" ht="18" customHeight="1">
      <c r="A747" s="1432" t="s">
        <v>135</v>
      </c>
      <c r="B747" s="1433"/>
      <c r="C747" s="502">
        <v>226</v>
      </c>
      <c r="D747" s="503" t="s">
        <v>74</v>
      </c>
      <c r="E747" s="504">
        <v>4</v>
      </c>
      <c r="F747" s="1472">
        <f>ROUND(E747*C747*0.7355/C751,4)</f>
        <v>0.55410000000000004</v>
      </c>
      <c r="G747" s="1473"/>
    </row>
    <row r="748" spans="1:7" ht="18" customHeight="1">
      <c r="A748" s="1432" t="s">
        <v>136</v>
      </c>
      <c r="B748" s="1433"/>
      <c r="C748" s="502">
        <v>250</v>
      </c>
      <c r="D748" s="503" t="s">
        <v>74</v>
      </c>
      <c r="E748" s="504" t="s">
        <v>75</v>
      </c>
      <c r="F748" s="1472">
        <f>ROUND(E747*C748*0.7355/C751,4)</f>
        <v>0.6129</v>
      </c>
      <c r="G748" s="1473"/>
    </row>
    <row r="749" spans="1:7" ht="18" customHeight="1">
      <c r="A749" s="1439" t="s">
        <v>137</v>
      </c>
      <c r="B749" s="1440"/>
      <c r="C749" s="502">
        <v>323.5</v>
      </c>
      <c r="D749" s="503" t="str">
        <f>D747</f>
        <v>PS</v>
      </c>
      <c r="E749" s="493" t="s">
        <v>48</v>
      </c>
      <c r="F749" s="1472">
        <f>ROUND(E747*C749*0.7355/C751,4)</f>
        <v>0.79310000000000003</v>
      </c>
      <c r="G749" s="1473"/>
    </row>
    <row r="750" spans="1:7" ht="18" customHeight="1">
      <c r="A750" s="717"/>
      <c r="B750" s="421"/>
      <c r="C750" s="421" t="s">
        <v>270</v>
      </c>
      <c r="D750" s="421"/>
      <c r="E750" s="421"/>
      <c r="F750" s="421"/>
      <c r="G750" s="423"/>
    </row>
    <row r="751" spans="1:7" ht="18" customHeight="1" thickBot="1">
      <c r="A751" s="506" t="s">
        <v>460</v>
      </c>
      <c r="B751" s="426"/>
      <c r="C751" s="508">
        <v>1200</v>
      </c>
      <c r="D751" s="426" t="s">
        <v>461</v>
      </c>
      <c r="E751" s="718">
        <v>41.3</v>
      </c>
      <c r="F751" s="426" t="s">
        <v>76</v>
      </c>
      <c r="G751" s="428"/>
    </row>
    <row r="752" spans="1:7" ht="18" customHeight="1">
      <c r="A752" s="421"/>
      <c r="B752" s="421"/>
      <c r="C752" s="431"/>
      <c r="D752" s="421"/>
      <c r="E752" s="421"/>
      <c r="F752" s="421"/>
      <c r="G752" s="421"/>
    </row>
    <row r="753" spans="1:10" ht="18" customHeight="1" thickBot="1">
      <c r="A753" s="92" t="s">
        <v>77</v>
      </c>
    </row>
    <row r="754" spans="1:10" ht="18" customHeight="1">
      <c r="A754" s="490" t="s">
        <v>78</v>
      </c>
      <c r="B754" s="1446" t="s">
        <v>462</v>
      </c>
      <c r="C754" s="1447"/>
      <c r="D754" s="1448"/>
      <c r="E754" s="93"/>
    </row>
    <row r="755" spans="1:10" ht="18" customHeight="1" thickBot="1">
      <c r="A755" s="719" t="s">
        <v>79</v>
      </c>
      <c r="B755" s="1441">
        <v>70</v>
      </c>
      <c r="C755" s="1442"/>
      <c r="D755" s="1443"/>
    </row>
    <row r="756" spans="1:10" ht="18" customHeight="1"/>
    <row r="757" spans="1:10">
      <c r="A757" s="70" t="s">
        <v>970</v>
      </c>
      <c r="B757" s="390"/>
      <c r="C757" s="390"/>
      <c r="D757" s="390"/>
      <c r="E757" s="390"/>
      <c r="F757" s="390"/>
      <c r="G757" s="390"/>
      <c r="H757" s="390"/>
      <c r="I757" s="85"/>
      <c r="J757" s="86"/>
    </row>
    <row r="758" spans="1:10" ht="14.25" thickBot="1">
      <c r="A758" s="70" t="s">
        <v>960</v>
      </c>
      <c r="B758" s="390"/>
      <c r="C758" s="390"/>
      <c r="D758" s="390"/>
      <c r="E758" s="390"/>
      <c r="F758" s="390"/>
      <c r="G758" s="390"/>
      <c r="H758" s="390"/>
      <c r="I758" s="85"/>
      <c r="J758" s="86"/>
    </row>
    <row r="759" spans="1:10" ht="17.100000000000001" customHeight="1">
      <c r="A759" s="1314" t="s">
        <v>189</v>
      </c>
      <c r="B759" s="1313"/>
      <c r="C759" s="1312">
        <v>10</v>
      </c>
      <c r="D759" s="467">
        <v>20</v>
      </c>
      <c r="E759" s="467">
        <v>30</v>
      </c>
      <c r="F759" s="467">
        <v>40</v>
      </c>
      <c r="G759" s="467">
        <v>50</v>
      </c>
      <c r="H759" s="467">
        <v>60</v>
      </c>
      <c r="I759" s="467">
        <v>70</v>
      </c>
      <c r="J759" s="468">
        <v>80</v>
      </c>
    </row>
    <row r="760" spans="1:10" ht="17.100000000000001" customHeight="1">
      <c r="A760" s="479" t="str">
        <f>A111</f>
        <v>진주</v>
      </c>
      <c r="B760" s="442" t="s">
        <v>2</v>
      </c>
      <c r="C760" s="1292">
        <f>CO보정계수!S7</f>
        <v>0.80300000000000005</v>
      </c>
      <c r="D760" s="1293">
        <f>CO보정계수!T7</f>
        <v>1.131</v>
      </c>
      <c r="E760" s="1293">
        <f>CO보정계수!U7</f>
        <v>1</v>
      </c>
      <c r="F760" s="1293">
        <f>CO보정계수!V7</f>
        <v>1.1970000000000001</v>
      </c>
      <c r="G760" s="1293">
        <f>CO보정계수!W7</f>
        <v>1.3280000000000001</v>
      </c>
      <c r="H760" s="1293">
        <f>CO보정계수!X7</f>
        <v>1.3280000000000001</v>
      </c>
      <c r="I760" s="1293">
        <f>CO보정계수!Y7</f>
        <v>1.869</v>
      </c>
      <c r="J760" s="1294">
        <f>CO보정계수!Z7</f>
        <v>2.2629999999999999</v>
      </c>
    </row>
    <row r="761" spans="1:10" ht="17.100000000000001" customHeight="1">
      <c r="A761" s="1315" t="str">
        <f>A112</f>
        <v>방향</v>
      </c>
      <c r="B761" s="215" t="s">
        <v>3</v>
      </c>
      <c r="C761" s="1295">
        <f>CO보정계수!S8</f>
        <v>0.80300000000000005</v>
      </c>
      <c r="D761" s="1296">
        <f>CO보정계수!T8</f>
        <v>1.131</v>
      </c>
      <c r="E761" s="1296">
        <f>CO보정계수!U8</f>
        <v>1</v>
      </c>
      <c r="F761" s="1296">
        <f>CO보정계수!V8</f>
        <v>1.1970000000000001</v>
      </c>
      <c r="G761" s="1296">
        <f>CO보정계수!W8</f>
        <v>1.3280000000000001</v>
      </c>
      <c r="H761" s="1296">
        <f>CO보정계수!X8</f>
        <v>1.3280000000000001</v>
      </c>
      <c r="I761" s="1296">
        <f>CO보정계수!Y8</f>
        <v>1.869</v>
      </c>
      <c r="J761" s="1297">
        <f>CO보정계수!Z8</f>
        <v>2.2629999999999999</v>
      </c>
    </row>
    <row r="762" spans="1:10" ht="17.100000000000001" customHeight="1">
      <c r="A762" s="479"/>
      <c r="B762" s="442" t="s">
        <v>878</v>
      </c>
      <c r="C762" s="1295">
        <f>CO보정계수!S9</f>
        <v>0.80300000000000005</v>
      </c>
      <c r="D762" s="1296">
        <f>CO보정계수!T9</f>
        <v>1.131</v>
      </c>
      <c r="E762" s="1296">
        <f>CO보정계수!U9</f>
        <v>1</v>
      </c>
      <c r="F762" s="1296">
        <f>CO보정계수!V9</f>
        <v>1.1970000000000001</v>
      </c>
      <c r="G762" s="1296">
        <f>CO보정계수!W9</f>
        <v>1.3280000000000001</v>
      </c>
      <c r="H762" s="1296">
        <f>CO보정계수!X9</f>
        <v>1.3280000000000001</v>
      </c>
      <c r="I762" s="1296">
        <f>CO보정계수!Y9</f>
        <v>1.869</v>
      </c>
      <c r="J762" s="1297">
        <f>CO보정계수!Z9</f>
        <v>2.2629999999999999</v>
      </c>
    </row>
    <row r="763" spans="1:10" ht="17.100000000000001" customHeight="1">
      <c r="A763" s="479"/>
      <c r="B763" s="215" t="s">
        <v>879</v>
      </c>
      <c r="C763" s="1295">
        <f>CO보정계수!S10</f>
        <v>0.80300000000000005</v>
      </c>
      <c r="D763" s="1296">
        <f>CO보정계수!T10</f>
        <v>1.131</v>
      </c>
      <c r="E763" s="1296">
        <f>CO보정계수!U10</f>
        <v>1</v>
      </c>
      <c r="F763" s="1296">
        <f>CO보정계수!V10</f>
        <v>1.1970000000000001</v>
      </c>
      <c r="G763" s="1296">
        <f>CO보정계수!W10</f>
        <v>1.3280000000000001</v>
      </c>
      <c r="H763" s="1296">
        <f>CO보정계수!X10</f>
        <v>1.3280000000000001</v>
      </c>
      <c r="I763" s="1296">
        <f>CO보정계수!Y10</f>
        <v>1.869</v>
      </c>
      <c r="J763" s="1297">
        <f>CO보정계수!Z10</f>
        <v>2.2629999999999999</v>
      </c>
    </row>
    <row r="764" spans="1:10" ht="17.100000000000001" customHeight="1">
      <c r="A764" s="1315"/>
      <c r="B764" s="215" t="s">
        <v>881</v>
      </c>
      <c r="C764" s="1295">
        <f>CO보정계수!S11</f>
        <v>0.80300000000000005</v>
      </c>
      <c r="D764" s="1296">
        <f>CO보정계수!T11</f>
        <v>1.131</v>
      </c>
      <c r="E764" s="1296">
        <f>CO보정계수!U11</f>
        <v>1</v>
      </c>
      <c r="F764" s="1296">
        <f>CO보정계수!V11</f>
        <v>1.1970000000000001</v>
      </c>
      <c r="G764" s="1296">
        <f>CO보정계수!W11</f>
        <v>1.3280000000000001</v>
      </c>
      <c r="H764" s="1296">
        <f>CO보정계수!X11</f>
        <v>1.3280000000000001</v>
      </c>
      <c r="I764" s="1298">
        <f>CO보정계수!Y11</f>
        <v>1.869</v>
      </c>
      <c r="J764" s="1297">
        <f>CO보정계수!Z11</f>
        <v>2.2629999999999999</v>
      </c>
    </row>
    <row r="765" spans="1:10" ht="17.100000000000001" customHeight="1">
      <c r="A765" s="479"/>
      <c r="B765" s="442" t="s">
        <v>883</v>
      </c>
      <c r="C765" s="1295">
        <f>CO보정계수!S12</f>
        <v>0.80300000000000005</v>
      </c>
      <c r="D765" s="1296">
        <f>CO보정계수!T12</f>
        <v>1.131</v>
      </c>
      <c r="E765" s="1296">
        <f>CO보정계수!U12</f>
        <v>1</v>
      </c>
      <c r="F765" s="1296">
        <f>CO보정계수!V12</f>
        <v>1.1970000000000001</v>
      </c>
      <c r="G765" s="1296">
        <f>CO보정계수!W12</f>
        <v>1.3280000000000001</v>
      </c>
      <c r="H765" s="1296">
        <f>CO보정계수!X12</f>
        <v>1.3280000000000001</v>
      </c>
      <c r="I765" s="1296">
        <f>CO보정계수!Y12</f>
        <v>1.869</v>
      </c>
      <c r="J765" s="1297">
        <f>CO보정계수!Z12</f>
        <v>2.2629999999999999</v>
      </c>
    </row>
    <row r="766" spans="1:10" ht="17.100000000000001" customHeight="1">
      <c r="A766" s="1315"/>
      <c r="B766" s="215" t="s">
        <v>885</v>
      </c>
      <c r="C766" s="1295">
        <f>CO보정계수!S13</f>
        <v>0.80300000000000005</v>
      </c>
      <c r="D766" s="1296">
        <f>CO보정계수!T13</f>
        <v>1.131</v>
      </c>
      <c r="E766" s="1296">
        <f>CO보정계수!U13</f>
        <v>1</v>
      </c>
      <c r="F766" s="1296">
        <f>CO보정계수!V13</f>
        <v>1.1970000000000001</v>
      </c>
      <c r="G766" s="1296">
        <f>CO보정계수!W13</f>
        <v>1.3280000000000001</v>
      </c>
      <c r="H766" s="1296">
        <f>CO보정계수!X13</f>
        <v>1.3280000000000001</v>
      </c>
      <c r="I766" s="1296">
        <f>CO보정계수!Y13</f>
        <v>1.869</v>
      </c>
      <c r="J766" s="1297">
        <f>CO보정계수!Z13</f>
        <v>2.2629999999999999</v>
      </c>
    </row>
    <row r="767" spans="1:10" ht="17.100000000000001" customHeight="1">
      <c r="A767" s="479"/>
      <c r="B767" s="442" t="s">
        <v>887</v>
      </c>
      <c r="C767" s="1295">
        <f>CO보정계수!S14</f>
        <v>0.80300000000000005</v>
      </c>
      <c r="D767" s="1296">
        <f>CO보정계수!T14</f>
        <v>1.131</v>
      </c>
      <c r="E767" s="1296">
        <f>CO보정계수!U14</f>
        <v>1</v>
      </c>
      <c r="F767" s="1296">
        <f>CO보정계수!V14</f>
        <v>1.1970000000000001</v>
      </c>
      <c r="G767" s="1296">
        <f>CO보정계수!W14</f>
        <v>1.3280000000000001</v>
      </c>
      <c r="H767" s="1296">
        <f>CO보정계수!X14</f>
        <v>1.3280000000000001</v>
      </c>
      <c r="I767" s="1296">
        <f>CO보정계수!Y14</f>
        <v>1.869</v>
      </c>
      <c r="J767" s="1297">
        <f>CO보정계수!Z14</f>
        <v>2.2629999999999999</v>
      </c>
    </row>
    <row r="768" spans="1:10" ht="17.100000000000001" customHeight="1">
      <c r="A768" s="479"/>
      <c r="B768" s="215" t="s">
        <v>888</v>
      </c>
      <c r="C768" s="1295">
        <f>CO보정계수!S15</f>
        <v>0.80300000000000005</v>
      </c>
      <c r="D768" s="1296">
        <f>CO보정계수!T15</f>
        <v>1.131</v>
      </c>
      <c r="E768" s="1296">
        <f>CO보정계수!U15</f>
        <v>1</v>
      </c>
      <c r="F768" s="1296">
        <f>CO보정계수!V15</f>
        <v>1.1970000000000001</v>
      </c>
      <c r="G768" s="1296">
        <f>CO보정계수!W15</f>
        <v>1.3280000000000001</v>
      </c>
      <c r="H768" s="1296">
        <f>CO보정계수!X15</f>
        <v>1.3280000000000001</v>
      </c>
      <c r="I768" s="1296">
        <f>CO보정계수!Y15</f>
        <v>1.869</v>
      </c>
      <c r="J768" s="1297">
        <f>CO보정계수!Z15</f>
        <v>2.2629999999999999</v>
      </c>
    </row>
    <row r="769" spans="1:10" ht="17.100000000000001" customHeight="1">
      <c r="A769" s="479"/>
      <c r="B769" s="215" t="s">
        <v>889</v>
      </c>
      <c r="C769" s="1295">
        <f>CO보정계수!S16</f>
        <v>0.80300000000000005</v>
      </c>
      <c r="D769" s="1296">
        <f>CO보정계수!T16</f>
        <v>1.131</v>
      </c>
      <c r="E769" s="1296">
        <f>CO보정계수!U16</f>
        <v>1</v>
      </c>
      <c r="F769" s="1296">
        <f>CO보정계수!V16</f>
        <v>1.1970000000000001</v>
      </c>
      <c r="G769" s="1296">
        <f>CO보정계수!W16</f>
        <v>1.3280000000000001</v>
      </c>
      <c r="H769" s="1296">
        <f>CO보정계수!X16</f>
        <v>1.3280000000000001</v>
      </c>
      <c r="I769" s="1296">
        <f>CO보정계수!Y16</f>
        <v>1.869</v>
      </c>
      <c r="J769" s="1297">
        <f>CO보정계수!Z16</f>
        <v>2.2629999999999999</v>
      </c>
    </row>
    <row r="770" spans="1:10" ht="17.100000000000001" customHeight="1">
      <c r="A770" s="1251" t="str">
        <f>A121</f>
        <v>마산</v>
      </c>
      <c r="B770" s="1318" t="str">
        <f t="shared" ref="B770:B779" si="312">B760</f>
        <v>1구간</v>
      </c>
      <c r="C770" s="1299">
        <f>CO보정계수!AD7</f>
        <v>0.868116</v>
      </c>
      <c r="D770" s="1300">
        <f>CO보정계수!AE7</f>
        <v>1.6001920000000001</v>
      </c>
      <c r="E770" s="1300">
        <f>CO보정계수!AF7</f>
        <v>1.2345959999999998</v>
      </c>
      <c r="F770" s="1300">
        <f>CO보정계수!AG7</f>
        <v>1.5814519999999999</v>
      </c>
      <c r="G770" s="1300">
        <f>CO보정계수!AH7</f>
        <v>1.6928280000000002</v>
      </c>
      <c r="H770" s="1300">
        <f>CO보정계수!AI7</f>
        <v>1.790948</v>
      </c>
      <c r="I770" s="1301">
        <f>CO보정계수!AJ7</f>
        <v>2.5718960000000002</v>
      </c>
      <c r="J770" s="1302">
        <f>CO보정계수!AK7</f>
        <v>3.4868239999999999</v>
      </c>
    </row>
    <row r="771" spans="1:10" ht="17.100000000000001" customHeight="1">
      <c r="A771" s="479" t="str">
        <f>A122</f>
        <v>방향</v>
      </c>
      <c r="B771" s="215" t="str">
        <f t="shared" si="312"/>
        <v>2구간</v>
      </c>
      <c r="C771" s="1292">
        <f>CO보정계수!AD8</f>
        <v>0.80300000000000005</v>
      </c>
      <c r="D771" s="1293">
        <f>CO보정계수!AE8</f>
        <v>1.131</v>
      </c>
      <c r="E771" s="1293">
        <f>CO보정계수!AF8</f>
        <v>1</v>
      </c>
      <c r="F771" s="1293">
        <f>CO보정계수!AG8</f>
        <v>1.1970000000000001</v>
      </c>
      <c r="G771" s="1293">
        <f>CO보정계수!AH8</f>
        <v>1.3280000000000001</v>
      </c>
      <c r="H771" s="1293">
        <f>CO보정계수!AI8</f>
        <v>1.3280000000000001</v>
      </c>
      <c r="I771" s="1303">
        <f>CO보정계수!AJ8</f>
        <v>1.869</v>
      </c>
      <c r="J771" s="1294">
        <f>CO보정계수!AK8</f>
        <v>2.2629999999999999</v>
      </c>
    </row>
    <row r="772" spans="1:10" ht="17.100000000000001" customHeight="1">
      <c r="A772" s="479"/>
      <c r="B772" s="442" t="str">
        <f t="shared" si="312"/>
        <v>3구간</v>
      </c>
      <c r="C772" s="1292">
        <f>CO보정계수!AD9</f>
        <v>0.80300000000000005</v>
      </c>
      <c r="D772" s="1293">
        <f>CO보정계수!AE9</f>
        <v>1.131</v>
      </c>
      <c r="E772" s="1293">
        <f>CO보정계수!AF9</f>
        <v>1</v>
      </c>
      <c r="F772" s="1293">
        <f>CO보정계수!AG9</f>
        <v>1.1970000000000001</v>
      </c>
      <c r="G772" s="1293">
        <f>CO보정계수!AH9</f>
        <v>1.3280000000000001</v>
      </c>
      <c r="H772" s="1303">
        <f>CO보정계수!AI9</f>
        <v>1.3280000000000001</v>
      </c>
      <c r="I772" s="1303">
        <f>CO보정계수!AJ9</f>
        <v>1.869</v>
      </c>
      <c r="J772" s="1304">
        <f>CO보정계수!AK9</f>
        <v>2.2629999999999999</v>
      </c>
    </row>
    <row r="773" spans="1:10" ht="17.100000000000001" customHeight="1">
      <c r="A773" s="479"/>
      <c r="B773" s="215" t="str">
        <f t="shared" si="312"/>
        <v>4구간</v>
      </c>
      <c r="C773" s="1292">
        <f>CO보정계수!AD10</f>
        <v>0.80300000000000005</v>
      </c>
      <c r="D773" s="1293">
        <f>CO보정계수!AE10</f>
        <v>1.131</v>
      </c>
      <c r="E773" s="1293">
        <f>CO보정계수!AF10</f>
        <v>1</v>
      </c>
      <c r="F773" s="1293">
        <f>CO보정계수!AG10</f>
        <v>1.1970000000000001</v>
      </c>
      <c r="G773" s="1293">
        <f>CO보정계수!AH10</f>
        <v>1.3280000000000001</v>
      </c>
      <c r="H773" s="1293">
        <f>CO보정계수!AI10</f>
        <v>1.3280000000000001</v>
      </c>
      <c r="I773" s="1303">
        <f>CO보정계수!AJ10</f>
        <v>1.869</v>
      </c>
      <c r="J773" s="1294">
        <f>CO보정계수!AK10</f>
        <v>2.2629999999999999</v>
      </c>
    </row>
    <row r="774" spans="1:10" ht="17.100000000000001" customHeight="1">
      <c r="A774" s="479"/>
      <c r="B774" s="215" t="str">
        <f t="shared" si="312"/>
        <v>5구간</v>
      </c>
      <c r="C774" s="1292">
        <f>CO보정계수!AD11</f>
        <v>0.80300000000000005</v>
      </c>
      <c r="D774" s="1293">
        <f>CO보정계수!AE11</f>
        <v>1.131</v>
      </c>
      <c r="E774" s="1293">
        <f>CO보정계수!AF11</f>
        <v>1</v>
      </c>
      <c r="F774" s="1293">
        <f>CO보정계수!AG11</f>
        <v>1.1970000000000001</v>
      </c>
      <c r="G774" s="1293">
        <f>CO보정계수!AH11</f>
        <v>1.3280000000000001</v>
      </c>
      <c r="H774" s="1293">
        <f>CO보정계수!AI11</f>
        <v>1.3280000000000001</v>
      </c>
      <c r="I774" s="1303">
        <f>CO보정계수!AJ11</f>
        <v>1.869</v>
      </c>
      <c r="J774" s="1294">
        <f>CO보정계수!AK11</f>
        <v>2.2629999999999999</v>
      </c>
    </row>
    <row r="775" spans="1:10" ht="17.100000000000001" customHeight="1">
      <c r="A775" s="479"/>
      <c r="B775" s="442" t="str">
        <f t="shared" si="312"/>
        <v>6구간</v>
      </c>
      <c r="C775" s="1292">
        <f>CO보정계수!AD12</f>
        <v>0.80300000000000005</v>
      </c>
      <c r="D775" s="1293">
        <f>CO보정계수!AE12</f>
        <v>1.131</v>
      </c>
      <c r="E775" s="1293">
        <f>CO보정계수!AF12</f>
        <v>1</v>
      </c>
      <c r="F775" s="1293">
        <f>CO보정계수!AG12</f>
        <v>1.1970000000000001</v>
      </c>
      <c r="G775" s="1293">
        <f>CO보정계수!AH12</f>
        <v>1.3280000000000001</v>
      </c>
      <c r="H775" s="1293">
        <f>CO보정계수!AI12</f>
        <v>1.3280000000000001</v>
      </c>
      <c r="I775" s="1303">
        <f>CO보정계수!AJ12</f>
        <v>1.869</v>
      </c>
      <c r="J775" s="1294">
        <f>CO보정계수!AK12</f>
        <v>2.2629999999999999</v>
      </c>
    </row>
    <row r="776" spans="1:10" ht="17.100000000000001" customHeight="1">
      <c r="A776" s="479"/>
      <c r="B776" s="215" t="str">
        <f t="shared" si="312"/>
        <v>7구간</v>
      </c>
      <c r="C776" s="1292">
        <f>CO보정계수!AD13</f>
        <v>0.80300000000000005</v>
      </c>
      <c r="D776" s="1293">
        <f>CO보정계수!AE13</f>
        <v>1.131</v>
      </c>
      <c r="E776" s="1293">
        <f>CO보정계수!AF13</f>
        <v>1</v>
      </c>
      <c r="F776" s="1293">
        <f>CO보정계수!AG13</f>
        <v>1.1970000000000001</v>
      </c>
      <c r="G776" s="1293">
        <f>CO보정계수!AH13</f>
        <v>1.3280000000000001</v>
      </c>
      <c r="H776" s="1293">
        <f>CO보정계수!AI13</f>
        <v>1.3280000000000001</v>
      </c>
      <c r="I776" s="1303">
        <f>CO보정계수!AJ13</f>
        <v>1.869</v>
      </c>
      <c r="J776" s="1294">
        <f>CO보정계수!AK13</f>
        <v>2.2629999999999999</v>
      </c>
    </row>
    <row r="777" spans="1:10" ht="17.100000000000001" customHeight="1">
      <c r="A777" s="479"/>
      <c r="B777" s="442" t="str">
        <f t="shared" si="312"/>
        <v>8구간</v>
      </c>
      <c r="C777" s="1292">
        <f>CO보정계수!AD14</f>
        <v>0.80300000000000005</v>
      </c>
      <c r="D777" s="1293">
        <f>CO보정계수!AE14</f>
        <v>1.131</v>
      </c>
      <c r="E777" s="1293">
        <f>CO보정계수!AF14</f>
        <v>1</v>
      </c>
      <c r="F777" s="1293">
        <f>CO보정계수!AG14</f>
        <v>1.1970000000000001</v>
      </c>
      <c r="G777" s="1293">
        <f>CO보정계수!AH14</f>
        <v>1.3280000000000001</v>
      </c>
      <c r="H777" s="1303">
        <f>CO보정계수!AI14</f>
        <v>1.3280000000000001</v>
      </c>
      <c r="I777" s="1303">
        <f>CO보정계수!AJ14</f>
        <v>1.869</v>
      </c>
      <c r="J777" s="1304">
        <f>CO보정계수!AK14</f>
        <v>2.2629999999999999</v>
      </c>
    </row>
    <row r="778" spans="1:10" ht="17.100000000000001" customHeight="1">
      <c r="A778" s="479"/>
      <c r="B778" s="215" t="str">
        <f t="shared" si="312"/>
        <v>9구간</v>
      </c>
      <c r="C778" s="1292">
        <f>CO보정계수!AD15</f>
        <v>0.80300000000000005</v>
      </c>
      <c r="D778" s="1293">
        <f>CO보정계수!AE15</f>
        <v>1.131</v>
      </c>
      <c r="E778" s="1293">
        <f>CO보정계수!AF15</f>
        <v>1</v>
      </c>
      <c r="F778" s="1293">
        <f>CO보정계수!AG15</f>
        <v>1.1970000000000001</v>
      </c>
      <c r="G778" s="1293">
        <f>CO보정계수!AH15</f>
        <v>1.3280000000000001</v>
      </c>
      <c r="H778" s="1293">
        <f>CO보정계수!AI15</f>
        <v>1.3280000000000001</v>
      </c>
      <c r="I778" s="1303">
        <f>CO보정계수!AJ15</f>
        <v>1.869</v>
      </c>
      <c r="J778" s="1294">
        <f>CO보정계수!AK15</f>
        <v>2.2629999999999999</v>
      </c>
    </row>
    <row r="779" spans="1:10" ht="17.100000000000001" customHeight="1" thickBot="1">
      <c r="A779" s="486"/>
      <c r="B779" s="88" t="str">
        <f t="shared" si="312"/>
        <v>10구간</v>
      </c>
      <c r="C779" s="1305">
        <f>CO보정계수!AD16</f>
        <v>0.80300000000000005</v>
      </c>
      <c r="D779" s="1306">
        <f>CO보정계수!AE16</f>
        <v>1.131</v>
      </c>
      <c r="E779" s="1306">
        <f>CO보정계수!AF16</f>
        <v>1</v>
      </c>
      <c r="F779" s="1306">
        <f>CO보정계수!AG16</f>
        <v>1.1970000000000001</v>
      </c>
      <c r="G779" s="1306">
        <f>CO보정계수!AH16</f>
        <v>1.3280000000000001</v>
      </c>
      <c r="H779" s="1306">
        <f>CO보정계수!AI16</f>
        <v>1.3280000000000001</v>
      </c>
      <c r="I779" s="531">
        <f>CO보정계수!AJ16</f>
        <v>1.869</v>
      </c>
      <c r="J779" s="532">
        <f>CO보정계수!AK16</f>
        <v>2.2629999999999999</v>
      </c>
    </row>
    <row r="780" spans="1:10">
      <c r="A780" s="475"/>
      <c r="B780" s="89"/>
      <c r="C780" s="433"/>
      <c r="D780" s="433"/>
      <c r="E780" s="433"/>
      <c r="F780" s="433"/>
      <c r="G780" s="433"/>
      <c r="H780" s="433"/>
      <c r="I780" s="433"/>
      <c r="J780" s="433"/>
    </row>
    <row r="781" spans="1:10" ht="14.25" thickBot="1">
      <c r="A781" s="70" t="s">
        <v>961</v>
      </c>
      <c r="B781" s="390"/>
      <c r="C781" s="390"/>
      <c r="D781" s="390"/>
      <c r="E781" s="390"/>
      <c r="F781" s="390"/>
      <c r="G781" s="390"/>
      <c r="H781" s="390"/>
      <c r="I781" s="85"/>
      <c r="J781" s="86"/>
    </row>
    <row r="782" spans="1:10" ht="17.100000000000001" customHeight="1">
      <c r="A782" s="1314" t="s">
        <v>189</v>
      </c>
      <c r="B782" s="1313"/>
      <c r="C782" s="1312">
        <v>10</v>
      </c>
      <c r="D782" s="467">
        <v>20</v>
      </c>
      <c r="E782" s="467">
        <v>30</v>
      </c>
      <c r="F782" s="467">
        <v>40</v>
      </c>
      <c r="G782" s="467">
        <v>50</v>
      </c>
      <c r="H782" s="467">
        <v>60</v>
      </c>
      <c r="I782" s="467">
        <v>70</v>
      </c>
      <c r="J782" s="468">
        <v>80</v>
      </c>
    </row>
    <row r="783" spans="1:10" ht="17.100000000000001" customHeight="1">
      <c r="A783" s="479" t="str">
        <f>A760</f>
        <v>진주</v>
      </c>
      <c r="B783" s="442" t="str">
        <f>B760</f>
        <v>1구간</v>
      </c>
      <c r="C783" s="1292">
        <f>CO보정계수!S21</f>
        <v>0.65</v>
      </c>
      <c r="D783" s="1293">
        <f>CO보정계수!T21</f>
        <v>1.4</v>
      </c>
      <c r="E783" s="1293">
        <f>CO보정계수!U21</f>
        <v>1.2</v>
      </c>
      <c r="F783" s="1293">
        <f>CO보정계수!V21</f>
        <v>1</v>
      </c>
      <c r="G783" s="1293">
        <f>CO보정계수!W21</f>
        <v>0.9</v>
      </c>
      <c r="H783" s="1293">
        <f>CO보정계수!X21</f>
        <v>0.8</v>
      </c>
      <c r="I783" s="1293">
        <f>CO보정계수!Y21</f>
        <v>0.8</v>
      </c>
      <c r="J783" s="1294">
        <f>CO보정계수!Z21</f>
        <v>0.8</v>
      </c>
    </row>
    <row r="784" spans="1:10" ht="17.100000000000001" customHeight="1">
      <c r="A784" s="1315" t="str">
        <f t="shared" ref="A784:B792" si="313">A761</f>
        <v>방향</v>
      </c>
      <c r="B784" s="215" t="str">
        <f t="shared" si="313"/>
        <v>2구간</v>
      </c>
      <c r="C784" s="1295">
        <f>CO보정계수!S22</f>
        <v>0.65</v>
      </c>
      <c r="D784" s="1296">
        <f>CO보정계수!T22</f>
        <v>1.4</v>
      </c>
      <c r="E784" s="1296">
        <f>CO보정계수!U22</f>
        <v>1.2</v>
      </c>
      <c r="F784" s="1296">
        <f>CO보정계수!V22</f>
        <v>1</v>
      </c>
      <c r="G784" s="1296">
        <f>CO보정계수!W22</f>
        <v>0.9</v>
      </c>
      <c r="H784" s="1296">
        <f>CO보정계수!X22</f>
        <v>0.8</v>
      </c>
      <c r="I784" s="1296">
        <f>CO보정계수!Y22</f>
        <v>0.8</v>
      </c>
      <c r="J784" s="1297">
        <f>CO보정계수!Z22</f>
        <v>0.8</v>
      </c>
    </row>
    <row r="785" spans="1:10" ht="17.100000000000001" customHeight="1">
      <c r="A785" s="479"/>
      <c r="B785" s="442" t="str">
        <f t="shared" si="313"/>
        <v>3구간</v>
      </c>
      <c r="C785" s="1295">
        <f>CO보정계수!S23</f>
        <v>0.65</v>
      </c>
      <c r="D785" s="1296">
        <f>CO보정계수!T23</f>
        <v>1.4</v>
      </c>
      <c r="E785" s="1296">
        <f>CO보정계수!U23</f>
        <v>1.2</v>
      </c>
      <c r="F785" s="1296">
        <f>CO보정계수!V23</f>
        <v>1</v>
      </c>
      <c r="G785" s="1296">
        <f>CO보정계수!W23</f>
        <v>0.9</v>
      </c>
      <c r="H785" s="1296">
        <f>CO보정계수!X23</f>
        <v>0.8</v>
      </c>
      <c r="I785" s="1296">
        <f>CO보정계수!Y23</f>
        <v>0.8</v>
      </c>
      <c r="J785" s="1297">
        <f>CO보정계수!Z23</f>
        <v>0.8</v>
      </c>
    </row>
    <row r="786" spans="1:10" ht="17.100000000000001" customHeight="1">
      <c r="A786" s="479"/>
      <c r="B786" s="215" t="str">
        <f t="shared" si="313"/>
        <v>4구간</v>
      </c>
      <c r="C786" s="1295">
        <f>CO보정계수!S24</f>
        <v>0.65</v>
      </c>
      <c r="D786" s="1296">
        <f>CO보정계수!T24</f>
        <v>1.4</v>
      </c>
      <c r="E786" s="1296">
        <f>CO보정계수!U24</f>
        <v>1.2</v>
      </c>
      <c r="F786" s="1296">
        <f>CO보정계수!V24</f>
        <v>1</v>
      </c>
      <c r="G786" s="1296">
        <f>CO보정계수!W24</f>
        <v>0.9</v>
      </c>
      <c r="H786" s="1296">
        <f>CO보정계수!X24</f>
        <v>0.8</v>
      </c>
      <c r="I786" s="1296">
        <f>CO보정계수!Y24</f>
        <v>0.8</v>
      </c>
      <c r="J786" s="1297">
        <f>CO보정계수!Z24</f>
        <v>0.8</v>
      </c>
    </row>
    <row r="787" spans="1:10" ht="17.100000000000001" customHeight="1">
      <c r="A787" s="1315"/>
      <c r="B787" s="215" t="str">
        <f t="shared" si="313"/>
        <v>5구간</v>
      </c>
      <c r="C787" s="1295">
        <f>CO보정계수!S25</f>
        <v>0.65</v>
      </c>
      <c r="D787" s="1296">
        <f>CO보정계수!T25</f>
        <v>1.4</v>
      </c>
      <c r="E787" s="1296">
        <f>CO보정계수!U25</f>
        <v>1.2</v>
      </c>
      <c r="F787" s="1296">
        <f>CO보정계수!V25</f>
        <v>1</v>
      </c>
      <c r="G787" s="1296">
        <f>CO보정계수!W25</f>
        <v>0.9</v>
      </c>
      <c r="H787" s="1296">
        <f>CO보정계수!X25</f>
        <v>0.8</v>
      </c>
      <c r="I787" s="1298">
        <f>CO보정계수!Y25</f>
        <v>0.8</v>
      </c>
      <c r="J787" s="1297">
        <f>CO보정계수!Z25</f>
        <v>0.8</v>
      </c>
    </row>
    <row r="788" spans="1:10" ht="17.100000000000001" customHeight="1">
      <c r="A788" s="479"/>
      <c r="B788" s="442" t="str">
        <f t="shared" si="313"/>
        <v>6구간</v>
      </c>
      <c r="C788" s="1295">
        <f>CO보정계수!S26</f>
        <v>0.65</v>
      </c>
      <c r="D788" s="1296">
        <f>CO보정계수!T26</f>
        <v>1.4</v>
      </c>
      <c r="E788" s="1296">
        <f>CO보정계수!U26</f>
        <v>1.2</v>
      </c>
      <c r="F788" s="1296">
        <f>CO보정계수!V26</f>
        <v>1</v>
      </c>
      <c r="G788" s="1296">
        <f>CO보정계수!W26</f>
        <v>0.9</v>
      </c>
      <c r="H788" s="1296">
        <f>CO보정계수!X26</f>
        <v>0.8</v>
      </c>
      <c r="I788" s="1296">
        <f>CO보정계수!Y26</f>
        <v>0.8</v>
      </c>
      <c r="J788" s="1297">
        <f>CO보정계수!Z26</f>
        <v>0.8</v>
      </c>
    </row>
    <row r="789" spans="1:10" ht="17.100000000000001" customHeight="1">
      <c r="A789" s="1315"/>
      <c r="B789" s="215" t="str">
        <f t="shared" si="313"/>
        <v>7구간</v>
      </c>
      <c r="C789" s="1295">
        <f>CO보정계수!S27</f>
        <v>0.65</v>
      </c>
      <c r="D789" s="1296">
        <f>CO보정계수!T27</f>
        <v>1.4</v>
      </c>
      <c r="E789" s="1296">
        <f>CO보정계수!U27</f>
        <v>1.2</v>
      </c>
      <c r="F789" s="1296">
        <f>CO보정계수!V27</f>
        <v>1</v>
      </c>
      <c r="G789" s="1296">
        <f>CO보정계수!W27</f>
        <v>0.9</v>
      </c>
      <c r="H789" s="1296">
        <f>CO보정계수!X27</f>
        <v>0.8</v>
      </c>
      <c r="I789" s="1296">
        <f>CO보정계수!Y27</f>
        <v>0.8</v>
      </c>
      <c r="J789" s="1297">
        <f>CO보정계수!Z27</f>
        <v>0.8</v>
      </c>
    </row>
    <row r="790" spans="1:10" ht="17.100000000000001" customHeight="1">
      <c r="A790" s="479"/>
      <c r="B790" s="442" t="str">
        <f t="shared" si="313"/>
        <v>8구간</v>
      </c>
      <c r="C790" s="1295">
        <f>CO보정계수!S28</f>
        <v>0.65</v>
      </c>
      <c r="D790" s="1296">
        <f>CO보정계수!T28</f>
        <v>1.4</v>
      </c>
      <c r="E790" s="1296">
        <f>CO보정계수!U28</f>
        <v>1.2</v>
      </c>
      <c r="F790" s="1296">
        <f>CO보정계수!V28</f>
        <v>1</v>
      </c>
      <c r="G790" s="1296">
        <f>CO보정계수!W28</f>
        <v>0.9</v>
      </c>
      <c r="H790" s="1296">
        <f>CO보정계수!X28</f>
        <v>0.8</v>
      </c>
      <c r="I790" s="1296">
        <f>CO보정계수!Y28</f>
        <v>0.8</v>
      </c>
      <c r="J790" s="1297">
        <f>CO보정계수!Z28</f>
        <v>0.8</v>
      </c>
    </row>
    <row r="791" spans="1:10" ht="17.100000000000001" customHeight="1">
      <c r="A791" s="479"/>
      <c r="B791" s="215" t="str">
        <f t="shared" si="313"/>
        <v>9구간</v>
      </c>
      <c r="C791" s="1295">
        <f>CO보정계수!S29</f>
        <v>0.65</v>
      </c>
      <c r="D791" s="1296">
        <f>CO보정계수!T29</f>
        <v>1.4</v>
      </c>
      <c r="E791" s="1296">
        <f>CO보정계수!U29</f>
        <v>1.2</v>
      </c>
      <c r="F791" s="1296">
        <f>CO보정계수!V29</f>
        <v>1</v>
      </c>
      <c r="G791" s="1296">
        <f>CO보정계수!W29</f>
        <v>0.9</v>
      </c>
      <c r="H791" s="1296">
        <f>CO보정계수!X29</f>
        <v>0.8</v>
      </c>
      <c r="I791" s="1296">
        <f>CO보정계수!Y29</f>
        <v>0.8</v>
      </c>
      <c r="J791" s="1297">
        <f>CO보정계수!Z29</f>
        <v>0.8</v>
      </c>
    </row>
    <row r="792" spans="1:10" ht="17.100000000000001" customHeight="1">
      <c r="A792" s="479"/>
      <c r="B792" s="215" t="str">
        <f t="shared" si="313"/>
        <v>10구간</v>
      </c>
      <c r="C792" s="1295">
        <f>CO보정계수!S30</f>
        <v>0.65</v>
      </c>
      <c r="D792" s="1296">
        <f>CO보정계수!T30</f>
        <v>1.4</v>
      </c>
      <c r="E792" s="1296">
        <f>CO보정계수!U30</f>
        <v>1.2</v>
      </c>
      <c r="F792" s="1296">
        <f>CO보정계수!V30</f>
        <v>1</v>
      </c>
      <c r="G792" s="1296">
        <f>CO보정계수!W30</f>
        <v>0.9</v>
      </c>
      <c r="H792" s="1296">
        <f>CO보정계수!X30</f>
        <v>0.8</v>
      </c>
      <c r="I792" s="1296">
        <f>CO보정계수!Y30</f>
        <v>0.8</v>
      </c>
      <c r="J792" s="1297">
        <f>CO보정계수!Z30</f>
        <v>0.8</v>
      </c>
    </row>
    <row r="793" spans="1:10" ht="17.100000000000001" customHeight="1">
      <c r="A793" s="1251" t="str">
        <f t="shared" ref="A793:B793" si="314">A770</f>
        <v>마산</v>
      </c>
      <c r="B793" s="1318" t="str">
        <f t="shared" si="314"/>
        <v>1구간</v>
      </c>
      <c r="C793" s="1299">
        <f>CO보정계수!AD21</f>
        <v>0.73919999999999997</v>
      </c>
      <c r="D793" s="1300">
        <f>CO보정계수!AE21</f>
        <v>1.623</v>
      </c>
      <c r="E793" s="1300">
        <f>CO보정계수!AF21</f>
        <v>1.4676</v>
      </c>
      <c r="F793" s="1300">
        <f>CO보정계수!AG21</f>
        <v>1.3122</v>
      </c>
      <c r="G793" s="1300">
        <f>CO보정계수!AH21</f>
        <v>1.2568000000000001</v>
      </c>
      <c r="H793" s="1300">
        <f>CO보정계수!AI21</f>
        <v>1.1568000000000001</v>
      </c>
      <c r="I793" s="1301">
        <f>CO보정계수!AJ21</f>
        <v>1.0230000000000001</v>
      </c>
      <c r="J793" s="1302">
        <f>CO보정계수!AK21</f>
        <v>1.0230000000000001</v>
      </c>
    </row>
    <row r="794" spans="1:10" ht="17.100000000000001" customHeight="1">
      <c r="A794" s="479" t="str">
        <f t="shared" ref="A794:B802" si="315">A771</f>
        <v>방향</v>
      </c>
      <c r="B794" s="215" t="str">
        <f t="shared" si="315"/>
        <v>2구간</v>
      </c>
      <c r="C794" s="1292">
        <f>CO보정계수!AD22</f>
        <v>0.65</v>
      </c>
      <c r="D794" s="1293">
        <f>CO보정계수!AE22</f>
        <v>1.4</v>
      </c>
      <c r="E794" s="1293">
        <f>CO보정계수!AF22</f>
        <v>1.2</v>
      </c>
      <c r="F794" s="1293">
        <f>CO보정계수!AG22</f>
        <v>1</v>
      </c>
      <c r="G794" s="1293">
        <f>CO보정계수!AH22</f>
        <v>0.9</v>
      </c>
      <c r="H794" s="1293">
        <f>CO보정계수!AI22</f>
        <v>0.8</v>
      </c>
      <c r="I794" s="1303">
        <f>CO보정계수!AJ22</f>
        <v>0.8</v>
      </c>
      <c r="J794" s="1294">
        <f>CO보정계수!AK22</f>
        <v>0.8</v>
      </c>
    </row>
    <row r="795" spans="1:10" ht="17.100000000000001" customHeight="1">
      <c r="A795" s="479"/>
      <c r="B795" s="442" t="str">
        <f t="shared" si="315"/>
        <v>3구간</v>
      </c>
      <c r="C795" s="1292">
        <f>CO보정계수!AD23</f>
        <v>0.65</v>
      </c>
      <c r="D795" s="1293">
        <f>CO보정계수!AE23</f>
        <v>1.4</v>
      </c>
      <c r="E795" s="1293">
        <f>CO보정계수!AF23</f>
        <v>1.2</v>
      </c>
      <c r="F795" s="1293">
        <f>CO보정계수!AG23</f>
        <v>1</v>
      </c>
      <c r="G795" s="1293">
        <f>CO보정계수!AH23</f>
        <v>0.9</v>
      </c>
      <c r="H795" s="1303">
        <f>CO보정계수!AI23</f>
        <v>0.8</v>
      </c>
      <c r="I795" s="1303">
        <f>CO보정계수!AJ23</f>
        <v>0.8</v>
      </c>
      <c r="J795" s="1304">
        <f>CO보정계수!AK23</f>
        <v>0.8</v>
      </c>
    </row>
    <row r="796" spans="1:10" ht="17.100000000000001" customHeight="1">
      <c r="A796" s="479"/>
      <c r="B796" s="215" t="str">
        <f t="shared" si="315"/>
        <v>4구간</v>
      </c>
      <c r="C796" s="1292">
        <f>CO보정계수!AD24</f>
        <v>0.65</v>
      </c>
      <c r="D796" s="1293">
        <f>CO보정계수!AE24</f>
        <v>1.4</v>
      </c>
      <c r="E796" s="1293">
        <f>CO보정계수!AF24</f>
        <v>1.2</v>
      </c>
      <c r="F796" s="1293">
        <f>CO보정계수!AG24</f>
        <v>1</v>
      </c>
      <c r="G796" s="1293">
        <f>CO보정계수!AH24</f>
        <v>0.9</v>
      </c>
      <c r="H796" s="1293">
        <f>CO보정계수!AI24</f>
        <v>0.8</v>
      </c>
      <c r="I796" s="1303">
        <f>CO보정계수!AJ24</f>
        <v>0.8</v>
      </c>
      <c r="J796" s="1294">
        <f>CO보정계수!AK24</f>
        <v>0.8</v>
      </c>
    </row>
    <row r="797" spans="1:10" ht="17.100000000000001" customHeight="1">
      <c r="A797" s="479"/>
      <c r="B797" s="215" t="str">
        <f t="shared" si="315"/>
        <v>5구간</v>
      </c>
      <c r="C797" s="1292">
        <f>CO보정계수!AD25</f>
        <v>0.65</v>
      </c>
      <c r="D797" s="1293">
        <f>CO보정계수!AE25</f>
        <v>1.4</v>
      </c>
      <c r="E797" s="1293">
        <f>CO보정계수!AF25</f>
        <v>1.2</v>
      </c>
      <c r="F797" s="1293">
        <f>CO보정계수!AG25</f>
        <v>1</v>
      </c>
      <c r="G797" s="1293">
        <f>CO보정계수!AH25</f>
        <v>0.9</v>
      </c>
      <c r="H797" s="1293">
        <f>CO보정계수!AI25</f>
        <v>0.8</v>
      </c>
      <c r="I797" s="1303">
        <f>CO보정계수!AJ25</f>
        <v>0.8</v>
      </c>
      <c r="J797" s="1294">
        <f>CO보정계수!AK25</f>
        <v>0.8</v>
      </c>
    </row>
    <row r="798" spans="1:10" ht="17.100000000000001" customHeight="1">
      <c r="A798" s="479"/>
      <c r="B798" s="442" t="str">
        <f t="shared" si="315"/>
        <v>6구간</v>
      </c>
      <c r="C798" s="1292">
        <f>CO보정계수!AD26</f>
        <v>0.65</v>
      </c>
      <c r="D798" s="1293">
        <f>CO보정계수!AE26</f>
        <v>1.4</v>
      </c>
      <c r="E798" s="1293">
        <f>CO보정계수!AF26</f>
        <v>1.2</v>
      </c>
      <c r="F798" s="1293">
        <f>CO보정계수!AG26</f>
        <v>1</v>
      </c>
      <c r="G798" s="1293">
        <f>CO보정계수!AH26</f>
        <v>0.9</v>
      </c>
      <c r="H798" s="1293">
        <f>CO보정계수!AI26</f>
        <v>0.8</v>
      </c>
      <c r="I798" s="1303">
        <f>CO보정계수!AJ26</f>
        <v>0.8</v>
      </c>
      <c r="J798" s="1294">
        <f>CO보정계수!AK26</f>
        <v>0.8</v>
      </c>
    </row>
    <row r="799" spans="1:10" ht="17.100000000000001" customHeight="1">
      <c r="A799" s="479"/>
      <c r="B799" s="215" t="str">
        <f t="shared" si="315"/>
        <v>7구간</v>
      </c>
      <c r="C799" s="1292">
        <f>CO보정계수!AD27</f>
        <v>0.65</v>
      </c>
      <c r="D799" s="1293">
        <f>CO보정계수!AE27</f>
        <v>1.4</v>
      </c>
      <c r="E799" s="1293">
        <f>CO보정계수!AF27</f>
        <v>1.2</v>
      </c>
      <c r="F799" s="1293">
        <f>CO보정계수!AG27</f>
        <v>1</v>
      </c>
      <c r="G799" s="1293">
        <f>CO보정계수!AH27</f>
        <v>0.9</v>
      </c>
      <c r="H799" s="1293">
        <f>CO보정계수!AI27</f>
        <v>0.8</v>
      </c>
      <c r="I799" s="1303">
        <f>CO보정계수!AJ27</f>
        <v>0.8</v>
      </c>
      <c r="J799" s="1294">
        <f>CO보정계수!AK27</f>
        <v>0.8</v>
      </c>
    </row>
    <row r="800" spans="1:10" ht="17.100000000000001" customHeight="1">
      <c r="A800" s="479"/>
      <c r="B800" s="442" t="str">
        <f t="shared" si="315"/>
        <v>8구간</v>
      </c>
      <c r="C800" s="1292">
        <f>CO보정계수!AD28</f>
        <v>0.65</v>
      </c>
      <c r="D800" s="1293">
        <f>CO보정계수!AE28</f>
        <v>1.4</v>
      </c>
      <c r="E800" s="1293">
        <f>CO보정계수!AF28</f>
        <v>1.2</v>
      </c>
      <c r="F800" s="1293">
        <f>CO보정계수!AG28</f>
        <v>1</v>
      </c>
      <c r="G800" s="1293">
        <f>CO보정계수!AH28</f>
        <v>0.9</v>
      </c>
      <c r="H800" s="1303">
        <f>CO보정계수!AI28</f>
        <v>0.8</v>
      </c>
      <c r="I800" s="1303">
        <f>CO보정계수!AJ28</f>
        <v>0.8</v>
      </c>
      <c r="J800" s="1304">
        <f>CO보정계수!AK28</f>
        <v>0.8</v>
      </c>
    </row>
    <row r="801" spans="1:10" ht="17.100000000000001" customHeight="1">
      <c r="A801" s="479"/>
      <c r="B801" s="215" t="str">
        <f t="shared" si="315"/>
        <v>9구간</v>
      </c>
      <c r="C801" s="1292">
        <f>CO보정계수!AD29</f>
        <v>0.65</v>
      </c>
      <c r="D801" s="1293">
        <f>CO보정계수!AE29</f>
        <v>1.4</v>
      </c>
      <c r="E801" s="1293">
        <f>CO보정계수!AF29</f>
        <v>1.2</v>
      </c>
      <c r="F801" s="1293">
        <f>CO보정계수!AG29</f>
        <v>1</v>
      </c>
      <c r="G801" s="1293">
        <f>CO보정계수!AH29</f>
        <v>0.9</v>
      </c>
      <c r="H801" s="1293">
        <f>CO보정계수!AI29</f>
        <v>0.8</v>
      </c>
      <c r="I801" s="1303">
        <f>CO보정계수!AJ29</f>
        <v>0.8</v>
      </c>
      <c r="J801" s="1294">
        <f>CO보정계수!AK29</f>
        <v>0.8</v>
      </c>
    </row>
    <row r="802" spans="1:10" ht="17.100000000000001" customHeight="1" thickBot="1">
      <c r="A802" s="486"/>
      <c r="B802" s="88" t="str">
        <f t="shared" si="315"/>
        <v>10구간</v>
      </c>
      <c r="C802" s="1305">
        <f>CO보정계수!AD30</f>
        <v>0.65</v>
      </c>
      <c r="D802" s="1306">
        <f>CO보정계수!AE30</f>
        <v>1.4</v>
      </c>
      <c r="E802" s="1306">
        <f>CO보정계수!AF30</f>
        <v>1.2</v>
      </c>
      <c r="F802" s="1306">
        <f>CO보정계수!AG30</f>
        <v>1</v>
      </c>
      <c r="G802" s="1306">
        <f>CO보정계수!AH30</f>
        <v>0.9</v>
      </c>
      <c r="H802" s="1306">
        <f>CO보정계수!AI30</f>
        <v>0.8</v>
      </c>
      <c r="I802" s="531">
        <f>CO보정계수!AJ30</f>
        <v>0.8</v>
      </c>
      <c r="J802" s="532">
        <f>CO보정계수!AK30</f>
        <v>0.8</v>
      </c>
    </row>
    <row r="803" spans="1:10">
      <c r="A803" s="475"/>
      <c r="B803" s="89"/>
      <c r="C803" s="433"/>
      <c r="D803" s="433"/>
      <c r="E803" s="433"/>
      <c r="F803" s="433"/>
      <c r="G803" s="433"/>
      <c r="H803" s="433"/>
      <c r="I803" s="433"/>
      <c r="J803" s="433"/>
    </row>
    <row r="804" spans="1:10" ht="14.25" thickBot="1">
      <c r="A804" s="70" t="s">
        <v>962</v>
      </c>
      <c r="B804" s="390"/>
      <c r="C804" s="390"/>
      <c r="D804" s="390"/>
      <c r="E804" s="390"/>
      <c r="F804" s="390"/>
      <c r="G804" s="390"/>
      <c r="H804" s="390"/>
      <c r="I804" s="85"/>
      <c r="J804" s="86"/>
    </row>
    <row r="805" spans="1:10" ht="17.100000000000001" customHeight="1">
      <c r="A805" s="1314" t="s">
        <v>189</v>
      </c>
      <c r="B805" s="1313"/>
      <c r="C805" s="1312">
        <v>10</v>
      </c>
      <c r="D805" s="467">
        <v>20</v>
      </c>
      <c r="E805" s="467">
        <v>30</v>
      </c>
      <c r="F805" s="467">
        <v>40</v>
      </c>
      <c r="G805" s="467">
        <v>50</v>
      </c>
      <c r="H805" s="467">
        <v>60</v>
      </c>
      <c r="I805" s="467">
        <v>70</v>
      </c>
      <c r="J805" s="468">
        <v>80</v>
      </c>
    </row>
    <row r="806" spans="1:10" ht="17.100000000000001" customHeight="1">
      <c r="A806" s="479" t="str">
        <f>A783</f>
        <v>진주</v>
      </c>
      <c r="B806" s="442" t="str">
        <f>B783</f>
        <v>1구간</v>
      </c>
      <c r="C806" s="1292">
        <f>CO보정계수!S35</f>
        <v>0.75</v>
      </c>
      <c r="D806" s="1293">
        <f>CO보정계수!T35</f>
        <v>0.9</v>
      </c>
      <c r="E806" s="1293">
        <f>CO보정계수!U35</f>
        <v>1</v>
      </c>
      <c r="F806" s="1293">
        <f>CO보정계수!V35</f>
        <v>1</v>
      </c>
      <c r="G806" s="1293">
        <f>CO보정계수!W35</f>
        <v>1.05</v>
      </c>
      <c r="H806" s="1293">
        <f>CO보정계수!X35</f>
        <v>1.05</v>
      </c>
      <c r="I806" s="1293">
        <f>CO보정계수!Y35</f>
        <v>1.1499999999999999</v>
      </c>
      <c r="J806" s="1294">
        <f>CO보정계수!Z35</f>
        <v>1.25</v>
      </c>
    </row>
    <row r="807" spans="1:10" ht="17.100000000000001" customHeight="1">
      <c r="A807" s="1315" t="str">
        <f t="shared" ref="A807:B807" si="316">A784</f>
        <v>방향</v>
      </c>
      <c r="B807" s="215" t="str">
        <f t="shared" si="316"/>
        <v>2구간</v>
      </c>
      <c r="C807" s="1295">
        <f>CO보정계수!S36</f>
        <v>0.75</v>
      </c>
      <c r="D807" s="1296">
        <f>CO보정계수!T36</f>
        <v>0.9</v>
      </c>
      <c r="E807" s="1296">
        <f>CO보정계수!U36</f>
        <v>1</v>
      </c>
      <c r="F807" s="1296">
        <f>CO보정계수!V36</f>
        <v>1</v>
      </c>
      <c r="G807" s="1296">
        <f>CO보정계수!W36</f>
        <v>1.05</v>
      </c>
      <c r="H807" s="1296">
        <f>CO보정계수!X36</f>
        <v>1.05</v>
      </c>
      <c r="I807" s="1296">
        <f>CO보정계수!Y36</f>
        <v>1.1499999999999999</v>
      </c>
      <c r="J807" s="1297">
        <f>CO보정계수!Z36</f>
        <v>1.25</v>
      </c>
    </row>
    <row r="808" spans="1:10" ht="17.100000000000001" customHeight="1">
      <c r="A808" s="479"/>
      <c r="B808" s="442" t="str">
        <f t="shared" ref="B808" si="317">B785</f>
        <v>3구간</v>
      </c>
      <c r="C808" s="1295">
        <f>CO보정계수!S37</f>
        <v>0.75</v>
      </c>
      <c r="D808" s="1296">
        <f>CO보정계수!T37</f>
        <v>0.9</v>
      </c>
      <c r="E808" s="1296">
        <f>CO보정계수!U37</f>
        <v>1</v>
      </c>
      <c r="F808" s="1296">
        <f>CO보정계수!V37</f>
        <v>1</v>
      </c>
      <c r="G808" s="1296">
        <f>CO보정계수!W37</f>
        <v>1.05</v>
      </c>
      <c r="H808" s="1296">
        <f>CO보정계수!X37</f>
        <v>1.05</v>
      </c>
      <c r="I808" s="1296">
        <f>CO보정계수!Y37</f>
        <v>1.1499999999999999</v>
      </c>
      <c r="J808" s="1297">
        <f>CO보정계수!Z37</f>
        <v>1.25</v>
      </c>
    </row>
    <row r="809" spans="1:10" ht="17.100000000000001" customHeight="1">
      <c r="A809" s="479"/>
      <c r="B809" s="215" t="str">
        <f t="shared" ref="B809" si="318">B786</f>
        <v>4구간</v>
      </c>
      <c r="C809" s="1295">
        <f>CO보정계수!S38</f>
        <v>0.75</v>
      </c>
      <c r="D809" s="1296">
        <f>CO보정계수!T38</f>
        <v>0.9</v>
      </c>
      <c r="E809" s="1296">
        <f>CO보정계수!U38</f>
        <v>1</v>
      </c>
      <c r="F809" s="1296">
        <f>CO보정계수!V38</f>
        <v>1</v>
      </c>
      <c r="G809" s="1296">
        <f>CO보정계수!W38</f>
        <v>1.05</v>
      </c>
      <c r="H809" s="1296">
        <f>CO보정계수!X38</f>
        <v>1.05</v>
      </c>
      <c r="I809" s="1296">
        <f>CO보정계수!Y38</f>
        <v>1.1499999999999999</v>
      </c>
      <c r="J809" s="1297">
        <f>CO보정계수!Z38</f>
        <v>1.25</v>
      </c>
    </row>
    <row r="810" spans="1:10" ht="17.100000000000001" customHeight="1">
      <c r="A810" s="1315"/>
      <c r="B810" s="215" t="str">
        <f t="shared" ref="B810" si="319">B787</f>
        <v>5구간</v>
      </c>
      <c r="C810" s="1295">
        <f>CO보정계수!S39</f>
        <v>0.75</v>
      </c>
      <c r="D810" s="1296">
        <f>CO보정계수!T39</f>
        <v>0.9</v>
      </c>
      <c r="E810" s="1296">
        <f>CO보정계수!U39</f>
        <v>1</v>
      </c>
      <c r="F810" s="1296">
        <f>CO보정계수!V39</f>
        <v>1</v>
      </c>
      <c r="G810" s="1296">
        <f>CO보정계수!W39</f>
        <v>1.05</v>
      </c>
      <c r="H810" s="1296">
        <f>CO보정계수!X39</f>
        <v>1.05</v>
      </c>
      <c r="I810" s="1298">
        <f>CO보정계수!Y39</f>
        <v>1.1499999999999999</v>
      </c>
      <c r="J810" s="1297">
        <f>CO보정계수!Z39</f>
        <v>1.25</v>
      </c>
    </row>
    <row r="811" spans="1:10" ht="17.100000000000001" customHeight="1">
      <c r="A811" s="479"/>
      <c r="B811" s="442" t="str">
        <f t="shared" ref="B811" si="320">B788</f>
        <v>6구간</v>
      </c>
      <c r="C811" s="1295">
        <f>CO보정계수!S40</f>
        <v>0.75</v>
      </c>
      <c r="D811" s="1296">
        <f>CO보정계수!T40</f>
        <v>0.9</v>
      </c>
      <c r="E811" s="1296">
        <f>CO보정계수!U40</f>
        <v>1</v>
      </c>
      <c r="F811" s="1296">
        <f>CO보정계수!V40</f>
        <v>1</v>
      </c>
      <c r="G811" s="1296">
        <f>CO보정계수!W40</f>
        <v>1.05</v>
      </c>
      <c r="H811" s="1296">
        <f>CO보정계수!X40</f>
        <v>1.05</v>
      </c>
      <c r="I811" s="1296">
        <f>CO보정계수!Y40</f>
        <v>1.1499999999999999</v>
      </c>
      <c r="J811" s="1297">
        <f>CO보정계수!Z40</f>
        <v>1.25</v>
      </c>
    </row>
    <row r="812" spans="1:10" ht="17.100000000000001" customHeight="1">
      <c r="A812" s="1315"/>
      <c r="B812" s="215" t="str">
        <f t="shared" ref="B812" si="321">B789</f>
        <v>7구간</v>
      </c>
      <c r="C812" s="1295">
        <f>CO보정계수!S41</f>
        <v>0.75</v>
      </c>
      <c r="D812" s="1296">
        <f>CO보정계수!T41</f>
        <v>0.9</v>
      </c>
      <c r="E812" s="1296">
        <f>CO보정계수!U41</f>
        <v>1</v>
      </c>
      <c r="F812" s="1296">
        <f>CO보정계수!V41</f>
        <v>1</v>
      </c>
      <c r="G812" s="1296">
        <f>CO보정계수!W41</f>
        <v>1.05</v>
      </c>
      <c r="H812" s="1296">
        <f>CO보정계수!X41</f>
        <v>1.05</v>
      </c>
      <c r="I812" s="1296">
        <f>CO보정계수!Y41</f>
        <v>1.1499999999999999</v>
      </c>
      <c r="J812" s="1297">
        <f>CO보정계수!Z41</f>
        <v>1.25</v>
      </c>
    </row>
    <row r="813" spans="1:10" ht="17.100000000000001" customHeight="1">
      <c r="A813" s="479"/>
      <c r="B813" s="442" t="str">
        <f t="shared" ref="B813" si="322">B790</f>
        <v>8구간</v>
      </c>
      <c r="C813" s="1295">
        <f>CO보정계수!S42</f>
        <v>0.75</v>
      </c>
      <c r="D813" s="1296">
        <f>CO보정계수!T42</f>
        <v>0.9</v>
      </c>
      <c r="E813" s="1296">
        <f>CO보정계수!U42</f>
        <v>1</v>
      </c>
      <c r="F813" s="1296">
        <f>CO보정계수!V42</f>
        <v>1</v>
      </c>
      <c r="G813" s="1296">
        <f>CO보정계수!W42</f>
        <v>1.05</v>
      </c>
      <c r="H813" s="1296">
        <f>CO보정계수!X42</f>
        <v>1.05</v>
      </c>
      <c r="I813" s="1296">
        <f>CO보정계수!Y42</f>
        <v>1.1499999999999999</v>
      </c>
      <c r="J813" s="1297">
        <f>CO보정계수!Z42</f>
        <v>1.25</v>
      </c>
    </row>
    <row r="814" spans="1:10" ht="17.100000000000001" customHeight="1">
      <c r="A814" s="479"/>
      <c r="B814" s="215" t="str">
        <f t="shared" ref="B814" si="323">B791</f>
        <v>9구간</v>
      </c>
      <c r="C814" s="1295">
        <f>CO보정계수!S43</f>
        <v>0.75</v>
      </c>
      <c r="D814" s="1296">
        <f>CO보정계수!T43</f>
        <v>0.9</v>
      </c>
      <c r="E814" s="1296">
        <f>CO보정계수!U43</f>
        <v>1</v>
      </c>
      <c r="F814" s="1296">
        <f>CO보정계수!V43</f>
        <v>1</v>
      </c>
      <c r="G814" s="1296">
        <f>CO보정계수!W43</f>
        <v>1.05</v>
      </c>
      <c r="H814" s="1296">
        <f>CO보정계수!X43</f>
        <v>1.05</v>
      </c>
      <c r="I814" s="1296">
        <f>CO보정계수!Y43</f>
        <v>1.1499999999999999</v>
      </c>
      <c r="J814" s="1297">
        <f>CO보정계수!Z43</f>
        <v>1.25</v>
      </c>
    </row>
    <row r="815" spans="1:10" ht="17.100000000000001" customHeight="1">
      <c r="A815" s="479"/>
      <c r="B815" s="215" t="str">
        <f t="shared" ref="B815" si="324">B792</f>
        <v>10구간</v>
      </c>
      <c r="C815" s="1295">
        <f>CO보정계수!S44</f>
        <v>0.75</v>
      </c>
      <c r="D815" s="1296">
        <f>CO보정계수!T44</f>
        <v>0.9</v>
      </c>
      <c r="E815" s="1296">
        <f>CO보정계수!U44</f>
        <v>1</v>
      </c>
      <c r="F815" s="1296">
        <f>CO보정계수!V44</f>
        <v>1</v>
      </c>
      <c r="G815" s="1296">
        <f>CO보정계수!W44</f>
        <v>1.05</v>
      </c>
      <c r="H815" s="1296">
        <f>CO보정계수!X44</f>
        <v>1.05</v>
      </c>
      <c r="I815" s="1296">
        <f>CO보정계수!Y44</f>
        <v>1.1499999999999999</v>
      </c>
      <c r="J815" s="1297">
        <f>CO보정계수!Z44</f>
        <v>1.25</v>
      </c>
    </row>
    <row r="816" spans="1:10" ht="17.100000000000001" customHeight="1">
      <c r="A816" s="1251" t="str">
        <f t="shared" ref="A816:B816" si="325">A793</f>
        <v>마산</v>
      </c>
      <c r="B816" s="1318" t="str">
        <f t="shared" si="325"/>
        <v>1구간</v>
      </c>
      <c r="C816" s="1299">
        <f>CO보정계수!AD35</f>
        <v>0.79460000000000008</v>
      </c>
      <c r="D816" s="1300">
        <f>CO보정계수!AE35</f>
        <v>0.9446</v>
      </c>
      <c r="E816" s="1300">
        <f>CO보정계수!AF35</f>
        <v>1.0892000000000002</v>
      </c>
      <c r="F816" s="1300">
        <f>CO보정계수!AG35</f>
        <v>1.1337999999999999</v>
      </c>
      <c r="G816" s="1300">
        <f>CO보정계수!AH35</f>
        <v>1.2283999999999999</v>
      </c>
      <c r="H816" s="1300">
        <f>CO보정계수!AI35</f>
        <v>1.3176000000000001</v>
      </c>
      <c r="I816" s="1301">
        <f>CO보정계수!AJ35</f>
        <v>1.4621999999999999</v>
      </c>
      <c r="J816" s="1302">
        <f>CO보정계수!AK35</f>
        <v>1.6068</v>
      </c>
    </row>
    <row r="817" spans="1:10" ht="17.100000000000001" customHeight="1">
      <c r="A817" s="479" t="str">
        <f t="shared" ref="A817:B817" si="326">A794</f>
        <v>방향</v>
      </c>
      <c r="B817" s="215" t="str">
        <f t="shared" si="326"/>
        <v>2구간</v>
      </c>
      <c r="C817" s="1292">
        <f>CO보정계수!AD36</f>
        <v>0.75</v>
      </c>
      <c r="D817" s="1293">
        <f>CO보정계수!AE36</f>
        <v>0.9</v>
      </c>
      <c r="E817" s="1293">
        <f>CO보정계수!AF36</f>
        <v>1</v>
      </c>
      <c r="F817" s="1293">
        <f>CO보정계수!AG36</f>
        <v>1</v>
      </c>
      <c r="G817" s="1293">
        <f>CO보정계수!AH36</f>
        <v>1.05</v>
      </c>
      <c r="H817" s="1293">
        <f>CO보정계수!AI36</f>
        <v>1.05</v>
      </c>
      <c r="I817" s="1303">
        <f>CO보정계수!AJ36</f>
        <v>1.1499999999999999</v>
      </c>
      <c r="J817" s="1294">
        <f>CO보정계수!AK36</f>
        <v>1.25</v>
      </c>
    </row>
    <row r="818" spans="1:10" ht="17.100000000000001" customHeight="1">
      <c r="A818" s="479"/>
      <c r="B818" s="442" t="str">
        <f t="shared" ref="B818" si="327">B795</f>
        <v>3구간</v>
      </c>
      <c r="C818" s="1292">
        <f>CO보정계수!AD37</f>
        <v>0.75</v>
      </c>
      <c r="D818" s="1293">
        <f>CO보정계수!AE37</f>
        <v>0.9</v>
      </c>
      <c r="E818" s="1293">
        <f>CO보정계수!AF37</f>
        <v>1</v>
      </c>
      <c r="F818" s="1293">
        <f>CO보정계수!AG37</f>
        <v>1</v>
      </c>
      <c r="G818" s="1293">
        <f>CO보정계수!AH37</f>
        <v>1.05</v>
      </c>
      <c r="H818" s="1303">
        <f>CO보정계수!AI37</f>
        <v>1.05</v>
      </c>
      <c r="I818" s="1303">
        <f>CO보정계수!AJ37</f>
        <v>1.1499999999999999</v>
      </c>
      <c r="J818" s="1304">
        <f>CO보정계수!AK37</f>
        <v>1.25</v>
      </c>
    </row>
    <row r="819" spans="1:10" ht="17.100000000000001" customHeight="1">
      <c r="A819" s="479"/>
      <c r="B819" s="215" t="str">
        <f t="shared" ref="B819" si="328">B796</f>
        <v>4구간</v>
      </c>
      <c r="C819" s="1292">
        <f>CO보정계수!AD38</f>
        <v>0.75</v>
      </c>
      <c r="D819" s="1293">
        <f>CO보정계수!AE38</f>
        <v>0.9</v>
      </c>
      <c r="E819" s="1293">
        <f>CO보정계수!AF38</f>
        <v>1</v>
      </c>
      <c r="F819" s="1293">
        <f>CO보정계수!AG38</f>
        <v>1</v>
      </c>
      <c r="G819" s="1293">
        <f>CO보정계수!AH38</f>
        <v>1.05</v>
      </c>
      <c r="H819" s="1293">
        <f>CO보정계수!AI38</f>
        <v>1.05</v>
      </c>
      <c r="I819" s="1303">
        <f>CO보정계수!AJ38</f>
        <v>1.1499999999999999</v>
      </c>
      <c r="J819" s="1294">
        <f>CO보정계수!AK38</f>
        <v>1.25</v>
      </c>
    </row>
    <row r="820" spans="1:10" ht="17.100000000000001" customHeight="1">
      <c r="A820" s="479"/>
      <c r="B820" s="215" t="str">
        <f t="shared" ref="B820" si="329">B797</f>
        <v>5구간</v>
      </c>
      <c r="C820" s="1292">
        <f>CO보정계수!AD39</f>
        <v>0.75</v>
      </c>
      <c r="D820" s="1293">
        <f>CO보정계수!AE39</f>
        <v>0.9</v>
      </c>
      <c r="E820" s="1293">
        <f>CO보정계수!AF39</f>
        <v>1</v>
      </c>
      <c r="F820" s="1293">
        <f>CO보정계수!AG39</f>
        <v>1</v>
      </c>
      <c r="G820" s="1293">
        <f>CO보정계수!AH39</f>
        <v>1.05</v>
      </c>
      <c r="H820" s="1293">
        <f>CO보정계수!AI39</f>
        <v>1.05</v>
      </c>
      <c r="I820" s="1303">
        <f>CO보정계수!AJ39</f>
        <v>1.1499999999999999</v>
      </c>
      <c r="J820" s="1294">
        <f>CO보정계수!AK39</f>
        <v>1.25</v>
      </c>
    </row>
    <row r="821" spans="1:10" ht="17.100000000000001" customHeight="1">
      <c r="A821" s="479"/>
      <c r="B821" s="442" t="str">
        <f t="shared" ref="B821" si="330">B798</f>
        <v>6구간</v>
      </c>
      <c r="C821" s="1292">
        <f>CO보정계수!AD40</f>
        <v>0.75</v>
      </c>
      <c r="D821" s="1293">
        <f>CO보정계수!AE40</f>
        <v>0.9</v>
      </c>
      <c r="E821" s="1293">
        <f>CO보정계수!AF40</f>
        <v>1</v>
      </c>
      <c r="F821" s="1293">
        <f>CO보정계수!AG40</f>
        <v>1</v>
      </c>
      <c r="G821" s="1293">
        <f>CO보정계수!AH40</f>
        <v>1.05</v>
      </c>
      <c r="H821" s="1293">
        <f>CO보정계수!AI40</f>
        <v>1.05</v>
      </c>
      <c r="I821" s="1303">
        <f>CO보정계수!AJ40</f>
        <v>1.1499999999999999</v>
      </c>
      <c r="J821" s="1294">
        <f>CO보정계수!AK40</f>
        <v>1.25</v>
      </c>
    </row>
    <row r="822" spans="1:10" ht="17.100000000000001" customHeight="1">
      <c r="A822" s="479"/>
      <c r="B822" s="215" t="str">
        <f t="shared" ref="B822" si="331">B799</f>
        <v>7구간</v>
      </c>
      <c r="C822" s="1292">
        <f>CO보정계수!AD41</f>
        <v>0.75</v>
      </c>
      <c r="D822" s="1293">
        <f>CO보정계수!AE41</f>
        <v>0.9</v>
      </c>
      <c r="E822" s="1293">
        <f>CO보정계수!AF41</f>
        <v>1</v>
      </c>
      <c r="F822" s="1293">
        <f>CO보정계수!AG41</f>
        <v>1</v>
      </c>
      <c r="G822" s="1293">
        <f>CO보정계수!AH41</f>
        <v>1.05</v>
      </c>
      <c r="H822" s="1293">
        <f>CO보정계수!AI41</f>
        <v>1.05</v>
      </c>
      <c r="I822" s="1303">
        <f>CO보정계수!AJ41</f>
        <v>1.1499999999999999</v>
      </c>
      <c r="J822" s="1294">
        <f>CO보정계수!AK41</f>
        <v>1.25</v>
      </c>
    </row>
    <row r="823" spans="1:10" ht="17.100000000000001" customHeight="1">
      <c r="A823" s="479"/>
      <c r="B823" s="442" t="str">
        <f t="shared" ref="B823" si="332">B800</f>
        <v>8구간</v>
      </c>
      <c r="C823" s="1292">
        <f>CO보정계수!AD42</f>
        <v>0.75</v>
      </c>
      <c r="D823" s="1293">
        <f>CO보정계수!AE42</f>
        <v>0.9</v>
      </c>
      <c r="E823" s="1293">
        <f>CO보정계수!AF42</f>
        <v>1</v>
      </c>
      <c r="F823" s="1293">
        <f>CO보정계수!AG42</f>
        <v>1</v>
      </c>
      <c r="G823" s="1293">
        <f>CO보정계수!AH42</f>
        <v>1.05</v>
      </c>
      <c r="H823" s="1303">
        <f>CO보정계수!AI42</f>
        <v>1.05</v>
      </c>
      <c r="I823" s="1303">
        <f>CO보정계수!AJ42</f>
        <v>1.1499999999999999</v>
      </c>
      <c r="J823" s="1304">
        <f>CO보정계수!AK42</f>
        <v>1.25</v>
      </c>
    </row>
    <row r="824" spans="1:10" ht="17.100000000000001" customHeight="1">
      <c r="A824" s="479"/>
      <c r="B824" s="215" t="str">
        <f t="shared" ref="B824" si="333">B801</f>
        <v>9구간</v>
      </c>
      <c r="C824" s="1292">
        <f>CO보정계수!AD43</f>
        <v>0.75</v>
      </c>
      <c r="D824" s="1293">
        <f>CO보정계수!AE43</f>
        <v>0.9</v>
      </c>
      <c r="E824" s="1293">
        <f>CO보정계수!AF43</f>
        <v>1</v>
      </c>
      <c r="F824" s="1293">
        <f>CO보정계수!AG43</f>
        <v>1</v>
      </c>
      <c r="G824" s="1293">
        <f>CO보정계수!AH43</f>
        <v>1.05</v>
      </c>
      <c r="H824" s="1293">
        <f>CO보정계수!AI43</f>
        <v>1.05</v>
      </c>
      <c r="I824" s="1303">
        <f>CO보정계수!AJ43</f>
        <v>1.1499999999999999</v>
      </c>
      <c r="J824" s="1294">
        <f>CO보정계수!AK43</f>
        <v>1.25</v>
      </c>
    </row>
    <row r="825" spans="1:10" ht="17.100000000000001" customHeight="1" thickBot="1">
      <c r="A825" s="486"/>
      <c r="B825" s="88" t="str">
        <f t="shared" ref="B825" si="334">B802</f>
        <v>10구간</v>
      </c>
      <c r="C825" s="1305">
        <f>CO보정계수!AD44</f>
        <v>0.75</v>
      </c>
      <c r="D825" s="1306">
        <f>CO보정계수!AE44</f>
        <v>0.9</v>
      </c>
      <c r="E825" s="1306">
        <f>CO보정계수!AF44</f>
        <v>1</v>
      </c>
      <c r="F825" s="1306">
        <f>CO보정계수!AG44</f>
        <v>1</v>
      </c>
      <c r="G825" s="1306">
        <f>CO보정계수!AH44</f>
        <v>1.05</v>
      </c>
      <c r="H825" s="1306">
        <f>CO보정계수!AI44</f>
        <v>1.05</v>
      </c>
      <c r="I825" s="531">
        <f>CO보정계수!AJ44</f>
        <v>1.1499999999999999</v>
      </c>
      <c r="J825" s="532">
        <f>CO보정계수!AK44</f>
        <v>1.25</v>
      </c>
    </row>
    <row r="826" spans="1:10">
      <c r="A826" s="475"/>
      <c r="B826" s="89"/>
      <c r="C826" s="433"/>
      <c r="D826" s="433"/>
      <c r="E826" s="433"/>
      <c r="F826" s="433"/>
      <c r="G826" s="433"/>
      <c r="H826" s="433"/>
      <c r="I826" s="433"/>
      <c r="J826" s="433"/>
    </row>
    <row r="827" spans="1:10" ht="14.25" thickBot="1">
      <c r="A827" s="70" t="s">
        <v>963</v>
      </c>
      <c r="B827" s="390"/>
      <c r="C827" s="390"/>
      <c r="D827" s="390"/>
      <c r="E827" s="390"/>
      <c r="F827" s="390"/>
      <c r="G827" s="390"/>
      <c r="H827" s="390"/>
      <c r="I827" s="85"/>
      <c r="J827" s="86"/>
    </row>
    <row r="828" spans="1:10" ht="17.100000000000001" customHeight="1">
      <c r="A828" s="1314" t="s">
        <v>189</v>
      </c>
      <c r="B828" s="1313"/>
      <c r="C828" s="1312">
        <v>10</v>
      </c>
      <c r="D828" s="467">
        <v>20</v>
      </c>
      <c r="E828" s="467">
        <v>30</v>
      </c>
      <c r="F828" s="467">
        <v>40</v>
      </c>
      <c r="G828" s="467">
        <v>50</v>
      </c>
      <c r="H828" s="467">
        <v>60</v>
      </c>
      <c r="I828" s="467">
        <v>70</v>
      </c>
      <c r="J828" s="468">
        <v>80</v>
      </c>
    </row>
    <row r="829" spans="1:10" ht="17.100000000000001" customHeight="1">
      <c r="A829" s="479" t="str">
        <f>A806</f>
        <v>진주</v>
      </c>
      <c r="B829" s="442" t="str">
        <f>B806</f>
        <v>1구간</v>
      </c>
      <c r="C829" s="1292">
        <f>CO보정계수!S49</f>
        <v>0.78100000000000003</v>
      </c>
      <c r="D829" s="1293">
        <f>CO보정계수!T49</f>
        <v>0.82899999999999996</v>
      </c>
      <c r="E829" s="1293">
        <f>CO보정계수!U49</f>
        <v>0.88800000000000001</v>
      </c>
      <c r="F829" s="1293">
        <f>CO보정계수!V49</f>
        <v>1</v>
      </c>
      <c r="G829" s="1293">
        <f>CO보정계수!W49</f>
        <v>1.093</v>
      </c>
      <c r="H829" s="1293">
        <f>CO보정계수!X49</f>
        <v>1.2969999999999999</v>
      </c>
      <c r="I829" s="1293">
        <f>CO보정계수!Y49</f>
        <v>1.498</v>
      </c>
      <c r="J829" s="1294">
        <f>CO보정계수!Z49</f>
        <v>1.7030000000000001</v>
      </c>
    </row>
    <row r="830" spans="1:10" ht="17.100000000000001" customHeight="1">
      <c r="A830" s="1315" t="str">
        <f t="shared" ref="A830:B838" si="335">A807</f>
        <v>방향</v>
      </c>
      <c r="B830" s="215" t="str">
        <f t="shared" si="335"/>
        <v>2구간</v>
      </c>
      <c r="C830" s="1295">
        <f>CO보정계수!S50</f>
        <v>0.78100000000000003</v>
      </c>
      <c r="D830" s="1296">
        <f>CO보정계수!T50</f>
        <v>0.82899999999999996</v>
      </c>
      <c r="E830" s="1296">
        <f>CO보정계수!U50</f>
        <v>0.88800000000000001</v>
      </c>
      <c r="F830" s="1296">
        <f>CO보정계수!V50</f>
        <v>1</v>
      </c>
      <c r="G830" s="1296">
        <f>CO보정계수!W50</f>
        <v>1.093</v>
      </c>
      <c r="H830" s="1296">
        <f>CO보정계수!X50</f>
        <v>1.2969999999999999</v>
      </c>
      <c r="I830" s="1296">
        <f>CO보정계수!Y50</f>
        <v>1.498</v>
      </c>
      <c r="J830" s="1297">
        <f>CO보정계수!Z50</f>
        <v>1.7030000000000001</v>
      </c>
    </row>
    <row r="831" spans="1:10" ht="17.100000000000001" customHeight="1">
      <c r="A831" s="479"/>
      <c r="B831" s="442" t="str">
        <f t="shared" si="335"/>
        <v>3구간</v>
      </c>
      <c r="C831" s="1295">
        <f>CO보정계수!S51</f>
        <v>0.78100000000000003</v>
      </c>
      <c r="D831" s="1296">
        <f>CO보정계수!T51</f>
        <v>0.82899999999999996</v>
      </c>
      <c r="E831" s="1296">
        <f>CO보정계수!U51</f>
        <v>0.88800000000000001</v>
      </c>
      <c r="F831" s="1296">
        <f>CO보정계수!V51</f>
        <v>1</v>
      </c>
      <c r="G831" s="1296">
        <f>CO보정계수!W51</f>
        <v>1.093</v>
      </c>
      <c r="H831" s="1296">
        <f>CO보정계수!X51</f>
        <v>1.2969999999999999</v>
      </c>
      <c r="I831" s="1296">
        <f>CO보정계수!Y51</f>
        <v>1.498</v>
      </c>
      <c r="J831" s="1297">
        <f>CO보정계수!Z51</f>
        <v>1.7030000000000001</v>
      </c>
    </row>
    <row r="832" spans="1:10" ht="17.100000000000001" customHeight="1">
      <c r="A832" s="479"/>
      <c r="B832" s="215" t="str">
        <f t="shared" si="335"/>
        <v>4구간</v>
      </c>
      <c r="C832" s="1295">
        <f>CO보정계수!S52</f>
        <v>0.78100000000000003</v>
      </c>
      <c r="D832" s="1296">
        <f>CO보정계수!T52</f>
        <v>0.82899999999999996</v>
      </c>
      <c r="E832" s="1296">
        <f>CO보정계수!U52</f>
        <v>0.88800000000000001</v>
      </c>
      <c r="F832" s="1296">
        <f>CO보정계수!V52</f>
        <v>1</v>
      </c>
      <c r="G832" s="1296">
        <f>CO보정계수!W52</f>
        <v>1.093</v>
      </c>
      <c r="H832" s="1296">
        <f>CO보정계수!X52</f>
        <v>1.2969999999999999</v>
      </c>
      <c r="I832" s="1296">
        <f>CO보정계수!Y52</f>
        <v>1.498</v>
      </c>
      <c r="J832" s="1297">
        <f>CO보정계수!Z52</f>
        <v>1.7030000000000001</v>
      </c>
    </row>
    <row r="833" spans="1:10" ht="17.100000000000001" customHeight="1">
      <c r="A833" s="1315"/>
      <c r="B833" s="215" t="str">
        <f t="shared" si="335"/>
        <v>5구간</v>
      </c>
      <c r="C833" s="1295">
        <f>CO보정계수!S53</f>
        <v>0.78100000000000003</v>
      </c>
      <c r="D833" s="1296">
        <f>CO보정계수!T53</f>
        <v>0.82899999999999996</v>
      </c>
      <c r="E833" s="1296">
        <f>CO보정계수!U53</f>
        <v>0.88800000000000001</v>
      </c>
      <c r="F833" s="1296">
        <f>CO보정계수!V53</f>
        <v>1</v>
      </c>
      <c r="G833" s="1296">
        <f>CO보정계수!W53</f>
        <v>1.093</v>
      </c>
      <c r="H833" s="1296">
        <f>CO보정계수!X53</f>
        <v>1.2969999999999999</v>
      </c>
      <c r="I833" s="1298">
        <f>CO보정계수!Y53</f>
        <v>1.498</v>
      </c>
      <c r="J833" s="1297">
        <f>CO보정계수!Z53</f>
        <v>1.7030000000000001</v>
      </c>
    </row>
    <row r="834" spans="1:10" ht="17.100000000000001" customHeight="1">
      <c r="A834" s="479"/>
      <c r="B834" s="442" t="str">
        <f t="shared" si="335"/>
        <v>6구간</v>
      </c>
      <c r="C834" s="1295">
        <f>CO보정계수!S54</f>
        <v>0.78100000000000003</v>
      </c>
      <c r="D834" s="1296">
        <f>CO보정계수!T54</f>
        <v>0.82899999999999996</v>
      </c>
      <c r="E834" s="1296">
        <f>CO보정계수!U54</f>
        <v>0.88800000000000001</v>
      </c>
      <c r="F834" s="1296">
        <f>CO보정계수!V54</f>
        <v>1</v>
      </c>
      <c r="G834" s="1296">
        <f>CO보정계수!W54</f>
        <v>1.093</v>
      </c>
      <c r="H834" s="1296">
        <f>CO보정계수!X54</f>
        <v>1.2969999999999999</v>
      </c>
      <c r="I834" s="1296">
        <f>CO보정계수!Y54</f>
        <v>1.498</v>
      </c>
      <c r="J834" s="1297">
        <f>CO보정계수!Z54</f>
        <v>1.7030000000000001</v>
      </c>
    </row>
    <row r="835" spans="1:10" ht="17.100000000000001" customHeight="1">
      <c r="A835" s="1315"/>
      <c r="B835" s="215" t="str">
        <f t="shared" si="335"/>
        <v>7구간</v>
      </c>
      <c r="C835" s="1295">
        <f>CO보정계수!S55</f>
        <v>0.78100000000000003</v>
      </c>
      <c r="D835" s="1296">
        <f>CO보정계수!T55</f>
        <v>0.82899999999999996</v>
      </c>
      <c r="E835" s="1296">
        <f>CO보정계수!U55</f>
        <v>0.88800000000000001</v>
      </c>
      <c r="F835" s="1296">
        <f>CO보정계수!V55</f>
        <v>1</v>
      </c>
      <c r="G835" s="1296">
        <f>CO보정계수!W55</f>
        <v>1.093</v>
      </c>
      <c r="H835" s="1296">
        <f>CO보정계수!X55</f>
        <v>1.2969999999999999</v>
      </c>
      <c r="I835" s="1296">
        <f>CO보정계수!Y55</f>
        <v>1.498</v>
      </c>
      <c r="J835" s="1297">
        <f>CO보정계수!Z55</f>
        <v>1.7030000000000001</v>
      </c>
    </row>
    <row r="836" spans="1:10" ht="17.100000000000001" customHeight="1">
      <c r="A836" s="479"/>
      <c r="B836" s="442" t="str">
        <f t="shared" si="335"/>
        <v>8구간</v>
      </c>
      <c r="C836" s="1295">
        <f>CO보정계수!S56</f>
        <v>0.78100000000000003</v>
      </c>
      <c r="D836" s="1296">
        <f>CO보정계수!T56</f>
        <v>0.82899999999999996</v>
      </c>
      <c r="E836" s="1296">
        <f>CO보정계수!U56</f>
        <v>0.88800000000000001</v>
      </c>
      <c r="F836" s="1296">
        <f>CO보정계수!V56</f>
        <v>1</v>
      </c>
      <c r="G836" s="1296">
        <f>CO보정계수!W56</f>
        <v>1.093</v>
      </c>
      <c r="H836" s="1296">
        <f>CO보정계수!X56</f>
        <v>1.2969999999999999</v>
      </c>
      <c r="I836" s="1296">
        <f>CO보정계수!Y56</f>
        <v>1.498</v>
      </c>
      <c r="J836" s="1297">
        <f>CO보정계수!Z56</f>
        <v>1.7030000000000001</v>
      </c>
    </row>
    <row r="837" spans="1:10" ht="17.100000000000001" customHeight="1">
      <c r="A837" s="479"/>
      <c r="B837" s="215" t="str">
        <f t="shared" si="335"/>
        <v>9구간</v>
      </c>
      <c r="C837" s="1295">
        <f>CO보정계수!S57</f>
        <v>0.78100000000000003</v>
      </c>
      <c r="D837" s="1296">
        <f>CO보정계수!T57</f>
        <v>0.82899999999999996</v>
      </c>
      <c r="E837" s="1296">
        <f>CO보정계수!U57</f>
        <v>0.88800000000000001</v>
      </c>
      <c r="F837" s="1296">
        <f>CO보정계수!V57</f>
        <v>1</v>
      </c>
      <c r="G837" s="1296">
        <f>CO보정계수!W57</f>
        <v>1.093</v>
      </c>
      <c r="H837" s="1296">
        <f>CO보정계수!X57</f>
        <v>1.2969999999999999</v>
      </c>
      <c r="I837" s="1296">
        <f>CO보정계수!Y57</f>
        <v>1.498</v>
      </c>
      <c r="J837" s="1297">
        <f>CO보정계수!Z57</f>
        <v>1.7030000000000001</v>
      </c>
    </row>
    <row r="838" spans="1:10" ht="17.100000000000001" customHeight="1">
      <c r="A838" s="479"/>
      <c r="B838" s="215" t="str">
        <f t="shared" si="335"/>
        <v>10구간</v>
      </c>
      <c r="C838" s="1295">
        <f>CO보정계수!S58</f>
        <v>0.78100000000000003</v>
      </c>
      <c r="D838" s="1296">
        <f>CO보정계수!T58</f>
        <v>0.82899999999999996</v>
      </c>
      <c r="E838" s="1296">
        <f>CO보정계수!U58</f>
        <v>0.88800000000000001</v>
      </c>
      <c r="F838" s="1296">
        <f>CO보정계수!V58</f>
        <v>1</v>
      </c>
      <c r="G838" s="1296">
        <f>CO보정계수!W58</f>
        <v>1.093</v>
      </c>
      <c r="H838" s="1296">
        <f>CO보정계수!X58</f>
        <v>1.2969999999999999</v>
      </c>
      <c r="I838" s="1296">
        <f>CO보정계수!Y58</f>
        <v>1.498</v>
      </c>
      <c r="J838" s="1297">
        <f>CO보정계수!Z58</f>
        <v>1.7030000000000001</v>
      </c>
    </row>
    <row r="839" spans="1:10" ht="17.100000000000001" customHeight="1">
      <c r="A839" s="1251" t="str">
        <f t="shared" ref="A839:B839" si="336">A816</f>
        <v>마산</v>
      </c>
      <c r="B839" s="1318" t="str">
        <f t="shared" si="336"/>
        <v>1구간</v>
      </c>
      <c r="C839" s="1299">
        <f>CO보정계수!AD49</f>
        <v>0.88982400000000006</v>
      </c>
      <c r="D839" s="1300">
        <f>CO보정계수!AE49</f>
        <v>0.95833999999999997</v>
      </c>
      <c r="E839" s="1300">
        <f>CO보정계수!AF49</f>
        <v>1.111</v>
      </c>
      <c r="F839" s="1300">
        <f>CO보정계수!AG49</f>
        <v>1.3452040000000001</v>
      </c>
      <c r="G839" s="1300">
        <f>CO보정계수!AH49</f>
        <v>1.5505960000000001</v>
      </c>
      <c r="H839" s="1300">
        <f>CO보정계수!AI49</f>
        <v>1.9071280000000002</v>
      </c>
      <c r="I839" s="1301">
        <f>CO보정계수!AJ49</f>
        <v>2.254416</v>
      </c>
      <c r="J839" s="1302">
        <f>CO보정계수!AK49</f>
        <v>2.6146240000000001</v>
      </c>
    </row>
    <row r="840" spans="1:10" ht="17.100000000000001" customHeight="1">
      <c r="A840" s="479" t="str">
        <f t="shared" ref="A840:B848" si="337">A817</f>
        <v>방향</v>
      </c>
      <c r="B840" s="215" t="str">
        <f t="shared" si="337"/>
        <v>2구간</v>
      </c>
      <c r="C840" s="1292">
        <f>CO보정계수!AD50</f>
        <v>0.78100000000000003</v>
      </c>
      <c r="D840" s="1293">
        <f>CO보정계수!AE50</f>
        <v>0.82899999999999996</v>
      </c>
      <c r="E840" s="1293">
        <f>CO보정계수!AF50</f>
        <v>0.88800000000000001</v>
      </c>
      <c r="F840" s="1293">
        <f>CO보정계수!AG50</f>
        <v>1</v>
      </c>
      <c r="G840" s="1293">
        <f>CO보정계수!AH50</f>
        <v>1.093</v>
      </c>
      <c r="H840" s="1293">
        <f>CO보정계수!AI50</f>
        <v>1.2969999999999999</v>
      </c>
      <c r="I840" s="1303">
        <f>CO보정계수!AJ50</f>
        <v>1.498</v>
      </c>
      <c r="J840" s="1294">
        <f>CO보정계수!AK50</f>
        <v>1.7030000000000001</v>
      </c>
    </row>
    <row r="841" spans="1:10" ht="17.100000000000001" customHeight="1">
      <c r="A841" s="479"/>
      <c r="B841" s="442" t="str">
        <f t="shared" si="337"/>
        <v>3구간</v>
      </c>
      <c r="C841" s="1292">
        <f>CO보정계수!AD51</f>
        <v>0.78100000000000003</v>
      </c>
      <c r="D841" s="1293">
        <f>CO보정계수!AE51</f>
        <v>0.82899999999999996</v>
      </c>
      <c r="E841" s="1293">
        <f>CO보정계수!AF51</f>
        <v>0.88800000000000001</v>
      </c>
      <c r="F841" s="1293">
        <f>CO보정계수!AG51</f>
        <v>1</v>
      </c>
      <c r="G841" s="1293">
        <f>CO보정계수!AH51</f>
        <v>1.093</v>
      </c>
      <c r="H841" s="1303">
        <f>CO보정계수!AI51</f>
        <v>1.2969999999999999</v>
      </c>
      <c r="I841" s="1303">
        <f>CO보정계수!AJ51</f>
        <v>1.498</v>
      </c>
      <c r="J841" s="1304">
        <f>CO보정계수!AK51</f>
        <v>1.7030000000000001</v>
      </c>
    </row>
    <row r="842" spans="1:10" ht="17.100000000000001" customHeight="1">
      <c r="A842" s="479"/>
      <c r="B842" s="215" t="str">
        <f t="shared" si="337"/>
        <v>4구간</v>
      </c>
      <c r="C842" s="1292">
        <f>CO보정계수!AD52</f>
        <v>0.78100000000000003</v>
      </c>
      <c r="D842" s="1293">
        <f>CO보정계수!AE52</f>
        <v>0.82899999999999996</v>
      </c>
      <c r="E842" s="1293">
        <f>CO보정계수!AF52</f>
        <v>0.88800000000000001</v>
      </c>
      <c r="F842" s="1293">
        <f>CO보정계수!AG52</f>
        <v>1</v>
      </c>
      <c r="G842" s="1293">
        <f>CO보정계수!AH52</f>
        <v>1.093</v>
      </c>
      <c r="H842" s="1293">
        <f>CO보정계수!AI52</f>
        <v>1.2969999999999999</v>
      </c>
      <c r="I842" s="1303">
        <f>CO보정계수!AJ52</f>
        <v>1.498</v>
      </c>
      <c r="J842" s="1294">
        <f>CO보정계수!AK52</f>
        <v>1.7030000000000001</v>
      </c>
    </row>
    <row r="843" spans="1:10" ht="17.100000000000001" customHeight="1">
      <c r="A843" s="479"/>
      <c r="B843" s="215" t="str">
        <f t="shared" si="337"/>
        <v>5구간</v>
      </c>
      <c r="C843" s="1292">
        <f>CO보정계수!AD53</f>
        <v>0.78100000000000003</v>
      </c>
      <c r="D843" s="1293">
        <f>CO보정계수!AE53</f>
        <v>0.82899999999999996</v>
      </c>
      <c r="E843" s="1293">
        <f>CO보정계수!AF53</f>
        <v>0.88800000000000001</v>
      </c>
      <c r="F843" s="1293">
        <f>CO보정계수!AG53</f>
        <v>1</v>
      </c>
      <c r="G843" s="1293">
        <f>CO보정계수!AH53</f>
        <v>1.093</v>
      </c>
      <c r="H843" s="1293">
        <f>CO보정계수!AI53</f>
        <v>1.2969999999999999</v>
      </c>
      <c r="I843" s="1303">
        <f>CO보정계수!AJ53</f>
        <v>1.498</v>
      </c>
      <c r="J843" s="1294">
        <f>CO보정계수!AK53</f>
        <v>1.7030000000000001</v>
      </c>
    </row>
    <row r="844" spans="1:10" ht="17.100000000000001" customHeight="1">
      <c r="A844" s="479"/>
      <c r="B844" s="442" t="str">
        <f t="shared" si="337"/>
        <v>6구간</v>
      </c>
      <c r="C844" s="1292">
        <f>CO보정계수!AD54</f>
        <v>0.78100000000000003</v>
      </c>
      <c r="D844" s="1293">
        <f>CO보정계수!AE54</f>
        <v>0.82899999999999996</v>
      </c>
      <c r="E844" s="1293">
        <f>CO보정계수!AF54</f>
        <v>0.88800000000000001</v>
      </c>
      <c r="F844" s="1293">
        <f>CO보정계수!AG54</f>
        <v>1</v>
      </c>
      <c r="G844" s="1293">
        <f>CO보정계수!AH54</f>
        <v>1.093</v>
      </c>
      <c r="H844" s="1293">
        <f>CO보정계수!AI54</f>
        <v>1.2969999999999999</v>
      </c>
      <c r="I844" s="1303">
        <f>CO보정계수!AJ54</f>
        <v>1.498</v>
      </c>
      <c r="J844" s="1294">
        <f>CO보정계수!AK54</f>
        <v>1.7030000000000001</v>
      </c>
    </row>
    <row r="845" spans="1:10" ht="17.100000000000001" customHeight="1">
      <c r="A845" s="479"/>
      <c r="B845" s="215" t="str">
        <f t="shared" si="337"/>
        <v>7구간</v>
      </c>
      <c r="C845" s="1292">
        <f>CO보정계수!AD55</f>
        <v>0.78100000000000003</v>
      </c>
      <c r="D845" s="1293">
        <f>CO보정계수!AE55</f>
        <v>0.82899999999999996</v>
      </c>
      <c r="E845" s="1293">
        <f>CO보정계수!AF55</f>
        <v>0.88800000000000001</v>
      </c>
      <c r="F845" s="1293">
        <f>CO보정계수!AG55</f>
        <v>1</v>
      </c>
      <c r="G845" s="1293">
        <f>CO보정계수!AH55</f>
        <v>1.093</v>
      </c>
      <c r="H845" s="1293">
        <f>CO보정계수!AI55</f>
        <v>1.2969999999999999</v>
      </c>
      <c r="I845" s="1303">
        <f>CO보정계수!AJ55</f>
        <v>1.498</v>
      </c>
      <c r="J845" s="1294">
        <f>CO보정계수!AK55</f>
        <v>1.7030000000000001</v>
      </c>
    </row>
    <row r="846" spans="1:10" ht="17.100000000000001" customHeight="1">
      <c r="A846" s="479"/>
      <c r="B846" s="442" t="str">
        <f t="shared" si="337"/>
        <v>8구간</v>
      </c>
      <c r="C846" s="1292">
        <f>CO보정계수!AD56</f>
        <v>0.78100000000000003</v>
      </c>
      <c r="D846" s="1293">
        <f>CO보정계수!AE56</f>
        <v>0.82899999999999996</v>
      </c>
      <c r="E846" s="1293">
        <f>CO보정계수!AF56</f>
        <v>0.88800000000000001</v>
      </c>
      <c r="F846" s="1293">
        <f>CO보정계수!AG56</f>
        <v>1</v>
      </c>
      <c r="G846" s="1293">
        <f>CO보정계수!AH56</f>
        <v>1.093</v>
      </c>
      <c r="H846" s="1303">
        <f>CO보정계수!AI56</f>
        <v>1.2969999999999999</v>
      </c>
      <c r="I846" s="1303">
        <f>CO보정계수!AJ56</f>
        <v>1.498</v>
      </c>
      <c r="J846" s="1304">
        <f>CO보정계수!AK56</f>
        <v>1.7030000000000001</v>
      </c>
    </row>
    <row r="847" spans="1:10" ht="17.100000000000001" customHeight="1">
      <c r="A847" s="479"/>
      <c r="B847" s="215" t="str">
        <f t="shared" si="337"/>
        <v>9구간</v>
      </c>
      <c r="C847" s="1292">
        <f>CO보정계수!AD57</f>
        <v>0.78100000000000003</v>
      </c>
      <c r="D847" s="1293">
        <f>CO보정계수!AE57</f>
        <v>0.82899999999999996</v>
      </c>
      <c r="E847" s="1293">
        <f>CO보정계수!AF57</f>
        <v>0.88800000000000001</v>
      </c>
      <c r="F847" s="1293">
        <f>CO보정계수!AG57</f>
        <v>1</v>
      </c>
      <c r="G847" s="1293">
        <f>CO보정계수!AH57</f>
        <v>1.093</v>
      </c>
      <c r="H847" s="1293">
        <f>CO보정계수!AI57</f>
        <v>1.2969999999999999</v>
      </c>
      <c r="I847" s="1303">
        <f>CO보정계수!AJ57</f>
        <v>1.498</v>
      </c>
      <c r="J847" s="1294">
        <f>CO보정계수!AK57</f>
        <v>1.7030000000000001</v>
      </c>
    </row>
    <row r="848" spans="1:10" ht="17.100000000000001" customHeight="1" thickBot="1">
      <c r="A848" s="486"/>
      <c r="B848" s="88" t="str">
        <f t="shared" si="337"/>
        <v>10구간</v>
      </c>
      <c r="C848" s="1305">
        <f>CO보정계수!AD58</f>
        <v>0.78100000000000003</v>
      </c>
      <c r="D848" s="1306">
        <f>CO보정계수!AE58</f>
        <v>0.82899999999999996</v>
      </c>
      <c r="E848" s="1306">
        <f>CO보정계수!AF58</f>
        <v>0.88800000000000001</v>
      </c>
      <c r="F848" s="1306">
        <f>CO보정계수!AG58</f>
        <v>1</v>
      </c>
      <c r="G848" s="1306">
        <f>CO보정계수!AH58</f>
        <v>1.093</v>
      </c>
      <c r="H848" s="1306">
        <f>CO보정계수!AI58</f>
        <v>1.2969999999999999</v>
      </c>
      <c r="I848" s="531">
        <f>CO보정계수!AJ58</f>
        <v>1.498</v>
      </c>
      <c r="J848" s="532">
        <f>CO보정계수!AK58</f>
        <v>1.7030000000000001</v>
      </c>
    </row>
    <row r="849" spans="1:12" ht="17.25" customHeight="1"/>
    <row r="850" spans="1:12" ht="18" customHeight="1" thickBot="1">
      <c r="A850" s="92" t="s">
        <v>80</v>
      </c>
    </row>
    <row r="851" spans="1:12" ht="18" customHeight="1">
      <c r="A851" s="1455" t="s">
        <v>322</v>
      </c>
      <c r="B851" s="1453"/>
      <c r="C851" s="1316" t="s">
        <v>2</v>
      </c>
      <c r="D851" s="720" t="s">
        <v>3</v>
      </c>
      <c r="E851" s="720" t="s">
        <v>878</v>
      </c>
      <c r="F851" s="720" t="s">
        <v>879</v>
      </c>
      <c r="G851" s="720" t="s">
        <v>881</v>
      </c>
      <c r="H851" s="1317" t="s">
        <v>883</v>
      </c>
      <c r="I851" s="720" t="s">
        <v>885</v>
      </c>
      <c r="J851" s="720" t="s">
        <v>887</v>
      </c>
      <c r="K851" s="720" t="s">
        <v>888</v>
      </c>
      <c r="L851" s="1319" t="s">
        <v>889</v>
      </c>
    </row>
    <row r="852" spans="1:12" ht="18" customHeight="1">
      <c r="A852" s="722" t="s">
        <v>972</v>
      </c>
      <c r="B852" s="723" t="s">
        <v>967</v>
      </c>
      <c r="C852" s="725">
        <f t="shared" ref="C852:L852" si="338">B203</f>
        <v>1</v>
      </c>
      <c r="D852" s="726">
        <f t="shared" si="338"/>
        <v>1</v>
      </c>
      <c r="E852" s="726">
        <f t="shared" si="338"/>
        <v>1</v>
      </c>
      <c r="F852" s="726">
        <f t="shared" si="338"/>
        <v>1</v>
      </c>
      <c r="G852" s="726">
        <f t="shared" si="338"/>
        <v>1</v>
      </c>
      <c r="H852" s="1375">
        <f t="shared" si="338"/>
        <v>1</v>
      </c>
      <c r="I852" s="726">
        <f t="shared" si="338"/>
        <v>1</v>
      </c>
      <c r="J852" s="726">
        <f t="shared" si="338"/>
        <v>1</v>
      </c>
      <c r="K852" s="726">
        <f t="shared" si="338"/>
        <v>1</v>
      </c>
      <c r="L852" s="727">
        <f t="shared" si="338"/>
        <v>1</v>
      </c>
    </row>
    <row r="853" spans="1:12" ht="18" customHeight="1" thickBot="1">
      <c r="A853" s="1370" t="s">
        <v>973</v>
      </c>
      <c r="B853" s="1371" t="s">
        <v>967</v>
      </c>
      <c r="C853" s="1372">
        <f t="shared" ref="C853:L853" si="339">B205</f>
        <v>1</v>
      </c>
      <c r="D853" s="1373">
        <f t="shared" si="339"/>
        <v>1</v>
      </c>
      <c r="E853" s="1373">
        <f t="shared" si="339"/>
        <v>1</v>
      </c>
      <c r="F853" s="1373">
        <f t="shared" si="339"/>
        <v>1</v>
      </c>
      <c r="G853" s="1373">
        <f t="shared" si="339"/>
        <v>1</v>
      </c>
      <c r="H853" s="1376">
        <f t="shared" si="339"/>
        <v>1</v>
      </c>
      <c r="I853" s="1373">
        <f t="shared" si="339"/>
        <v>1</v>
      </c>
      <c r="J853" s="1373">
        <f t="shared" si="339"/>
        <v>1</v>
      </c>
      <c r="K853" s="1373">
        <f t="shared" si="339"/>
        <v>1</v>
      </c>
      <c r="L853" s="1374">
        <f t="shared" si="339"/>
        <v>1</v>
      </c>
    </row>
    <row r="854" spans="1:12" ht="18" customHeight="1">
      <c r="A854" s="510"/>
      <c r="B854" s="510"/>
      <c r="C854" s="1369"/>
      <c r="D854" s="1369"/>
      <c r="E854" s="1369"/>
      <c r="F854" s="1369"/>
      <c r="G854" s="1369"/>
    </row>
    <row r="855" spans="1:12" ht="17.100000000000001" customHeight="1" thickBot="1">
      <c r="A855" s="200" t="s">
        <v>971</v>
      </c>
      <c r="B855" s="475"/>
      <c r="C855" s="430"/>
      <c r="D855" s="430"/>
      <c r="E855" s="648"/>
      <c r="F855" s="648"/>
      <c r="G855" s="430"/>
      <c r="H855" s="430"/>
      <c r="I855" s="430"/>
      <c r="J855" s="430"/>
    </row>
    <row r="856" spans="1:12" ht="17.100000000000001" customHeight="1" thickBot="1">
      <c r="A856" s="475"/>
      <c r="B856" s="475"/>
      <c r="C856" s="430"/>
      <c r="D856" s="730"/>
      <c r="E856" s="1510" t="s">
        <v>305</v>
      </c>
      <c r="F856" s="1497"/>
      <c r="G856" s="430"/>
      <c r="H856" s="430"/>
      <c r="I856" s="430"/>
      <c r="J856" s="430"/>
    </row>
    <row r="857" spans="1:12" s="649" customFormat="1" ht="17.100000000000001" customHeight="1">
      <c r="A857" s="205" t="s">
        <v>282</v>
      </c>
      <c r="B857" s="206" t="s">
        <v>283</v>
      </c>
      <c r="C857" s="206" t="s">
        <v>284</v>
      </c>
      <c r="D857" s="206" t="s">
        <v>302</v>
      </c>
      <c r="E857" s="225" t="s">
        <v>306</v>
      </c>
      <c r="F857" s="233" t="s">
        <v>307</v>
      </c>
      <c r="G857" s="651"/>
      <c r="H857" s="220"/>
      <c r="I857" s="201"/>
    </row>
    <row r="858" spans="1:12" s="649" customFormat="1" ht="17.100000000000001" customHeight="1">
      <c r="A858" s="209">
        <v>0</v>
      </c>
      <c r="B858" s="816">
        <v>10</v>
      </c>
      <c r="C858" s="817">
        <v>101.3</v>
      </c>
      <c r="D858" s="818">
        <v>1</v>
      </c>
      <c r="E858" s="821">
        <f>ROUNDUP(B858*C858*D858/10000,4)</f>
        <v>0.1013</v>
      </c>
      <c r="F858" s="822">
        <f>B858*C858/10000</f>
        <v>0.1013</v>
      </c>
      <c r="G858" s="651"/>
      <c r="H858" s="204"/>
      <c r="I858" s="201"/>
    </row>
    <row r="859" spans="1:12" s="649" customFormat="1" ht="17.100000000000001" customHeight="1">
      <c r="A859" s="222">
        <v>1</v>
      </c>
      <c r="B859" s="375">
        <v>10</v>
      </c>
      <c r="C859" s="376">
        <v>101.3</v>
      </c>
      <c r="D859" s="819">
        <v>1</v>
      </c>
      <c r="E859" s="823">
        <f>ROUNDUP(B859*C859*D859/10000,4)</f>
        <v>0.1013</v>
      </c>
      <c r="F859" s="822">
        <f>B859*C859/10000</f>
        <v>0.1013</v>
      </c>
      <c r="G859" s="651"/>
      <c r="H859" s="204"/>
      <c r="I859" s="201"/>
    </row>
    <row r="860" spans="1:12" s="649" customFormat="1" ht="17.100000000000001" customHeight="1">
      <c r="A860" s="222">
        <v>2</v>
      </c>
      <c r="B860" s="375">
        <v>10</v>
      </c>
      <c r="C860" s="376">
        <v>101.3</v>
      </c>
      <c r="D860" s="819">
        <v>1.1000000000000001</v>
      </c>
      <c r="E860" s="823">
        <f t="shared" ref="E860:E867" si="340">ROUNDUP(B860*C860*D860/10000,4)</f>
        <v>0.1115</v>
      </c>
      <c r="F860" s="822">
        <f>B860*C860/10000</f>
        <v>0.1013</v>
      </c>
      <c r="G860" s="651"/>
      <c r="H860" s="204"/>
      <c r="I860" s="201"/>
    </row>
    <row r="861" spans="1:12" s="649" customFormat="1" ht="17.100000000000001" customHeight="1">
      <c r="A861" s="222">
        <v>3</v>
      </c>
      <c r="B861" s="375">
        <v>10</v>
      </c>
      <c r="C861" s="376">
        <v>101.3</v>
      </c>
      <c r="D861" s="819">
        <v>1.155</v>
      </c>
      <c r="E861" s="823">
        <f t="shared" si="340"/>
        <v>0.11710000000000001</v>
      </c>
      <c r="F861" s="822">
        <f>B861*C861/10000</f>
        <v>0.1013</v>
      </c>
      <c r="G861" s="651"/>
      <c r="H861" s="204"/>
      <c r="I861" s="201"/>
    </row>
    <row r="862" spans="1:12" s="649" customFormat="1" ht="17.100000000000001" customHeight="1">
      <c r="A862" s="222">
        <v>4</v>
      </c>
      <c r="B862" s="375">
        <v>10</v>
      </c>
      <c r="C862" s="376">
        <v>101.3</v>
      </c>
      <c r="D862" s="819">
        <v>1.21</v>
      </c>
      <c r="E862" s="823">
        <f t="shared" si="340"/>
        <v>0.1226</v>
      </c>
      <c r="F862" s="822">
        <f>B862*C862/10000</f>
        <v>0.1013</v>
      </c>
      <c r="G862" s="651"/>
      <c r="H862" s="204"/>
      <c r="I862" s="201"/>
      <c r="L862" s="731"/>
    </row>
    <row r="863" spans="1:12" s="649" customFormat="1" ht="17.100000000000001" customHeight="1">
      <c r="A863" s="222">
        <v>5</v>
      </c>
      <c r="B863" s="375">
        <v>9.5</v>
      </c>
      <c r="C863" s="376">
        <v>101.3</v>
      </c>
      <c r="D863" s="819">
        <v>1.3149999999999999</v>
      </c>
      <c r="E863" s="823">
        <f t="shared" si="340"/>
        <v>0.12659999999999999</v>
      </c>
      <c r="F863" s="822">
        <f t="shared" ref="F863:F872" si="341">ROUNDUP(B863*C863/10000,4)</f>
        <v>9.6299999999999997E-2</v>
      </c>
      <c r="G863" s="651"/>
      <c r="H863" s="266"/>
      <c r="I863" s="201"/>
    </row>
    <row r="864" spans="1:12" s="649" customFormat="1" ht="17.100000000000001" customHeight="1">
      <c r="A864" s="222">
        <v>6</v>
      </c>
      <c r="B864" s="375">
        <v>8.5</v>
      </c>
      <c r="C864" s="376">
        <v>101.3</v>
      </c>
      <c r="D864" s="819">
        <v>1.42</v>
      </c>
      <c r="E864" s="823">
        <f t="shared" si="340"/>
        <v>0.12230000000000001</v>
      </c>
      <c r="F864" s="822">
        <f t="shared" si="341"/>
        <v>8.6199999999999999E-2</v>
      </c>
      <c r="G864" s="651"/>
      <c r="H864" s="204"/>
      <c r="I864" s="201"/>
      <c r="K864" s="649" t="s">
        <v>286</v>
      </c>
    </row>
    <row r="865" spans="1:11" s="649" customFormat="1" ht="17.100000000000001" customHeight="1">
      <c r="A865" s="222">
        <v>7</v>
      </c>
      <c r="B865" s="375">
        <v>7.5</v>
      </c>
      <c r="C865" s="376">
        <v>101.3</v>
      </c>
      <c r="D865" s="819">
        <v>1.52</v>
      </c>
      <c r="E865" s="823">
        <f t="shared" si="340"/>
        <v>0.11550000000000001</v>
      </c>
      <c r="F865" s="822">
        <f t="shared" si="341"/>
        <v>7.5999999999999998E-2</v>
      </c>
      <c r="G865" s="651"/>
      <c r="H865" s="204"/>
      <c r="I865" s="201"/>
    </row>
    <row r="866" spans="1:11" s="649" customFormat="1" ht="17.100000000000001" customHeight="1">
      <c r="A866" s="222">
        <v>8</v>
      </c>
      <c r="B866" s="375">
        <v>6.5</v>
      </c>
      <c r="C866" s="376">
        <v>101.3</v>
      </c>
      <c r="D866" s="819">
        <v>1.62</v>
      </c>
      <c r="E866" s="823">
        <f t="shared" si="340"/>
        <v>0.1067</v>
      </c>
      <c r="F866" s="822">
        <f t="shared" si="341"/>
        <v>6.59E-2</v>
      </c>
      <c r="G866" s="651"/>
      <c r="H866" s="204"/>
      <c r="I866" s="201"/>
    </row>
    <row r="867" spans="1:11" s="649" customFormat="1" ht="17.100000000000001" customHeight="1">
      <c r="A867" s="222">
        <v>9</v>
      </c>
      <c r="B867" s="375">
        <v>5.5</v>
      </c>
      <c r="C867" s="376">
        <v>101.3</v>
      </c>
      <c r="D867" s="819">
        <v>1.7250000000000001</v>
      </c>
      <c r="E867" s="823">
        <f t="shared" si="340"/>
        <v>9.6200000000000008E-2</v>
      </c>
      <c r="F867" s="822">
        <f t="shared" si="341"/>
        <v>5.5800000000000002E-2</v>
      </c>
      <c r="G867" s="651"/>
      <c r="H867" s="204"/>
      <c r="I867" s="201"/>
    </row>
    <row r="868" spans="1:11" s="649" customFormat="1" ht="17.100000000000001" customHeight="1">
      <c r="A868" s="222">
        <v>10</v>
      </c>
      <c r="B868" s="375">
        <v>4.5</v>
      </c>
      <c r="C868" s="376">
        <v>99.7</v>
      </c>
      <c r="D868" s="819">
        <v>1.83</v>
      </c>
      <c r="E868" s="823">
        <f>ROUNDUP(B868*C868*D868/10000,4)</f>
        <v>8.2200000000000009E-2</v>
      </c>
      <c r="F868" s="822">
        <f>ROUNDUP(B868*C868/10000,4)</f>
        <v>4.4900000000000002E-2</v>
      </c>
      <c r="G868" s="651"/>
      <c r="H868" s="204"/>
      <c r="I868" s="201"/>
    </row>
    <row r="869" spans="1:11" s="649" customFormat="1" ht="17.100000000000001" customHeight="1">
      <c r="A869" s="222">
        <v>11</v>
      </c>
      <c r="B869" s="375">
        <v>3.5</v>
      </c>
      <c r="C869" s="376">
        <v>98.6</v>
      </c>
      <c r="D869" s="819">
        <v>1.83</v>
      </c>
      <c r="E869" s="823">
        <f>ROUNDUP(B869*C869*D869/10000,4)</f>
        <v>6.3200000000000006E-2</v>
      </c>
      <c r="F869" s="822">
        <f>ROUNDUP(B869*C869/10000,4)</f>
        <v>3.4600000000000006E-2</v>
      </c>
      <c r="G869" s="651"/>
      <c r="H869" s="204"/>
      <c r="I869" s="201"/>
    </row>
    <row r="870" spans="1:11" s="649" customFormat="1" ht="17.100000000000001" customHeight="1">
      <c r="A870" s="222">
        <v>12</v>
      </c>
      <c r="B870" s="375">
        <v>2.5</v>
      </c>
      <c r="C870" s="376">
        <v>97.4</v>
      </c>
      <c r="D870" s="819">
        <v>1.83</v>
      </c>
      <c r="E870" s="823">
        <f>ROUNDUP(B870*C870*D870/10000,4)</f>
        <v>4.4600000000000001E-2</v>
      </c>
      <c r="F870" s="822">
        <f t="shared" si="341"/>
        <v>2.4399999999999998E-2</v>
      </c>
      <c r="G870" s="651"/>
      <c r="H870" s="204"/>
      <c r="I870" s="201"/>
    </row>
    <row r="871" spans="1:11" s="649" customFormat="1" ht="17.100000000000001" customHeight="1">
      <c r="A871" s="222">
        <v>13</v>
      </c>
      <c r="B871" s="375">
        <v>1.5</v>
      </c>
      <c r="C871" s="376">
        <v>96.3</v>
      </c>
      <c r="D871" s="819">
        <v>1.83</v>
      </c>
      <c r="E871" s="823">
        <f>ROUNDUP(B871*C871*D871/10000,4)</f>
        <v>2.6499999999999999E-2</v>
      </c>
      <c r="F871" s="822">
        <f t="shared" si="341"/>
        <v>1.4499999999999999E-2</v>
      </c>
      <c r="G871" s="651"/>
      <c r="H871" s="204"/>
      <c r="I871" s="201"/>
    </row>
    <row r="872" spans="1:11" s="649" customFormat="1" ht="17.100000000000001" customHeight="1">
      <c r="A872" s="230">
        <v>14</v>
      </c>
      <c r="B872" s="377">
        <v>0.5</v>
      </c>
      <c r="C872" s="376">
        <v>95.2</v>
      </c>
      <c r="D872" s="820">
        <v>1.83</v>
      </c>
      <c r="E872" s="824">
        <f>ROUNDUP(B872*C872*D872/10000,4)</f>
        <v>8.7999999999999988E-3</v>
      </c>
      <c r="F872" s="825">
        <f t="shared" si="341"/>
        <v>4.8000000000000004E-3</v>
      </c>
      <c r="G872" s="651"/>
      <c r="H872" s="204"/>
      <c r="I872" s="201"/>
    </row>
    <row r="873" spans="1:11" s="649" customFormat="1" ht="17.100000000000001" customHeight="1" thickBot="1">
      <c r="A873" s="1456" t="s">
        <v>543</v>
      </c>
      <c r="B873" s="1457"/>
      <c r="C873" s="1457"/>
      <c r="D873" s="1458"/>
      <c r="E873" s="826">
        <f>SUM(E858:E872)</f>
        <v>1.3464</v>
      </c>
      <c r="F873" s="827">
        <f>SUM(F858:F872)</f>
        <v>1.0098999999999998</v>
      </c>
      <c r="G873" s="651"/>
      <c r="H873" s="204"/>
      <c r="I873" s="201"/>
    </row>
    <row r="874" spans="1:11" ht="12.95" customHeight="1">
      <c r="A874" s="510"/>
      <c r="B874" s="510"/>
      <c r="C874" s="510"/>
    </row>
    <row r="875" spans="1:11" ht="12.95" customHeight="1">
      <c r="A875" s="510"/>
      <c r="B875" s="510"/>
      <c r="C875" s="510"/>
    </row>
    <row r="876" spans="1:11" ht="17.45" customHeight="1">
      <c r="A876" s="92" t="s">
        <v>977</v>
      </c>
      <c r="E876" s="392" t="s">
        <v>190</v>
      </c>
      <c r="F876" s="95">
        <f>F232</f>
        <v>2222</v>
      </c>
      <c r="G876" s="392" t="s">
        <v>57</v>
      </c>
    </row>
    <row r="877" spans="1:11" ht="17.45" customHeight="1" thickBot="1">
      <c r="A877" s="1308" t="str">
        <f>A510</f>
        <v>진주</v>
      </c>
      <c r="B877" s="1309" t="str">
        <f>B510</f>
        <v>방향</v>
      </c>
      <c r="F877" s="1252"/>
    </row>
    <row r="878" spans="1:11" ht="17.45" customHeight="1">
      <c r="A878" s="1449" t="str">
        <f>E6</f>
        <v>진주</v>
      </c>
      <c r="B878" s="1478" t="s">
        <v>290</v>
      </c>
      <c r="C878" s="1451" t="s">
        <v>276</v>
      </c>
      <c r="D878" s="1453"/>
      <c r="E878" s="1466" t="s">
        <v>300</v>
      </c>
      <c r="F878" s="1468"/>
      <c r="G878" s="1451" t="s">
        <v>301</v>
      </c>
      <c r="H878" s="1452"/>
      <c r="I878" s="1452"/>
      <c r="J878" s="1453"/>
      <c r="K878" s="1459" t="s">
        <v>72</v>
      </c>
    </row>
    <row r="879" spans="1:11" ht="17.45" customHeight="1">
      <c r="A879" s="1436"/>
      <c r="B879" s="1479"/>
      <c r="C879" s="660" t="s">
        <v>268</v>
      </c>
      <c r="D879" s="492" t="s">
        <v>269</v>
      </c>
      <c r="E879" s="493" t="s">
        <v>19</v>
      </c>
      <c r="F879" s="451" t="s">
        <v>20</v>
      </c>
      <c r="G879" s="660" t="s">
        <v>19</v>
      </c>
      <c r="H879" s="661" t="s">
        <v>21</v>
      </c>
      <c r="I879" s="661" t="s">
        <v>20</v>
      </c>
      <c r="J879" s="662" t="s">
        <v>22</v>
      </c>
      <c r="K879" s="1460"/>
    </row>
    <row r="880" spans="1:11" ht="17.45" customHeight="1">
      <c r="A880" s="499" t="s">
        <v>287</v>
      </c>
      <c r="B880" s="1498"/>
      <c r="C880" s="1379">
        <f>F742</f>
        <v>1.78E-2</v>
      </c>
      <c r="D880" s="1380">
        <f>F743</f>
        <v>1.72E-2</v>
      </c>
      <c r="E880" s="1379">
        <f>F744</f>
        <v>2.1700000000000001E-2</v>
      </c>
      <c r="F880" s="1380">
        <f>F747</f>
        <v>0.55410000000000004</v>
      </c>
      <c r="G880" s="1379">
        <f>F745</f>
        <v>2.1700000000000001E-2</v>
      </c>
      <c r="H880" s="1381">
        <f>F746</f>
        <v>0.27210000000000001</v>
      </c>
      <c r="I880" s="1381">
        <f>F748</f>
        <v>0.6129</v>
      </c>
      <c r="J880" s="1380">
        <f>F749</f>
        <v>0.79310000000000003</v>
      </c>
      <c r="K880" s="1461"/>
    </row>
    <row r="881" spans="1:12" ht="17.45" customHeight="1">
      <c r="A881" s="1434">
        <v>10</v>
      </c>
      <c r="B881" s="665" t="s">
        <v>291</v>
      </c>
      <c r="C881" s="828">
        <f t="shared" ref="C881:C890" si="342">ROUNDUP(((($C$880*$C$852*$C760)*$E$873)*$C255),1)</f>
        <v>1</v>
      </c>
      <c r="D881" s="829">
        <f t="shared" ref="D881:D890" si="343">ROUNDUP(((($D$880*$C$852*$C783)*$F$873)*$D255),1)</f>
        <v>0.4</v>
      </c>
      <c r="E881" s="828">
        <f t="shared" ref="E881:E890" si="344">ROUNDUP(((($E$880*$C$852*$C806)*$F$873)*$E255),1)</f>
        <v>0</v>
      </c>
      <c r="F881" s="829">
        <f t="shared" ref="F881:F890" si="345">ROUNDUP(((($F$880*$C$852*$C829)*$F$873)*$F255),1)</f>
        <v>0.4</v>
      </c>
      <c r="G881" s="828">
        <f t="shared" ref="G881:G890" si="346">ROUNDUP(((($G$880*$C$852*$C806)*$F$873)*$G255),1)</f>
        <v>0.30000000000000004</v>
      </c>
      <c r="H881" s="830">
        <f t="shared" ref="H881:H890" si="347">ROUNDUP(((($H$880*$C$852*$C829)*$F$873)*$H255),1)</f>
        <v>0.7</v>
      </c>
      <c r="I881" s="830">
        <f t="shared" ref="I881:I890" si="348">ROUNDUP(((($I$880*$C$852*$C829)*$F$873)*$I255),1)</f>
        <v>0.2</v>
      </c>
      <c r="J881" s="829">
        <f t="shared" ref="J881:J890" si="349">ROUNDUP(((($J$880*$C$852*$C829)*$F$873)*$J255),1)</f>
        <v>0.6</v>
      </c>
      <c r="K881" s="681">
        <f t="shared" ref="K881:K955" si="350">SUM(C881:J881)</f>
        <v>3.6</v>
      </c>
    </row>
    <row r="882" spans="1:12" ht="17.45" customHeight="1">
      <c r="A882" s="1435"/>
      <c r="B882" s="669" t="s">
        <v>292</v>
      </c>
      <c r="C882" s="831">
        <f t="shared" si="342"/>
        <v>0</v>
      </c>
      <c r="D882" s="832">
        <f t="shared" si="343"/>
        <v>0</v>
      </c>
      <c r="E882" s="831">
        <f t="shared" si="344"/>
        <v>0</v>
      </c>
      <c r="F882" s="832">
        <f t="shared" si="345"/>
        <v>0</v>
      </c>
      <c r="G882" s="831">
        <f t="shared" si="346"/>
        <v>0</v>
      </c>
      <c r="H882" s="833">
        <f t="shared" si="347"/>
        <v>0</v>
      </c>
      <c r="I882" s="833">
        <f t="shared" si="348"/>
        <v>0</v>
      </c>
      <c r="J882" s="832">
        <f t="shared" si="349"/>
        <v>0</v>
      </c>
      <c r="K882" s="674">
        <f t="shared" si="350"/>
        <v>0</v>
      </c>
    </row>
    <row r="883" spans="1:12" ht="17.45" customHeight="1">
      <c r="A883" s="1435"/>
      <c r="B883" s="669" t="s">
        <v>297</v>
      </c>
      <c r="C883" s="831">
        <f t="shared" si="342"/>
        <v>0</v>
      </c>
      <c r="D883" s="832">
        <f t="shared" si="343"/>
        <v>0</v>
      </c>
      <c r="E883" s="831">
        <f t="shared" si="344"/>
        <v>0</v>
      </c>
      <c r="F883" s="832">
        <f t="shared" si="345"/>
        <v>0</v>
      </c>
      <c r="G883" s="831">
        <f t="shared" si="346"/>
        <v>0</v>
      </c>
      <c r="H883" s="833">
        <f t="shared" si="347"/>
        <v>0</v>
      </c>
      <c r="I883" s="833">
        <f t="shared" si="348"/>
        <v>0</v>
      </c>
      <c r="J883" s="832">
        <f t="shared" si="349"/>
        <v>0</v>
      </c>
      <c r="K883" s="674">
        <f>SUM(C883:J883)</f>
        <v>0</v>
      </c>
    </row>
    <row r="884" spans="1:12" ht="17.45" customHeight="1">
      <c r="A884" s="1435"/>
      <c r="B884" s="669" t="s">
        <v>298</v>
      </c>
      <c r="C884" s="831">
        <f t="shared" si="342"/>
        <v>0</v>
      </c>
      <c r="D884" s="832">
        <f t="shared" si="343"/>
        <v>0</v>
      </c>
      <c r="E884" s="831">
        <f t="shared" si="344"/>
        <v>0</v>
      </c>
      <c r="F884" s="832">
        <f t="shared" si="345"/>
        <v>0</v>
      </c>
      <c r="G884" s="831">
        <f t="shared" si="346"/>
        <v>0</v>
      </c>
      <c r="H884" s="833">
        <f t="shared" si="347"/>
        <v>0</v>
      </c>
      <c r="I884" s="833">
        <f t="shared" si="348"/>
        <v>0</v>
      </c>
      <c r="J884" s="832">
        <f t="shared" si="349"/>
        <v>0</v>
      </c>
      <c r="K884" s="674">
        <f t="shared" si="350"/>
        <v>0</v>
      </c>
    </row>
    <row r="885" spans="1:12" ht="17.45" customHeight="1">
      <c r="A885" s="1435"/>
      <c r="B885" s="669" t="s">
        <v>299</v>
      </c>
      <c r="C885" s="831">
        <f t="shared" si="342"/>
        <v>0</v>
      </c>
      <c r="D885" s="832">
        <f t="shared" si="343"/>
        <v>0</v>
      </c>
      <c r="E885" s="831">
        <f t="shared" si="344"/>
        <v>0</v>
      </c>
      <c r="F885" s="832">
        <f t="shared" si="345"/>
        <v>0</v>
      </c>
      <c r="G885" s="831">
        <f t="shared" si="346"/>
        <v>0</v>
      </c>
      <c r="H885" s="833">
        <f t="shared" si="347"/>
        <v>0</v>
      </c>
      <c r="I885" s="833">
        <f t="shared" si="348"/>
        <v>0</v>
      </c>
      <c r="J885" s="832">
        <f t="shared" si="349"/>
        <v>0</v>
      </c>
      <c r="K885" s="675">
        <f t="shared" si="350"/>
        <v>0</v>
      </c>
    </row>
    <row r="886" spans="1:12" ht="17.45" customHeight="1">
      <c r="A886" s="1435"/>
      <c r="B886" s="676" t="s">
        <v>345</v>
      </c>
      <c r="C886" s="828">
        <f t="shared" si="342"/>
        <v>0</v>
      </c>
      <c r="D886" s="829">
        <f t="shared" si="343"/>
        <v>0</v>
      </c>
      <c r="E886" s="828">
        <f t="shared" si="344"/>
        <v>0</v>
      </c>
      <c r="F886" s="829">
        <f t="shared" si="345"/>
        <v>0</v>
      </c>
      <c r="G886" s="828">
        <f t="shared" si="346"/>
        <v>0</v>
      </c>
      <c r="H886" s="830">
        <f t="shared" si="347"/>
        <v>0</v>
      </c>
      <c r="I886" s="830">
        <f t="shared" si="348"/>
        <v>0</v>
      </c>
      <c r="J886" s="829">
        <f t="shared" si="349"/>
        <v>0</v>
      </c>
      <c r="K886" s="674">
        <f>SUM(C886:J886)</f>
        <v>0</v>
      </c>
    </row>
    <row r="887" spans="1:12" ht="17.45" customHeight="1">
      <c r="A887" s="1435"/>
      <c r="B887" s="669" t="s">
        <v>346</v>
      </c>
      <c r="C887" s="831">
        <f t="shared" si="342"/>
        <v>0</v>
      </c>
      <c r="D887" s="832">
        <f t="shared" si="343"/>
        <v>0</v>
      </c>
      <c r="E887" s="831">
        <f t="shared" si="344"/>
        <v>0</v>
      </c>
      <c r="F887" s="832">
        <f t="shared" si="345"/>
        <v>0</v>
      </c>
      <c r="G887" s="831">
        <f t="shared" si="346"/>
        <v>0</v>
      </c>
      <c r="H887" s="833">
        <f t="shared" si="347"/>
        <v>0</v>
      </c>
      <c r="I887" s="833">
        <f t="shared" si="348"/>
        <v>0</v>
      </c>
      <c r="J887" s="832">
        <f t="shared" si="349"/>
        <v>0</v>
      </c>
      <c r="K887" s="674">
        <f>SUM(C887:J887)</f>
        <v>0</v>
      </c>
    </row>
    <row r="888" spans="1:12" ht="17.45" customHeight="1">
      <c r="A888" s="1435"/>
      <c r="B888" s="669" t="s">
        <v>347</v>
      </c>
      <c r="C888" s="831">
        <f t="shared" si="342"/>
        <v>0</v>
      </c>
      <c r="D888" s="832">
        <f t="shared" si="343"/>
        <v>0</v>
      </c>
      <c r="E888" s="831">
        <f t="shared" si="344"/>
        <v>0</v>
      </c>
      <c r="F888" s="832">
        <f t="shared" si="345"/>
        <v>0</v>
      </c>
      <c r="G888" s="831">
        <f t="shared" si="346"/>
        <v>0</v>
      </c>
      <c r="H888" s="833">
        <f t="shared" si="347"/>
        <v>0</v>
      </c>
      <c r="I888" s="833">
        <f t="shared" si="348"/>
        <v>0</v>
      </c>
      <c r="J888" s="832">
        <f t="shared" si="349"/>
        <v>0</v>
      </c>
      <c r="K888" s="674">
        <f>SUM(C888:J888)</f>
        <v>0</v>
      </c>
    </row>
    <row r="889" spans="1:12" ht="17.45" customHeight="1">
      <c r="A889" s="1435"/>
      <c r="B889" s="669" t="s">
        <v>348</v>
      </c>
      <c r="C889" s="831">
        <f t="shared" si="342"/>
        <v>0</v>
      </c>
      <c r="D889" s="832">
        <f t="shared" si="343"/>
        <v>0</v>
      </c>
      <c r="E889" s="831">
        <f t="shared" si="344"/>
        <v>0</v>
      </c>
      <c r="F889" s="832">
        <f t="shared" si="345"/>
        <v>0</v>
      </c>
      <c r="G889" s="831">
        <f t="shared" si="346"/>
        <v>0</v>
      </c>
      <c r="H889" s="833">
        <f t="shared" si="347"/>
        <v>0</v>
      </c>
      <c r="I889" s="833">
        <f t="shared" si="348"/>
        <v>0</v>
      </c>
      <c r="J889" s="832">
        <f t="shared" si="349"/>
        <v>0</v>
      </c>
      <c r="K889" s="674">
        <f>SUM(C889:J889)</f>
        <v>0</v>
      </c>
    </row>
    <row r="890" spans="1:12" ht="17.45" customHeight="1">
      <c r="A890" s="1436"/>
      <c r="B890" s="680" t="s">
        <v>349</v>
      </c>
      <c r="C890" s="834">
        <f t="shared" si="342"/>
        <v>0</v>
      </c>
      <c r="D890" s="835">
        <f t="shared" si="343"/>
        <v>0</v>
      </c>
      <c r="E890" s="834">
        <f t="shared" si="344"/>
        <v>0</v>
      </c>
      <c r="F890" s="835">
        <f t="shared" si="345"/>
        <v>0</v>
      </c>
      <c r="G890" s="834">
        <f t="shared" si="346"/>
        <v>0</v>
      </c>
      <c r="H890" s="836">
        <f t="shared" si="347"/>
        <v>0</v>
      </c>
      <c r="I890" s="836">
        <f t="shared" si="348"/>
        <v>0</v>
      </c>
      <c r="J890" s="835">
        <f t="shared" si="349"/>
        <v>0</v>
      </c>
      <c r="K890" s="674">
        <f>SUM(C890:J890)</f>
        <v>0</v>
      </c>
    </row>
    <row r="891" spans="1:12" ht="17.45" customHeight="1">
      <c r="A891" s="1434">
        <v>20</v>
      </c>
      <c r="B891" s="676" t="str">
        <f t="shared" ref="B891:B922" si="351">B881</f>
        <v>1구간</v>
      </c>
      <c r="C891" s="828">
        <f t="shared" ref="C891:C900" si="352">ROUND(((($C$880*$C$852*$D760)*$E$873)*$C266),2)</f>
        <v>1.01</v>
      </c>
      <c r="D891" s="829">
        <f t="shared" ref="D891:D900" si="353">ROUND(((($D$880*$C$852*$D783)*$F$873)*$D266),2)</f>
        <v>0.61</v>
      </c>
      <c r="E891" s="828">
        <f t="shared" ref="E891:E900" si="354">ROUND(((($E$880*$C$852*$D806)*$F$873)*$E266),2)</f>
        <v>0</v>
      </c>
      <c r="F891" s="829">
        <f t="shared" ref="F891:F900" si="355">ROUND(((($F$880*$C$852*$D829)*$F$873)*$F266),2)</f>
        <v>0.28000000000000003</v>
      </c>
      <c r="G891" s="828">
        <f t="shared" ref="G891:G900" si="356">ROUND(((($G$880*$C$852*$D806)*$F$873)*$G266),2)</f>
        <v>0.21</v>
      </c>
      <c r="H891" s="830">
        <f t="shared" ref="H891:H900" si="357">ROUND(((($H$880*$C$852*$D829)*$F$873)*$H266),2)</f>
        <v>0.52</v>
      </c>
      <c r="I891" s="830">
        <f t="shared" ref="I891:I900" si="358">ROUND(((($I$880*$C$852*$D829)*$F$873)*$I266),2)</f>
        <v>0.13</v>
      </c>
      <c r="J891" s="829">
        <f t="shared" ref="J891:J900" si="359">ROUND(((($J$880*$C$852*$D829)*$F$873)*$J266),2)</f>
        <v>0.43</v>
      </c>
      <c r="K891" s="681">
        <f t="shared" si="350"/>
        <v>3.1900000000000004</v>
      </c>
    </row>
    <row r="892" spans="1:12" ht="17.45" customHeight="1">
      <c r="A892" s="1435"/>
      <c r="B892" s="669" t="str">
        <f t="shared" si="351"/>
        <v>2구간</v>
      </c>
      <c r="C892" s="831">
        <f t="shared" si="352"/>
        <v>0</v>
      </c>
      <c r="D892" s="832">
        <f t="shared" si="353"/>
        <v>0</v>
      </c>
      <c r="E892" s="831">
        <f t="shared" si="354"/>
        <v>0</v>
      </c>
      <c r="F892" s="832">
        <f t="shared" si="355"/>
        <v>0</v>
      </c>
      <c r="G892" s="831">
        <f t="shared" si="356"/>
        <v>0</v>
      </c>
      <c r="H892" s="833">
        <f t="shared" si="357"/>
        <v>0</v>
      </c>
      <c r="I892" s="833">
        <f t="shared" si="358"/>
        <v>0</v>
      </c>
      <c r="J892" s="832">
        <f t="shared" si="359"/>
        <v>0</v>
      </c>
      <c r="K892" s="674">
        <f t="shared" si="350"/>
        <v>0</v>
      </c>
    </row>
    <row r="893" spans="1:12" ht="17.45" customHeight="1">
      <c r="A893" s="1435"/>
      <c r="B893" s="669" t="str">
        <f t="shared" si="351"/>
        <v>3구간</v>
      </c>
      <c r="C893" s="831">
        <f t="shared" si="352"/>
        <v>0</v>
      </c>
      <c r="D893" s="832">
        <f t="shared" si="353"/>
        <v>0</v>
      </c>
      <c r="E893" s="831">
        <f t="shared" si="354"/>
        <v>0</v>
      </c>
      <c r="F893" s="832">
        <f t="shared" si="355"/>
        <v>0</v>
      </c>
      <c r="G893" s="831">
        <f t="shared" si="356"/>
        <v>0</v>
      </c>
      <c r="H893" s="833">
        <f t="shared" si="357"/>
        <v>0</v>
      </c>
      <c r="I893" s="833">
        <f t="shared" si="358"/>
        <v>0</v>
      </c>
      <c r="J893" s="832">
        <f t="shared" si="359"/>
        <v>0</v>
      </c>
      <c r="K893" s="674">
        <f t="shared" si="350"/>
        <v>0</v>
      </c>
    </row>
    <row r="894" spans="1:12" ht="17.45" customHeight="1">
      <c r="A894" s="1435"/>
      <c r="B894" s="669" t="str">
        <f t="shared" si="351"/>
        <v>4구간</v>
      </c>
      <c r="C894" s="831">
        <f t="shared" si="352"/>
        <v>0</v>
      </c>
      <c r="D894" s="832">
        <f t="shared" si="353"/>
        <v>0</v>
      </c>
      <c r="E894" s="831">
        <f t="shared" si="354"/>
        <v>0</v>
      </c>
      <c r="F894" s="832">
        <f t="shared" si="355"/>
        <v>0</v>
      </c>
      <c r="G894" s="831">
        <f t="shared" si="356"/>
        <v>0</v>
      </c>
      <c r="H894" s="833">
        <f t="shared" si="357"/>
        <v>0</v>
      </c>
      <c r="I894" s="833">
        <f t="shared" si="358"/>
        <v>0</v>
      </c>
      <c r="J894" s="832">
        <f t="shared" si="359"/>
        <v>0</v>
      </c>
      <c r="K894" s="674">
        <f t="shared" si="350"/>
        <v>0</v>
      </c>
    </row>
    <row r="895" spans="1:12" ht="17.45" customHeight="1">
      <c r="A895" s="1435"/>
      <c r="B895" s="669" t="str">
        <f t="shared" si="351"/>
        <v>5구간</v>
      </c>
      <c r="C895" s="831">
        <f t="shared" si="352"/>
        <v>0</v>
      </c>
      <c r="D895" s="832">
        <f t="shared" si="353"/>
        <v>0</v>
      </c>
      <c r="E895" s="831">
        <f t="shared" si="354"/>
        <v>0</v>
      </c>
      <c r="F895" s="832">
        <f t="shared" si="355"/>
        <v>0</v>
      </c>
      <c r="G895" s="831">
        <f t="shared" si="356"/>
        <v>0</v>
      </c>
      <c r="H895" s="833">
        <f t="shared" si="357"/>
        <v>0</v>
      </c>
      <c r="I895" s="833">
        <f t="shared" si="358"/>
        <v>0</v>
      </c>
      <c r="J895" s="832">
        <f t="shared" si="359"/>
        <v>0</v>
      </c>
      <c r="K895" s="675">
        <f t="shared" si="350"/>
        <v>0</v>
      </c>
      <c r="L895" s="566"/>
    </row>
    <row r="896" spans="1:12" ht="17.45" customHeight="1">
      <c r="A896" s="1435"/>
      <c r="B896" s="676" t="str">
        <f t="shared" si="351"/>
        <v>6구간</v>
      </c>
      <c r="C896" s="828">
        <f t="shared" si="352"/>
        <v>0</v>
      </c>
      <c r="D896" s="829">
        <f t="shared" si="353"/>
        <v>0</v>
      </c>
      <c r="E896" s="828">
        <f t="shared" si="354"/>
        <v>0</v>
      </c>
      <c r="F896" s="829">
        <f t="shared" si="355"/>
        <v>0</v>
      </c>
      <c r="G896" s="828">
        <f t="shared" si="356"/>
        <v>0</v>
      </c>
      <c r="H896" s="830">
        <f t="shared" si="357"/>
        <v>0</v>
      </c>
      <c r="I896" s="830">
        <f t="shared" si="358"/>
        <v>0</v>
      </c>
      <c r="J896" s="829">
        <f t="shared" si="359"/>
        <v>0</v>
      </c>
      <c r="K896" s="674">
        <f>SUM(C896:J896)</f>
        <v>0</v>
      </c>
    </row>
    <row r="897" spans="1:12" ht="17.45" customHeight="1">
      <c r="A897" s="1435"/>
      <c r="B897" s="669" t="str">
        <f t="shared" si="351"/>
        <v>7구간</v>
      </c>
      <c r="C897" s="831">
        <f t="shared" si="352"/>
        <v>0</v>
      </c>
      <c r="D897" s="832">
        <f t="shared" si="353"/>
        <v>0</v>
      </c>
      <c r="E897" s="831">
        <f t="shared" si="354"/>
        <v>0</v>
      </c>
      <c r="F897" s="832">
        <f t="shared" si="355"/>
        <v>0</v>
      </c>
      <c r="G897" s="831">
        <f t="shared" si="356"/>
        <v>0</v>
      </c>
      <c r="H897" s="833">
        <f t="shared" si="357"/>
        <v>0</v>
      </c>
      <c r="I897" s="833">
        <f t="shared" si="358"/>
        <v>0</v>
      </c>
      <c r="J897" s="832">
        <f t="shared" si="359"/>
        <v>0</v>
      </c>
      <c r="K897" s="674">
        <f>SUM(C897:J897)</f>
        <v>0</v>
      </c>
    </row>
    <row r="898" spans="1:12" ht="17.45" customHeight="1">
      <c r="A898" s="1435"/>
      <c r="B898" s="669" t="str">
        <f t="shared" si="351"/>
        <v>8구간</v>
      </c>
      <c r="C898" s="831">
        <f t="shared" si="352"/>
        <v>0</v>
      </c>
      <c r="D898" s="832">
        <f t="shared" si="353"/>
        <v>0</v>
      </c>
      <c r="E898" s="831">
        <f t="shared" si="354"/>
        <v>0</v>
      </c>
      <c r="F898" s="832">
        <f t="shared" si="355"/>
        <v>0</v>
      </c>
      <c r="G898" s="831">
        <f t="shared" si="356"/>
        <v>0</v>
      </c>
      <c r="H898" s="833">
        <f t="shared" si="357"/>
        <v>0</v>
      </c>
      <c r="I898" s="833">
        <f t="shared" si="358"/>
        <v>0</v>
      </c>
      <c r="J898" s="832">
        <f t="shared" si="359"/>
        <v>0</v>
      </c>
      <c r="K898" s="674">
        <f>SUM(C898:J898)</f>
        <v>0</v>
      </c>
    </row>
    <row r="899" spans="1:12" ht="17.45" customHeight="1">
      <c r="A899" s="1435"/>
      <c r="B899" s="669" t="str">
        <f t="shared" si="351"/>
        <v>9구간</v>
      </c>
      <c r="C899" s="831">
        <f t="shared" si="352"/>
        <v>0</v>
      </c>
      <c r="D899" s="832">
        <f t="shared" si="353"/>
        <v>0</v>
      </c>
      <c r="E899" s="831">
        <f t="shared" si="354"/>
        <v>0</v>
      </c>
      <c r="F899" s="832">
        <f t="shared" si="355"/>
        <v>0</v>
      </c>
      <c r="G899" s="831">
        <f t="shared" si="356"/>
        <v>0</v>
      </c>
      <c r="H899" s="833">
        <f t="shared" si="357"/>
        <v>0</v>
      </c>
      <c r="I899" s="833">
        <f t="shared" si="358"/>
        <v>0</v>
      </c>
      <c r="J899" s="832">
        <f t="shared" si="359"/>
        <v>0</v>
      </c>
      <c r="K899" s="674">
        <f>SUM(C899:J899)</f>
        <v>0</v>
      </c>
    </row>
    <row r="900" spans="1:12" ht="17.45" customHeight="1">
      <c r="A900" s="1436"/>
      <c r="B900" s="680" t="str">
        <f t="shared" si="351"/>
        <v>10구간</v>
      </c>
      <c r="C900" s="834">
        <f t="shared" si="352"/>
        <v>0</v>
      </c>
      <c r="D900" s="835">
        <f t="shared" si="353"/>
        <v>0</v>
      </c>
      <c r="E900" s="834">
        <f t="shared" si="354"/>
        <v>0</v>
      </c>
      <c r="F900" s="835">
        <f t="shared" si="355"/>
        <v>0</v>
      </c>
      <c r="G900" s="834">
        <f t="shared" si="356"/>
        <v>0</v>
      </c>
      <c r="H900" s="836">
        <f t="shared" si="357"/>
        <v>0</v>
      </c>
      <c r="I900" s="836">
        <f t="shared" si="358"/>
        <v>0</v>
      </c>
      <c r="J900" s="835">
        <f t="shared" si="359"/>
        <v>0</v>
      </c>
      <c r="K900" s="674">
        <f>SUM(C900:J900)</f>
        <v>0</v>
      </c>
      <c r="L900" s="566"/>
    </row>
    <row r="901" spans="1:12" ht="17.45" customHeight="1">
      <c r="A901" s="1434">
        <v>30</v>
      </c>
      <c r="B901" s="676" t="str">
        <f t="shared" si="351"/>
        <v>1구간</v>
      </c>
      <c r="C901" s="828">
        <f t="shared" ref="C901:C910" si="360">ROUND(((($C$880*$C$852*$E760)*$E$873)*$C277),2)</f>
        <v>0.69</v>
      </c>
      <c r="D901" s="829">
        <f t="shared" ref="D901:D910" si="361">ROUND(((($D$880*$C$852*$E783)*$F$873)*$D277),2)</f>
        <v>0.4</v>
      </c>
      <c r="E901" s="828">
        <f t="shared" ref="E901:E910" si="362">ROUND(((($E$880*$C$852*$E806)*$F$873)*$E277),2)</f>
        <v>0</v>
      </c>
      <c r="F901" s="829">
        <f t="shared" ref="F901:F910" si="363">ROUND(((($F$880*$C$852*$E829)*$F$873)*$F277),2)</f>
        <v>0.23</v>
      </c>
      <c r="G901" s="828">
        <f t="shared" ref="G901:G910" si="364">ROUND(((($G$880*$C$852*$E806)*$F$873)*$G277),2)</f>
        <v>0.18</v>
      </c>
      <c r="H901" s="830">
        <f t="shared" ref="H901:H910" si="365">ROUND(((($H$880*$C$852*$E829)*$F$873)*$H277),2)</f>
        <v>0.43</v>
      </c>
      <c r="I901" s="830">
        <f t="shared" ref="I901:I910" si="366">ROUND(((($I$880*$C$852*$E829)*$F$873)*$I277),2)</f>
        <v>0.1</v>
      </c>
      <c r="J901" s="829">
        <f t="shared" ref="J901:J910" si="367">ROUND(((($J$880*$C$852*$E829)*$F$873)*$J277),2)</f>
        <v>0.36</v>
      </c>
      <c r="K901" s="681">
        <f t="shared" si="350"/>
        <v>2.3899999999999997</v>
      </c>
    </row>
    <row r="902" spans="1:12" ht="17.45" customHeight="1">
      <c r="A902" s="1435"/>
      <c r="B902" s="669" t="str">
        <f t="shared" si="351"/>
        <v>2구간</v>
      </c>
      <c r="C902" s="831">
        <f t="shared" si="360"/>
        <v>0</v>
      </c>
      <c r="D902" s="832">
        <f t="shared" si="361"/>
        <v>0</v>
      </c>
      <c r="E902" s="831">
        <f t="shared" si="362"/>
        <v>0</v>
      </c>
      <c r="F902" s="832">
        <f t="shared" si="363"/>
        <v>0</v>
      </c>
      <c r="G902" s="831">
        <f t="shared" si="364"/>
        <v>0</v>
      </c>
      <c r="H902" s="833">
        <f t="shared" si="365"/>
        <v>0</v>
      </c>
      <c r="I902" s="833">
        <f t="shared" si="366"/>
        <v>0</v>
      </c>
      <c r="J902" s="832">
        <f t="shared" si="367"/>
        <v>0</v>
      </c>
      <c r="K902" s="674">
        <f t="shared" si="350"/>
        <v>0</v>
      </c>
    </row>
    <row r="903" spans="1:12" ht="17.45" customHeight="1">
      <c r="A903" s="1435"/>
      <c r="B903" s="669" t="str">
        <f t="shared" si="351"/>
        <v>3구간</v>
      </c>
      <c r="C903" s="831">
        <f t="shared" si="360"/>
        <v>0</v>
      </c>
      <c r="D903" s="832">
        <f t="shared" si="361"/>
        <v>0</v>
      </c>
      <c r="E903" s="831">
        <f t="shared" si="362"/>
        <v>0</v>
      </c>
      <c r="F903" s="832">
        <f t="shared" si="363"/>
        <v>0</v>
      </c>
      <c r="G903" s="831">
        <f t="shared" si="364"/>
        <v>0</v>
      </c>
      <c r="H903" s="833">
        <f t="shared" si="365"/>
        <v>0</v>
      </c>
      <c r="I903" s="833">
        <f t="shared" si="366"/>
        <v>0</v>
      </c>
      <c r="J903" s="832">
        <f t="shared" si="367"/>
        <v>0</v>
      </c>
      <c r="K903" s="674">
        <f t="shared" si="350"/>
        <v>0</v>
      </c>
    </row>
    <row r="904" spans="1:12" ht="17.45" customHeight="1">
      <c r="A904" s="1435"/>
      <c r="B904" s="669" t="str">
        <f t="shared" si="351"/>
        <v>4구간</v>
      </c>
      <c r="C904" s="831">
        <f t="shared" si="360"/>
        <v>0</v>
      </c>
      <c r="D904" s="832">
        <f t="shared" si="361"/>
        <v>0</v>
      </c>
      <c r="E904" s="831">
        <f t="shared" si="362"/>
        <v>0</v>
      </c>
      <c r="F904" s="832">
        <f t="shared" si="363"/>
        <v>0</v>
      </c>
      <c r="G904" s="831">
        <f t="shared" si="364"/>
        <v>0</v>
      </c>
      <c r="H904" s="833">
        <f t="shared" si="365"/>
        <v>0</v>
      </c>
      <c r="I904" s="833">
        <f t="shared" si="366"/>
        <v>0</v>
      </c>
      <c r="J904" s="832">
        <f t="shared" si="367"/>
        <v>0</v>
      </c>
      <c r="K904" s="674">
        <f t="shared" si="350"/>
        <v>0</v>
      </c>
    </row>
    <row r="905" spans="1:12" ht="17.45" customHeight="1">
      <c r="A905" s="1435"/>
      <c r="B905" s="669" t="str">
        <f t="shared" si="351"/>
        <v>5구간</v>
      </c>
      <c r="C905" s="831">
        <f t="shared" si="360"/>
        <v>0</v>
      </c>
      <c r="D905" s="832">
        <f t="shared" si="361"/>
        <v>0</v>
      </c>
      <c r="E905" s="831">
        <f t="shared" si="362"/>
        <v>0</v>
      </c>
      <c r="F905" s="832">
        <f t="shared" si="363"/>
        <v>0</v>
      </c>
      <c r="G905" s="831">
        <f t="shared" si="364"/>
        <v>0</v>
      </c>
      <c r="H905" s="833">
        <f t="shared" si="365"/>
        <v>0</v>
      </c>
      <c r="I905" s="833">
        <f t="shared" si="366"/>
        <v>0</v>
      </c>
      <c r="J905" s="832">
        <f t="shared" si="367"/>
        <v>0</v>
      </c>
      <c r="K905" s="675">
        <f t="shared" si="350"/>
        <v>0</v>
      </c>
    </row>
    <row r="906" spans="1:12" ht="17.45" customHeight="1">
      <c r="A906" s="1435"/>
      <c r="B906" s="676" t="str">
        <f t="shared" si="351"/>
        <v>6구간</v>
      </c>
      <c r="C906" s="828">
        <f t="shared" si="360"/>
        <v>0</v>
      </c>
      <c r="D906" s="829">
        <f t="shared" si="361"/>
        <v>0</v>
      </c>
      <c r="E906" s="828">
        <f t="shared" si="362"/>
        <v>0</v>
      </c>
      <c r="F906" s="829">
        <f t="shared" si="363"/>
        <v>0</v>
      </c>
      <c r="G906" s="828">
        <f t="shared" si="364"/>
        <v>0</v>
      </c>
      <c r="H906" s="830">
        <f t="shared" si="365"/>
        <v>0</v>
      </c>
      <c r="I906" s="830">
        <f t="shared" si="366"/>
        <v>0</v>
      </c>
      <c r="J906" s="829">
        <f t="shared" si="367"/>
        <v>0</v>
      </c>
      <c r="K906" s="674">
        <f>SUM(C906:J906)</f>
        <v>0</v>
      </c>
    </row>
    <row r="907" spans="1:12" ht="17.45" customHeight="1">
      <c r="A907" s="1435"/>
      <c r="B907" s="669" t="str">
        <f t="shared" si="351"/>
        <v>7구간</v>
      </c>
      <c r="C907" s="831">
        <f t="shared" si="360"/>
        <v>0</v>
      </c>
      <c r="D907" s="832">
        <f t="shared" si="361"/>
        <v>0</v>
      </c>
      <c r="E907" s="831">
        <f t="shared" si="362"/>
        <v>0</v>
      </c>
      <c r="F907" s="832">
        <f t="shared" si="363"/>
        <v>0</v>
      </c>
      <c r="G907" s="831">
        <f t="shared" si="364"/>
        <v>0</v>
      </c>
      <c r="H907" s="833">
        <f t="shared" si="365"/>
        <v>0</v>
      </c>
      <c r="I907" s="833">
        <f t="shared" si="366"/>
        <v>0</v>
      </c>
      <c r="J907" s="832">
        <f t="shared" si="367"/>
        <v>0</v>
      </c>
      <c r="K907" s="674">
        <f>SUM(C907:J907)</f>
        <v>0</v>
      </c>
    </row>
    <row r="908" spans="1:12" ht="17.45" customHeight="1">
      <c r="A908" s="1435"/>
      <c r="B908" s="669" t="str">
        <f t="shared" si="351"/>
        <v>8구간</v>
      </c>
      <c r="C908" s="831">
        <f t="shared" si="360"/>
        <v>0</v>
      </c>
      <c r="D908" s="832">
        <f t="shared" si="361"/>
        <v>0</v>
      </c>
      <c r="E908" s="831">
        <f t="shared" si="362"/>
        <v>0</v>
      </c>
      <c r="F908" s="832">
        <f t="shared" si="363"/>
        <v>0</v>
      </c>
      <c r="G908" s="831">
        <f t="shared" si="364"/>
        <v>0</v>
      </c>
      <c r="H908" s="833">
        <f t="shared" si="365"/>
        <v>0</v>
      </c>
      <c r="I908" s="833">
        <f t="shared" si="366"/>
        <v>0</v>
      </c>
      <c r="J908" s="832">
        <f t="shared" si="367"/>
        <v>0</v>
      </c>
      <c r="K908" s="674">
        <f>SUM(C908:J908)</f>
        <v>0</v>
      </c>
    </row>
    <row r="909" spans="1:12" ht="17.45" customHeight="1">
      <c r="A909" s="1435"/>
      <c r="B909" s="669" t="str">
        <f t="shared" si="351"/>
        <v>9구간</v>
      </c>
      <c r="C909" s="831">
        <f t="shared" si="360"/>
        <v>0</v>
      </c>
      <c r="D909" s="832">
        <f t="shared" si="361"/>
        <v>0</v>
      </c>
      <c r="E909" s="831">
        <f t="shared" si="362"/>
        <v>0</v>
      </c>
      <c r="F909" s="832">
        <f t="shared" si="363"/>
        <v>0</v>
      </c>
      <c r="G909" s="831">
        <f t="shared" si="364"/>
        <v>0</v>
      </c>
      <c r="H909" s="833">
        <f t="shared" si="365"/>
        <v>0</v>
      </c>
      <c r="I909" s="833">
        <f t="shared" si="366"/>
        <v>0</v>
      </c>
      <c r="J909" s="832">
        <f t="shared" si="367"/>
        <v>0</v>
      </c>
      <c r="K909" s="674">
        <f>SUM(C909:J909)</f>
        <v>0</v>
      </c>
    </row>
    <row r="910" spans="1:12" ht="17.45" customHeight="1">
      <c r="A910" s="1436"/>
      <c r="B910" s="680" t="str">
        <f t="shared" si="351"/>
        <v>10구간</v>
      </c>
      <c r="C910" s="834">
        <f t="shared" si="360"/>
        <v>0</v>
      </c>
      <c r="D910" s="835">
        <f t="shared" si="361"/>
        <v>0</v>
      </c>
      <c r="E910" s="834">
        <f t="shared" si="362"/>
        <v>0</v>
      </c>
      <c r="F910" s="835">
        <f t="shared" si="363"/>
        <v>0</v>
      </c>
      <c r="G910" s="834">
        <f t="shared" si="364"/>
        <v>0</v>
      </c>
      <c r="H910" s="836">
        <f t="shared" si="365"/>
        <v>0</v>
      </c>
      <c r="I910" s="836">
        <f t="shared" si="366"/>
        <v>0</v>
      </c>
      <c r="J910" s="835">
        <f t="shared" si="367"/>
        <v>0</v>
      </c>
      <c r="K910" s="674">
        <f>SUM(C910:J910)</f>
        <v>0</v>
      </c>
    </row>
    <row r="911" spans="1:12" ht="17.45" customHeight="1">
      <c r="A911" s="1434">
        <v>40</v>
      </c>
      <c r="B911" s="676" t="str">
        <f t="shared" si="351"/>
        <v>1구간</v>
      </c>
      <c r="C911" s="828">
        <f t="shared" ref="C911:C920" si="368">ROUND(((($C$880*$C$852*$F760)*$E$873)*$C288),2)</f>
        <v>0.65</v>
      </c>
      <c r="D911" s="829">
        <f t="shared" ref="D911:D920" si="369">ROUND(((($D$880*$C$852*$F783)*$F$873)*$D288),2)</f>
        <v>0.26</v>
      </c>
      <c r="E911" s="828">
        <f t="shared" ref="E911:E920" si="370">ROUND(((($E$880*$C$852*$F806)*$F$873)*$E288),2)</f>
        <v>0</v>
      </c>
      <c r="F911" s="829">
        <f t="shared" ref="F911:F920" si="371">ROUND(((($F$880*$C$852*$F829)*$F$873)*$F288),2)</f>
        <v>0.21</v>
      </c>
      <c r="G911" s="828">
        <f t="shared" ref="G911:G920" si="372">ROUND(((($G$880*$C$852*$F806)*$F$873)*$G288),2)</f>
        <v>0.14000000000000001</v>
      </c>
      <c r="H911" s="830">
        <f t="shared" ref="H911:H920" si="373">ROUND(((($H$880*$C$852*$F829)*$F$873)*$H288),2)</f>
        <v>0.38</v>
      </c>
      <c r="I911" s="830">
        <f t="shared" ref="I911:I920" si="374">ROUND(((($I$880*$C$852*$F829)*$F$873)*$I288),2)</f>
        <v>0.09</v>
      </c>
      <c r="J911" s="829">
        <f t="shared" ref="J911:J920" si="375">ROUND(((($J$880*$C$852*$F829)*$F$873)*$J288),2)</f>
        <v>0.31</v>
      </c>
      <c r="K911" s="681">
        <f t="shared" si="350"/>
        <v>2.04</v>
      </c>
    </row>
    <row r="912" spans="1:12" ht="17.45" customHeight="1">
      <c r="A912" s="1435"/>
      <c r="B912" s="669" t="str">
        <f t="shared" si="351"/>
        <v>2구간</v>
      </c>
      <c r="C912" s="831">
        <f t="shared" si="368"/>
        <v>0</v>
      </c>
      <c r="D912" s="832">
        <f t="shared" si="369"/>
        <v>0</v>
      </c>
      <c r="E912" s="831">
        <f t="shared" si="370"/>
        <v>0</v>
      </c>
      <c r="F912" s="832">
        <f t="shared" si="371"/>
        <v>0</v>
      </c>
      <c r="G912" s="831">
        <f t="shared" si="372"/>
        <v>0</v>
      </c>
      <c r="H912" s="833">
        <f t="shared" si="373"/>
        <v>0</v>
      </c>
      <c r="I912" s="833">
        <f t="shared" si="374"/>
        <v>0</v>
      </c>
      <c r="J912" s="832">
        <f t="shared" si="375"/>
        <v>0</v>
      </c>
      <c r="K912" s="674">
        <f t="shared" si="350"/>
        <v>0</v>
      </c>
    </row>
    <row r="913" spans="1:11" ht="17.45" customHeight="1">
      <c r="A913" s="1435"/>
      <c r="B913" s="669" t="str">
        <f t="shared" si="351"/>
        <v>3구간</v>
      </c>
      <c r="C913" s="831">
        <f t="shared" si="368"/>
        <v>0</v>
      </c>
      <c r="D913" s="832">
        <f t="shared" si="369"/>
        <v>0</v>
      </c>
      <c r="E913" s="831">
        <f t="shared" si="370"/>
        <v>0</v>
      </c>
      <c r="F913" s="832">
        <f t="shared" si="371"/>
        <v>0</v>
      </c>
      <c r="G913" s="831">
        <f t="shared" si="372"/>
        <v>0</v>
      </c>
      <c r="H913" s="833">
        <f t="shared" si="373"/>
        <v>0</v>
      </c>
      <c r="I913" s="833">
        <f t="shared" si="374"/>
        <v>0</v>
      </c>
      <c r="J913" s="832">
        <f t="shared" si="375"/>
        <v>0</v>
      </c>
      <c r="K913" s="674">
        <f t="shared" si="350"/>
        <v>0</v>
      </c>
    </row>
    <row r="914" spans="1:11" ht="17.45" customHeight="1">
      <c r="A914" s="1435"/>
      <c r="B914" s="669" t="str">
        <f t="shared" si="351"/>
        <v>4구간</v>
      </c>
      <c r="C914" s="831">
        <f t="shared" si="368"/>
        <v>0</v>
      </c>
      <c r="D914" s="832">
        <f t="shared" si="369"/>
        <v>0</v>
      </c>
      <c r="E914" s="831">
        <f t="shared" si="370"/>
        <v>0</v>
      </c>
      <c r="F914" s="832">
        <f t="shared" si="371"/>
        <v>0</v>
      </c>
      <c r="G914" s="831">
        <f t="shared" si="372"/>
        <v>0</v>
      </c>
      <c r="H914" s="833">
        <f t="shared" si="373"/>
        <v>0</v>
      </c>
      <c r="I914" s="833">
        <f t="shared" si="374"/>
        <v>0</v>
      </c>
      <c r="J914" s="832">
        <f t="shared" si="375"/>
        <v>0</v>
      </c>
      <c r="K914" s="674">
        <f t="shared" si="350"/>
        <v>0</v>
      </c>
    </row>
    <row r="915" spans="1:11" ht="17.25" customHeight="1">
      <c r="A915" s="1435"/>
      <c r="B915" s="669" t="str">
        <f t="shared" si="351"/>
        <v>5구간</v>
      </c>
      <c r="C915" s="831">
        <f t="shared" si="368"/>
        <v>0</v>
      </c>
      <c r="D915" s="832">
        <f t="shared" si="369"/>
        <v>0</v>
      </c>
      <c r="E915" s="831">
        <f t="shared" si="370"/>
        <v>0</v>
      </c>
      <c r="F915" s="832">
        <f t="shared" si="371"/>
        <v>0</v>
      </c>
      <c r="G915" s="831">
        <f t="shared" si="372"/>
        <v>0</v>
      </c>
      <c r="H915" s="833">
        <f t="shared" si="373"/>
        <v>0</v>
      </c>
      <c r="I915" s="833">
        <f t="shared" si="374"/>
        <v>0</v>
      </c>
      <c r="J915" s="832">
        <f t="shared" si="375"/>
        <v>0</v>
      </c>
      <c r="K915" s="675">
        <f t="shared" si="350"/>
        <v>0</v>
      </c>
    </row>
    <row r="916" spans="1:11" ht="17.45" customHeight="1">
      <c r="A916" s="1435"/>
      <c r="B916" s="676" t="str">
        <f t="shared" si="351"/>
        <v>6구간</v>
      </c>
      <c r="C916" s="828">
        <f t="shared" si="368"/>
        <v>0</v>
      </c>
      <c r="D916" s="829">
        <f t="shared" si="369"/>
        <v>0</v>
      </c>
      <c r="E916" s="828">
        <f t="shared" si="370"/>
        <v>0</v>
      </c>
      <c r="F916" s="829">
        <f t="shared" si="371"/>
        <v>0</v>
      </c>
      <c r="G916" s="828">
        <f t="shared" si="372"/>
        <v>0</v>
      </c>
      <c r="H916" s="830">
        <f t="shared" si="373"/>
        <v>0</v>
      </c>
      <c r="I916" s="830">
        <f t="shared" si="374"/>
        <v>0</v>
      </c>
      <c r="J916" s="829">
        <f t="shared" si="375"/>
        <v>0</v>
      </c>
      <c r="K916" s="674">
        <f>SUM(C916:J916)</f>
        <v>0</v>
      </c>
    </row>
    <row r="917" spans="1:11" ht="17.45" customHeight="1">
      <c r="A917" s="1435"/>
      <c r="B917" s="669" t="str">
        <f t="shared" si="351"/>
        <v>7구간</v>
      </c>
      <c r="C917" s="831">
        <f t="shared" si="368"/>
        <v>0</v>
      </c>
      <c r="D917" s="832">
        <f t="shared" si="369"/>
        <v>0</v>
      </c>
      <c r="E917" s="831">
        <f t="shared" si="370"/>
        <v>0</v>
      </c>
      <c r="F917" s="832">
        <f t="shared" si="371"/>
        <v>0</v>
      </c>
      <c r="G917" s="831">
        <f t="shared" si="372"/>
        <v>0</v>
      </c>
      <c r="H917" s="833">
        <f t="shared" si="373"/>
        <v>0</v>
      </c>
      <c r="I917" s="833">
        <f t="shared" si="374"/>
        <v>0</v>
      </c>
      <c r="J917" s="832">
        <f t="shared" si="375"/>
        <v>0</v>
      </c>
      <c r="K917" s="674">
        <f>SUM(C917:J917)</f>
        <v>0</v>
      </c>
    </row>
    <row r="918" spans="1:11" ht="17.45" customHeight="1">
      <c r="A918" s="1435"/>
      <c r="B918" s="669" t="str">
        <f t="shared" si="351"/>
        <v>8구간</v>
      </c>
      <c r="C918" s="831">
        <f t="shared" si="368"/>
        <v>0</v>
      </c>
      <c r="D918" s="832">
        <f t="shared" si="369"/>
        <v>0</v>
      </c>
      <c r="E918" s="831">
        <f t="shared" si="370"/>
        <v>0</v>
      </c>
      <c r="F918" s="832">
        <f t="shared" si="371"/>
        <v>0</v>
      </c>
      <c r="G918" s="831">
        <f t="shared" si="372"/>
        <v>0</v>
      </c>
      <c r="H918" s="833">
        <f t="shared" si="373"/>
        <v>0</v>
      </c>
      <c r="I918" s="833">
        <f t="shared" si="374"/>
        <v>0</v>
      </c>
      <c r="J918" s="832">
        <f t="shared" si="375"/>
        <v>0</v>
      </c>
      <c r="K918" s="674">
        <f>SUM(C918:J918)</f>
        <v>0</v>
      </c>
    </row>
    <row r="919" spans="1:11" ht="17.45" customHeight="1">
      <c r="A919" s="1435"/>
      <c r="B919" s="669" t="str">
        <f t="shared" si="351"/>
        <v>9구간</v>
      </c>
      <c r="C919" s="831">
        <f t="shared" si="368"/>
        <v>0</v>
      </c>
      <c r="D919" s="832">
        <f t="shared" si="369"/>
        <v>0</v>
      </c>
      <c r="E919" s="831">
        <f t="shared" si="370"/>
        <v>0</v>
      </c>
      <c r="F919" s="832">
        <f t="shared" si="371"/>
        <v>0</v>
      </c>
      <c r="G919" s="831">
        <f t="shared" si="372"/>
        <v>0</v>
      </c>
      <c r="H919" s="833">
        <f t="shared" si="373"/>
        <v>0</v>
      </c>
      <c r="I919" s="833">
        <f t="shared" si="374"/>
        <v>0</v>
      </c>
      <c r="J919" s="832">
        <f t="shared" si="375"/>
        <v>0</v>
      </c>
      <c r="K919" s="674">
        <f>SUM(C919:J919)</f>
        <v>0</v>
      </c>
    </row>
    <row r="920" spans="1:11" ht="17.25" customHeight="1">
      <c r="A920" s="1436"/>
      <c r="B920" s="680" t="str">
        <f t="shared" si="351"/>
        <v>10구간</v>
      </c>
      <c r="C920" s="834">
        <f t="shared" si="368"/>
        <v>0</v>
      </c>
      <c r="D920" s="835">
        <f t="shared" si="369"/>
        <v>0</v>
      </c>
      <c r="E920" s="834">
        <f t="shared" si="370"/>
        <v>0</v>
      </c>
      <c r="F920" s="835">
        <f t="shared" si="371"/>
        <v>0</v>
      </c>
      <c r="G920" s="834">
        <f t="shared" si="372"/>
        <v>0</v>
      </c>
      <c r="H920" s="836">
        <f t="shared" si="373"/>
        <v>0</v>
      </c>
      <c r="I920" s="836">
        <f t="shared" si="374"/>
        <v>0</v>
      </c>
      <c r="J920" s="835">
        <f t="shared" si="375"/>
        <v>0</v>
      </c>
      <c r="K920" s="674">
        <f>SUM(C920:J920)</f>
        <v>0</v>
      </c>
    </row>
    <row r="921" spans="1:11" ht="17.45" customHeight="1">
      <c r="A921" s="1434">
        <v>50</v>
      </c>
      <c r="B921" s="676" t="str">
        <f t="shared" si="351"/>
        <v>1구간</v>
      </c>
      <c r="C921" s="828">
        <f t="shared" ref="C921:C930" si="376">ROUND(((($C$880*$C$852*$G760)*$E$873)*$C299),2)</f>
        <v>0.6</v>
      </c>
      <c r="D921" s="829">
        <f t="shared" ref="D921:D930" si="377">ROUND(((($D$880*$C$852*$G783)*$F$873)*$D299),2)</f>
        <v>0.2</v>
      </c>
      <c r="E921" s="828">
        <f t="shared" ref="E921:E930" si="378">ROUND(((($E$880*$C$852*$G806)*$F$873)*$E299),2)</f>
        <v>0</v>
      </c>
      <c r="F921" s="829">
        <f t="shared" ref="F921:F930" si="379">ROUND(((($F$880*$C$852*$G829)*$F$873)*$F299),2)</f>
        <v>0.19</v>
      </c>
      <c r="G921" s="828">
        <f t="shared" ref="G921:G930" si="380">ROUND(((($G$880*$C$852*$G806)*$F$873)*$G299),2)</f>
        <v>0.13</v>
      </c>
      <c r="H921" s="830">
        <f t="shared" ref="H921:H930" si="381">ROUND(((($H$880*$C$852*$G829)*$F$873)*$H299),2)</f>
        <v>0.35</v>
      </c>
      <c r="I921" s="830">
        <f t="shared" ref="I921:I930" si="382">ROUND(((($I$880*$C$852*$G829)*$F$873)*$I299),2)</f>
        <v>0.08</v>
      </c>
      <c r="J921" s="829">
        <f t="shared" ref="J921:J930" si="383">ROUND(((($J$880*$C$852*$G829)*$F$873)*$J299),2)</f>
        <v>0.28999999999999998</v>
      </c>
      <c r="K921" s="681">
        <f t="shared" si="350"/>
        <v>1.8400000000000003</v>
      </c>
    </row>
    <row r="922" spans="1:11" ht="17.45" customHeight="1">
      <c r="A922" s="1435"/>
      <c r="B922" s="669" t="str">
        <f t="shared" si="351"/>
        <v>2구간</v>
      </c>
      <c r="C922" s="831">
        <f t="shared" si="376"/>
        <v>0</v>
      </c>
      <c r="D922" s="832">
        <f t="shared" si="377"/>
        <v>0</v>
      </c>
      <c r="E922" s="831">
        <f t="shared" si="378"/>
        <v>0</v>
      </c>
      <c r="F922" s="832">
        <f t="shared" si="379"/>
        <v>0</v>
      </c>
      <c r="G922" s="831">
        <f t="shared" si="380"/>
        <v>0</v>
      </c>
      <c r="H922" s="833">
        <f t="shared" si="381"/>
        <v>0</v>
      </c>
      <c r="I922" s="833">
        <f t="shared" si="382"/>
        <v>0</v>
      </c>
      <c r="J922" s="832">
        <f t="shared" si="383"/>
        <v>0</v>
      </c>
      <c r="K922" s="674">
        <f t="shared" si="350"/>
        <v>0</v>
      </c>
    </row>
    <row r="923" spans="1:11" ht="17.45" customHeight="1">
      <c r="A923" s="1435"/>
      <c r="B923" s="669" t="str">
        <f t="shared" ref="B923:B950" si="384">B913</f>
        <v>3구간</v>
      </c>
      <c r="C923" s="831">
        <f t="shared" si="376"/>
        <v>0</v>
      </c>
      <c r="D923" s="832">
        <f t="shared" si="377"/>
        <v>0</v>
      </c>
      <c r="E923" s="831">
        <f t="shared" si="378"/>
        <v>0</v>
      </c>
      <c r="F923" s="832">
        <f t="shared" si="379"/>
        <v>0</v>
      </c>
      <c r="G923" s="831">
        <f t="shared" si="380"/>
        <v>0</v>
      </c>
      <c r="H923" s="833">
        <f t="shared" si="381"/>
        <v>0</v>
      </c>
      <c r="I923" s="833">
        <f t="shared" si="382"/>
        <v>0</v>
      </c>
      <c r="J923" s="832">
        <f t="shared" si="383"/>
        <v>0</v>
      </c>
      <c r="K923" s="674">
        <f t="shared" si="350"/>
        <v>0</v>
      </c>
    </row>
    <row r="924" spans="1:11" ht="17.45" customHeight="1">
      <c r="A924" s="1435"/>
      <c r="B924" s="669" t="str">
        <f t="shared" si="384"/>
        <v>4구간</v>
      </c>
      <c r="C924" s="831">
        <f t="shared" si="376"/>
        <v>0</v>
      </c>
      <c r="D924" s="832">
        <f t="shared" si="377"/>
        <v>0</v>
      </c>
      <c r="E924" s="831">
        <f t="shared" si="378"/>
        <v>0</v>
      </c>
      <c r="F924" s="832">
        <f t="shared" si="379"/>
        <v>0</v>
      </c>
      <c r="G924" s="831">
        <f t="shared" si="380"/>
        <v>0</v>
      </c>
      <c r="H924" s="833">
        <f t="shared" si="381"/>
        <v>0</v>
      </c>
      <c r="I924" s="833">
        <f t="shared" si="382"/>
        <v>0</v>
      </c>
      <c r="J924" s="832">
        <f t="shared" si="383"/>
        <v>0</v>
      </c>
      <c r="K924" s="674">
        <f t="shared" si="350"/>
        <v>0</v>
      </c>
    </row>
    <row r="925" spans="1:11" ht="17.45" customHeight="1">
      <c r="A925" s="1435"/>
      <c r="B925" s="669" t="str">
        <f t="shared" si="384"/>
        <v>5구간</v>
      </c>
      <c r="C925" s="831">
        <f t="shared" si="376"/>
        <v>0</v>
      </c>
      <c r="D925" s="832">
        <f t="shared" si="377"/>
        <v>0</v>
      </c>
      <c r="E925" s="831">
        <f t="shared" si="378"/>
        <v>0</v>
      </c>
      <c r="F925" s="832">
        <f t="shared" si="379"/>
        <v>0</v>
      </c>
      <c r="G925" s="831">
        <f t="shared" si="380"/>
        <v>0</v>
      </c>
      <c r="H925" s="833">
        <f t="shared" si="381"/>
        <v>0</v>
      </c>
      <c r="I925" s="833">
        <f t="shared" si="382"/>
        <v>0</v>
      </c>
      <c r="J925" s="832">
        <f t="shared" si="383"/>
        <v>0</v>
      </c>
      <c r="K925" s="675">
        <f t="shared" si="350"/>
        <v>0</v>
      </c>
    </row>
    <row r="926" spans="1:11" ht="17.45" customHeight="1">
      <c r="A926" s="1435"/>
      <c r="B926" s="676" t="str">
        <f t="shared" si="384"/>
        <v>6구간</v>
      </c>
      <c r="C926" s="828">
        <f t="shared" si="376"/>
        <v>0</v>
      </c>
      <c r="D926" s="829">
        <f t="shared" si="377"/>
        <v>0</v>
      </c>
      <c r="E926" s="828">
        <f t="shared" si="378"/>
        <v>0</v>
      </c>
      <c r="F926" s="829">
        <f t="shared" si="379"/>
        <v>0</v>
      </c>
      <c r="G926" s="828">
        <f t="shared" si="380"/>
        <v>0</v>
      </c>
      <c r="H926" s="830">
        <f t="shared" si="381"/>
        <v>0</v>
      </c>
      <c r="I926" s="830">
        <f t="shared" si="382"/>
        <v>0</v>
      </c>
      <c r="J926" s="829">
        <f t="shared" si="383"/>
        <v>0</v>
      </c>
      <c r="K926" s="674">
        <f>SUM(C926:J926)</f>
        <v>0</v>
      </c>
    </row>
    <row r="927" spans="1:11" ht="17.45" customHeight="1">
      <c r="A927" s="1435"/>
      <c r="B927" s="669" t="str">
        <f t="shared" si="384"/>
        <v>7구간</v>
      </c>
      <c r="C927" s="831">
        <f t="shared" si="376"/>
        <v>0</v>
      </c>
      <c r="D927" s="832">
        <f t="shared" si="377"/>
        <v>0</v>
      </c>
      <c r="E927" s="831">
        <f t="shared" si="378"/>
        <v>0</v>
      </c>
      <c r="F927" s="832">
        <f t="shared" si="379"/>
        <v>0</v>
      </c>
      <c r="G927" s="831">
        <f t="shared" si="380"/>
        <v>0</v>
      </c>
      <c r="H927" s="833">
        <f t="shared" si="381"/>
        <v>0</v>
      </c>
      <c r="I927" s="833">
        <f t="shared" si="382"/>
        <v>0</v>
      </c>
      <c r="J927" s="832">
        <f t="shared" si="383"/>
        <v>0</v>
      </c>
      <c r="K927" s="674">
        <f>SUM(C927:J927)</f>
        <v>0</v>
      </c>
    </row>
    <row r="928" spans="1:11" ht="17.45" customHeight="1">
      <c r="A928" s="1435"/>
      <c r="B928" s="669" t="str">
        <f t="shared" si="384"/>
        <v>8구간</v>
      </c>
      <c r="C928" s="831">
        <f t="shared" si="376"/>
        <v>0</v>
      </c>
      <c r="D928" s="832">
        <f t="shared" si="377"/>
        <v>0</v>
      </c>
      <c r="E928" s="831">
        <f t="shared" si="378"/>
        <v>0</v>
      </c>
      <c r="F928" s="832">
        <f t="shared" si="379"/>
        <v>0</v>
      </c>
      <c r="G928" s="831">
        <f t="shared" si="380"/>
        <v>0</v>
      </c>
      <c r="H928" s="833">
        <f t="shared" si="381"/>
        <v>0</v>
      </c>
      <c r="I928" s="833">
        <f t="shared" si="382"/>
        <v>0</v>
      </c>
      <c r="J928" s="832">
        <f t="shared" si="383"/>
        <v>0</v>
      </c>
      <c r="K928" s="674">
        <f>SUM(C928:J928)</f>
        <v>0</v>
      </c>
    </row>
    <row r="929" spans="1:11" ht="17.45" customHeight="1">
      <c r="A929" s="1435"/>
      <c r="B929" s="669" t="str">
        <f t="shared" si="384"/>
        <v>9구간</v>
      </c>
      <c r="C929" s="831">
        <f t="shared" si="376"/>
        <v>0</v>
      </c>
      <c r="D929" s="832">
        <f t="shared" si="377"/>
        <v>0</v>
      </c>
      <c r="E929" s="831">
        <f t="shared" si="378"/>
        <v>0</v>
      </c>
      <c r="F929" s="832">
        <f t="shared" si="379"/>
        <v>0</v>
      </c>
      <c r="G929" s="831">
        <f t="shared" si="380"/>
        <v>0</v>
      </c>
      <c r="H929" s="833">
        <f t="shared" si="381"/>
        <v>0</v>
      </c>
      <c r="I929" s="833">
        <f t="shared" si="382"/>
        <v>0</v>
      </c>
      <c r="J929" s="832">
        <f t="shared" si="383"/>
        <v>0</v>
      </c>
      <c r="K929" s="674">
        <f>SUM(C929:J929)</f>
        <v>0</v>
      </c>
    </row>
    <row r="930" spans="1:11" ht="17.45" customHeight="1">
      <c r="A930" s="1436"/>
      <c r="B930" s="680" t="str">
        <f t="shared" si="384"/>
        <v>10구간</v>
      </c>
      <c r="C930" s="834">
        <f t="shared" si="376"/>
        <v>0</v>
      </c>
      <c r="D930" s="835">
        <f t="shared" si="377"/>
        <v>0</v>
      </c>
      <c r="E930" s="834">
        <f t="shared" si="378"/>
        <v>0</v>
      </c>
      <c r="F930" s="835">
        <f t="shared" si="379"/>
        <v>0</v>
      </c>
      <c r="G930" s="834">
        <f t="shared" si="380"/>
        <v>0</v>
      </c>
      <c r="H930" s="836">
        <f t="shared" si="381"/>
        <v>0</v>
      </c>
      <c r="I930" s="836">
        <f t="shared" si="382"/>
        <v>0</v>
      </c>
      <c r="J930" s="835">
        <f t="shared" si="383"/>
        <v>0</v>
      </c>
      <c r="K930" s="674">
        <f>SUM(C930:J930)</f>
        <v>0</v>
      </c>
    </row>
    <row r="931" spans="1:11" ht="17.45" customHeight="1">
      <c r="A931" s="1434">
        <v>60</v>
      </c>
      <c r="B931" s="676" t="str">
        <f t="shared" si="384"/>
        <v>1구간</v>
      </c>
      <c r="C931" s="828">
        <f t="shared" ref="C931:C940" si="385">ROUND(((($C$880*$C$852*$H760)*$E$873)*$C310),2)</f>
        <v>0.5</v>
      </c>
      <c r="D931" s="829">
        <f t="shared" ref="D931:D940" si="386">ROUND(((($D$880*$C$852*$H783)*$F$873)*$D310),2)</f>
        <v>0.14000000000000001</v>
      </c>
      <c r="E931" s="828">
        <f t="shared" ref="E931:E940" si="387">ROUND(((($E$880*$C$852*$H806)*$F$873)*$E310),2)</f>
        <v>0</v>
      </c>
      <c r="F931" s="829">
        <f t="shared" ref="F931:F940" si="388">ROUND(((($F$880*$C$852*$H829)*$F$873)*$F310),2)</f>
        <v>0.19</v>
      </c>
      <c r="G931" s="828">
        <f t="shared" ref="G931:G940" si="389">ROUND(((($G$880*$C$852*$H806)*$F$873)*$G310),2)</f>
        <v>0.1</v>
      </c>
      <c r="H931" s="830">
        <f t="shared" ref="H931:H940" si="390">ROUND(((($H$880*$C$852*$H829)*$F$873)*$H310),2)</f>
        <v>0.34</v>
      </c>
      <c r="I931" s="830">
        <f t="shared" ref="I931:I940" si="391">ROUND(((($I$880*$C$852*$H829)*$F$873)*$I310),2)</f>
        <v>0.08</v>
      </c>
      <c r="J931" s="829">
        <f t="shared" ref="J931:J940" si="392">ROUND(((($J$880*$C$852*$H829)*$F$873)*$J310),2)</f>
        <v>0.28000000000000003</v>
      </c>
      <c r="K931" s="681">
        <f t="shared" si="350"/>
        <v>1.6300000000000001</v>
      </c>
    </row>
    <row r="932" spans="1:11" ht="17.45" customHeight="1">
      <c r="A932" s="1435"/>
      <c r="B932" s="669" t="str">
        <f t="shared" si="384"/>
        <v>2구간</v>
      </c>
      <c r="C932" s="831">
        <f t="shared" si="385"/>
        <v>0</v>
      </c>
      <c r="D932" s="832">
        <f t="shared" si="386"/>
        <v>0</v>
      </c>
      <c r="E932" s="831">
        <f t="shared" si="387"/>
        <v>0</v>
      </c>
      <c r="F932" s="832">
        <f t="shared" si="388"/>
        <v>0</v>
      </c>
      <c r="G932" s="831">
        <f t="shared" si="389"/>
        <v>0</v>
      </c>
      <c r="H932" s="833">
        <f t="shared" si="390"/>
        <v>0</v>
      </c>
      <c r="I932" s="833">
        <f t="shared" si="391"/>
        <v>0</v>
      </c>
      <c r="J932" s="832">
        <f t="shared" si="392"/>
        <v>0</v>
      </c>
      <c r="K932" s="674">
        <f t="shared" si="350"/>
        <v>0</v>
      </c>
    </row>
    <row r="933" spans="1:11" ht="17.45" customHeight="1">
      <c r="A933" s="1435"/>
      <c r="B933" s="669" t="str">
        <f t="shared" si="384"/>
        <v>3구간</v>
      </c>
      <c r="C933" s="831">
        <f t="shared" si="385"/>
        <v>0</v>
      </c>
      <c r="D933" s="832">
        <f t="shared" si="386"/>
        <v>0</v>
      </c>
      <c r="E933" s="831">
        <f t="shared" si="387"/>
        <v>0</v>
      </c>
      <c r="F933" s="832">
        <f t="shared" si="388"/>
        <v>0</v>
      </c>
      <c r="G933" s="831">
        <f t="shared" si="389"/>
        <v>0</v>
      </c>
      <c r="H933" s="833">
        <f t="shared" si="390"/>
        <v>0</v>
      </c>
      <c r="I933" s="833">
        <f t="shared" si="391"/>
        <v>0</v>
      </c>
      <c r="J933" s="832">
        <f t="shared" si="392"/>
        <v>0</v>
      </c>
      <c r="K933" s="674">
        <f t="shared" si="350"/>
        <v>0</v>
      </c>
    </row>
    <row r="934" spans="1:11" ht="17.45" customHeight="1">
      <c r="A934" s="1435"/>
      <c r="B934" s="669" t="str">
        <f t="shared" si="384"/>
        <v>4구간</v>
      </c>
      <c r="C934" s="831">
        <f t="shared" si="385"/>
        <v>0</v>
      </c>
      <c r="D934" s="832">
        <f t="shared" si="386"/>
        <v>0</v>
      </c>
      <c r="E934" s="831">
        <f t="shared" si="387"/>
        <v>0</v>
      </c>
      <c r="F934" s="832">
        <f t="shared" si="388"/>
        <v>0</v>
      </c>
      <c r="G934" s="831">
        <f t="shared" si="389"/>
        <v>0</v>
      </c>
      <c r="H934" s="833">
        <f t="shared" si="390"/>
        <v>0</v>
      </c>
      <c r="I934" s="833">
        <f t="shared" si="391"/>
        <v>0</v>
      </c>
      <c r="J934" s="832">
        <f t="shared" si="392"/>
        <v>0</v>
      </c>
      <c r="K934" s="674">
        <f t="shared" si="350"/>
        <v>0</v>
      </c>
    </row>
    <row r="935" spans="1:11" ht="17.45" customHeight="1">
      <c r="A935" s="1435"/>
      <c r="B935" s="669" t="str">
        <f t="shared" si="384"/>
        <v>5구간</v>
      </c>
      <c r="C935" s="831">
        <f t="shared" si="385"/>
        <v>0</v>
      </c>
      <c r="D935" s="832">
        <f t="shared" si="386"/>
        <v>0</v>
      </c>
      <c r="E935" s="831">
        <f t="shared" si="387"/>
        <v>0</v>
      </c>
      <c r="F935" s="832">
        <f t="shared" si="388"/>
        <v>0</v>
      </c>
      <c r="G935" s="831">
        <f t="shared" si="389"/>
        <v>0</v>
      </c>
      <c r="H935" s="833">
        <f t="shared" si="390"/>
        <v>0</v>
      </c>
      <c r="I935" s="833">
        <f t="shared" si="391"/>
        <v>0</v>
      </c>
      <c r="J935" s="832">
        <f t="shared" si="392"/>
        <v>0</v>
      </c>
      <c r="K935" s="675">
        <f t="shared" si="350"/>
        <v>0</v>
      </c>
    </row>
    <row r="936" spans="1:11" ht="17.45" customHeight="1">
      <c r="A936" s="1435"/>
      <c r="B936" s="676" t="str">
        <f t="shared" si="384"/>
        <v>6구간</v>
      </c>
      <c r="C936" s="828">
        <f t="shared" si="385"/>
        <v>0</v>
      </c>
      <c r="D936" s="829">
        <f t="shared" si="386"/>
        <v>0</v>
      </c>
      <c r="E936" s="828">
        <f t="shared" si="387"/>
        <v>0</v>
      </c>
      <c r="F936" s="829">
        <f t="shared" si="388"/>
        <v>0</v>
      </c>
      <c r="G936" s="828">
        <f t="shared" si="389"/>
        <v>0</v>
      </c>
      <c r="H936" s="830">
        <f t="shared" si="390"/>
        <v>0</v>
      </c>
      <c r="I936" s="830">
        <f t="shared" si="391"/>
        <v>0</v>
      </c>
      <c r="J936" s="829">
        <f t="shared" si="392"/>
        <v>0</v>
      </c>
      <c r="K936" s="674">
        <f>SUM(C936:J936)</f>
        <v>0</v>
      </c>
    </row>
    <row r="937" spans="1:11" ht="17.45" customHeight="1">
      <c r="A937" s="1435"/>
      <c r="B937" s="669" t="str">
        <f t="shared" si="384"/>
        <v>7구간</v>
      </c>
      <c r="C937" s="831">
        <f t="shared" si="385"/>
        <v>0</v>
      </c>
      <c r="D937" s="832">
        <f t="shared" si="386"/>
        <v>0</v>
      </c>
      <c r="E937" s="831">
        <f t="shared" si="387"/>
        <v>0</v>
      </c>
      <c r="F937" s="832">
        <f t="shared" si="388"/>
        <v>0</v>
      </c>
      <c r="G937" s="831">
        <f t="shared" si="389"/>
        <v>0</v>
      </c>
      <c r="H937" s="833">
        <f t="shared" si="390"/>
        <v>0</v>
      </c>
      <c r="I937" s="833">
        <f t="shared" si="391"/>
        <v>0</v>
      </c>
      <c r="J937" s="832">
        <f t="shared" si="392"/>
        <v>0</v>
      </c>
      <c r="K937" s="674">
        <f>SUM(C937:J937)</f>
        <v>0</v>
      </c>
    </row>
    <row r="938" spans="1:11" ht="17.45" customHeight="1">
      <c r="A938" s="1435"/>
      <c r="B938" s="669" t="str">
        <f t="shared" si="384"/>
        <v>8구간</v>
      </c>
      <c r="C938" s="831">
        <f t="shared" si="385"/>
        <v>0</v>
      </c>
      <c r="D938" s="832">
        <f t="shared" si="386"/>
        <v>0</v>
      </c>
      <c r="E938" s="831">
        <f t="shared" si="387"/>
        <v>0</v>
      </c>
      <c r="F938" s="832">
        <f t="shared" si="388"/>
        <v>0</v>
      </c>
      <c r="G938" s="831">
        <f t="shared" si="389"/>
        <v>0</v>
      </c>
      <c r="H938" s="833">
        <f t="shared" si="390"/>
        <v>0</v>
      </c>
      <c r="I938" s="833">
        <f t="shared" si="391"/>
        <v>0</v>
      </c>
      <c r="J938" s="832">
        <f t="shared" si="392"/>
        <v>0</v>
      </c>
      <c r="K938" s="674">
        <f>SUM(C938:J938)</f>
        <v>0</v>
      </c>
    </row>
    <row r="939" spans="1:11" ht="17.45" customHeight="1">
      <c r="A939" s="1435"/>
      <c r="B939" s="669" t="str">
        <f t="shared" si="384"/>
        <v>9구간</v>
      </c>
      <c r="C939" s="831">
        <f t="shared" si="385"/>
        <v>0</v>
      </c>
      <c r="D939" s="832">
        <f t="shared" si="386"/>
        <v>0</v>
      </c>
      <c r="E939" s="831">
        <f t="shared" si="387"/>
        <v>0</v>
      </c>
      <c r="F939" s="832">
        <f t="shared" si="388"/>
        <v>0</v>
      </c>
      <c r="G939" s="831">
        <f t="shared" si="389"/>
        <v>0</v>
      </c>
      <c r="H939" s="833">
        <f t="shared" si="390"/>
        <v>0</v>
      </c>
      <c r="I939" s="833">
        <f t="shared" si="391"/>
        <v>0</v>
      </c>
      <c r="J939" s="832">
        <f t="shared" si="392"/>
        <v>0</v>
      </c>
      <c r="K939" s="674">
        <f>SUM(C939:J939)</f>
        <v>0</v>
      </c>
    </row>
    <row r="940" spans="1:11" ht="17.45" customHeight="1">
      <c r="A940" s="1436"/>
      <c r="B940" s="680" t="str">
        <f t="shared" si="384"/>
        <v>10구간</v>
      </c>
      <c r="C940" s="834">
        <f t="shared" si="385"/>
        <v>0</v>
      </c>
      <c r="D940" s="835">
        <f t="shared" si="386"/>
        <v>0</v>
      </c>
      <c r="E940" s="834">
        <f t="shared" si="387"/>
        <v>0</v>
      </c>
      <c r="F940" s="835">
        <f t="shared" si="388"/>
        <v>0</v>
      </c>
      <c r="G940" s="834">
        <f t="shared" si="389"/>
        <v>0</v>
      </c>
      <c r="H940" s="836">
        <f t="shared" si="390"/>
        <v>0</v>
      </c>
      <c r="I940" s="836">
        <f t="shared" si="391"/>
        <v>0</v>
      </c>
      <c r="J940" s="835">
        <f t="shared" si="392"/>
        <v>0</v>
      </c>
      <c r="K940" s="674">
        <f>SUM(C940:J940)</f>
        <v>0</v>
      </c>
    </row>
    <row r="941" spans="1:11" ht="17.45" customHeight="1">
      <c r="A941" s="1434">
        <v>70</v>
      </c>
      <c r="B941" s="676" t="str">
        <f t="shared" si="384"/>
        <v>1구간</v>
      </c>
      <c r="C941" s="828">
        <f t="shared" ref="C941:C950" si="393">ROUND(((($C$880*$C$852*$I760)*$E$873)*$C321),2)</f>
        <v>0.59</v>
      </c>
      <c r="D941" s="829">
        <f t="shared" ref="D941:D950" si="394">ROUND(((($D$880*$C$852*$I783)*$F$873)*$D321),2)</f>
        <v>0.12</v>
      </c>
      <c r="E941" s="828">
        <f t="shared" ref="E941:E950" si="395">ROUND(((($E$880*$C$852*$I806)*$F$873)*$E321),2)</f>
        <v>0</v>
      </c>
      <c r="F941" s="829">
        <f t="shared" ref="F941:F950" si="396">ROUND(((($F$880*$C$852*$I829)*$F$873)*$F321),2)</f>
        <v>0.18</v>
      </c>
      <c r="G941" s="828">
        <f t="shared" ref="G941:G950" si="397">ROUND(((($G$880*$C$852*$I806)*$F$873)*$G321),2)</f>
        <v>0.1</v>
      </c>
      <c r="H941" s="830">
        <f t="shared" ref="H941:H950" si="398">ROUND(((($H$880*$C$852*$I829)*$F$873)*$H321),2)</f>
        <v>0.33</v>
      </c>
      <c r="I941" s="830">
        <f t="shared" ref="I941:I950" si="399">ROUND(((($I$880*$C$852*$I829)*$F$873)*$I321),2)</f>
        <v>0.08</v>
      </c>
      <c r="J941" s="829">
        <f t="shared" ref="J941:J950" si="400">ROUND(((($J$880*$C$852*$I829)*$F$873)*$J321),2)</f>
        <v>0.28000000000000003</v>
      </c>
      <c r="K941" s="681">
        <f t="shared" si="350"/>
        <v>1.68</v>
      </c>
    </row>
    <row r="942" spans="1:11" ht="17.45" customHeight="1">
      <c r="A942" s="1435"/>
      <c r="B942" s="669" t="str">
        <f t="shared" si="384"/>
        <v>2구간</v>
      </c>
      <c r="C942" s="831">
        <f t="shared" si="393"/>
        <v>0</v>
      </c>
      <c r="D942" s="832">
        <f t="shared" si="394"/>
        <v>0</v>
      </c>
      <c r="E942" s="831">
        <f t="shared" si="395"/>
        <v>0</v>
      </c>
      <c r="F942" s="832">
        <f t="shared" si="396"/>
        <v>0</v>
      </c>
      <c r="G942" s="831">
        <f t="shared" si="397"/>
        <v>0</v>
      </c>
      <c r="H942" s="833">
        <f t="shared" si="398"/>
        <v>0</v>
      </c>
      <c r="I942" s="833">
        <f t="shared" si="399"/>
        <v>0</v>
      </c>
      <c r="J942" s="832">
        <f t="shared" si="400"/>
        <v>0</v>
      </c>
      <c r="K942" s="674">
        <f t="shared" si="350"/>
        <v>0</v>
      </c>
    </row>
    <row r="943" spans="1:11" ht="17.45" customHeight="1">
      <c r="A943" s="1435"/>
      <c r="B943" s="669" t="str">
        <f t="shared" si="384"/>
        <v>3구간</v>
      </c>
      <c r="C943" s="831">
        <f t="shared" si="393"/>
        <v>0</v>
      </c>
      <c r="D943" s="832">
        <f t="shared" si="394"/>
        <v>0</v>
      </c>
      <c r="E943" s="831">
        <f t="shared" si="395"/>
        <v>0</v>
      </c>
      <c r="F943" s="832">
        <f t="shared" si="396"/>
        <v>0</v>
      </c>
      <c r="G943" s="831">
        <f t="shared" si="397"/>
        <v>0</v>
      </c>
      <c r="H943" s="833">
        <f t="shared" si="398"/>
        <v>0</v>
      </c>
      <c r="I943" s="833">
        <f t="shared" si="399"/>
        <v>0</v>
      </c>
      <c r="J943" s="832">
        <f t="shared" si="400"/>
        <v>0</v>
      </c>
      <c r="K943" s="674">
        <f t="shared" si="350"/>
        <v>0</v>
      </c>
    </row>
    <row r="944" spans="1:11" ht="17.45" customHeight="1">
      <c r="A944" s="1435"/>
      <c r="B944" s="669" t="str">
        <f t="shared" si="384"/>
        <v>4구간</v>
      </c>
      <c r="C944" s="831">
        <f t="shared" si="393"/>
        <v>0</v>
      </c>
      <c r="D944" s="832">
        <f t="shared" si="394"/>
        <v>0</v>
      </c>
      <c r="E944" s="831">
        <f t="shared" si="395"/>
        <v>0</v>
      </c>
      <c r="F944" s="832">
        <f t="shared" si="396"/>
        <v>0</v>
      </c>
      <c r="G944" s="831">
        <f t="shared" si="397"/>
        <v>0</v>
      </c>
      <c r="H944" s="833">
        <f t="shared" si="398"/>
        <v>0</v>
      </c>
      <c r="I944" s="833">
        <f t="shared" si="399"/>
        <v>0</v>
      </c>
      <c r="J944" s="832">
        <f t="shared" si="400"/>
        <v>0</v>
      </c>
      <c r="K944" s="674">
        <f t="shared" si="350"/>
        <v>0</v>
      </c>
    </row>
    <row r="945" spans="1:11" ht="17.45" customHeight="1">
      <c r="A945" s="1435"/>
      <c r="B945" s="669" t="str">
        <f t="shared" si="384"/>
        <v>5구간</v>
      </c>
      <c r="C945" s="831">
        <f t="shared" si="393"/>
        <v>0</v>
      </c>
      <c r="D945" s="832">
        <f t="shared" si="394"/>
        <v>0</v>
      </c>
      <c r="E945" s="831">
        <f t="shared" si="395"/>
        <v>0</v>
      </c>
      <c r="F945" s="832">
        <f t="shared" si="396"/>
        <v>0</v>
      </c>
      <c r="G945" s="831">
        <f t="shared" si="397"/>
        <v>0</v>
      </c>
      <c r="H945" s="833">
        <f t="shared" si="398"/>
        <v>0</v>
      </c>
      <c r="I945" s="833">
        <f t="shared" si="399"/>
        <v>0</v>
      </c>
      <c r="J945" s="832">
        <f t="shared" si="400"/>
        <v>0</v>
      </c>
      <c r="K945" s="675">
        <f t="shared" si="350"/>
        <v>0</v>
      </c>
    </row>
    <row r="946" spans="1:11" ht="17.45" customHeight="1">
      <c r="A946" s="1435"/>
      <c r="B946" s="676" t="str">
        <f t="shared" si="384"/>
        <v>6구간</v>
      </c>
      <c r="C946" s="828">
        <f t="shared" si="393"/>
        <v>0</v>
      </c>
      <c r="D946" s="829">
        <f t="shared" si="394"/>
        <v>0</v>
      </c>
      <c r="E946" s="828">
        <f t="shared" si="395"/>
        <v>0</v>
      </c>
      <c r="F946" s="829">
        <f t="shared" si="396"/>
        <v>0</v>
      </c>
      <c r="G946" s="828">
        <f t="shared" si="397"/>
        <v>0</v>
      </c>
      <c r="H946" s="830">
        <f t="shared" si="398"/>
        <v>0</v>
      </c>
      <c r="I946" s="830">
        <f t="shared" si="399"/>
        <v>0</v>
      </c>
      <c r="J946" s="829">
        <f t="shared" si="400"/>
        <v>0</v>
      </c>
      <c r="K946" s="674">
        <f>SUM(C946:J946)</f>
        <v>0</v>
      </c>
    </row>
    <row r="947" spans="1:11" ht="17.45" customHeight="1">
      <c r="A947" s="1435"/>
      <c r="B947" s="669" t="str">
        <f t="shared" si="384"/>
        <v>7구간</v>
      </c>
      <c r="C947" s="831">
        <f t="shared" si="393"/>
        <v>0</v>
      </c>
      <c r="D947" s="832">
        <f t="shared" si="394"/>
        <v>0</v>
      </c>
      <c r="E947" s="831">
        <f t="shared" si="395"/>
        <v>0</v>
      </c>
      <c r="F947" s="832">
        <f t="shared" si="396"/>
        <v>0</v>
      </c>
      <c r="G947" s="831">
        <f t="shared" si="397"/>
        <v>0</v>
      </c>
      <c r="H947" s="833">
        <f t="shared" si="398"/>
        <v>0</v>
      </c>
      <c r="I947" s="833">
        <f t="shared" si="399"/>
        <v>0</v>
      </c>
      <c r="J947" s="832">
        <f t="shared" si="400"/>
        <v>0</v>
      </c>
      <c r="K947" s="674">
        <f>SUM(C947:J947)</f>
        <v>0</v>
      </c>
    </row>
    <row r="948" spans="1:11" ht="17.45" customHeight="1">
      <c r="A948" s="1435"/>
      <c r="B948" s="669" t="str">
        <f t="shared" si="384"/>
        <v>8구간</v>
      </c>
      <c r="C948" s="831">
        <f t="shared" si="393"/>
        <v>0</v>
      </c>
      <c r="D948" s="832">
        <f t="shared" si="394"/>
        <v>0</v>
      </c>
      <c r="E948" s="831">
        <f t="shared" si="395"/>
        <v>0</v>
      </c>
      <c r="F948" s="832">
        <f t="shared" si="396"/>
        <v>0</v>
      </c>
      <c r="G948" s="831">
        <f t="shared" si="397"/>
        <v>0</v>
      </c>
      <c r="H948" s="833">
        <f t="shared" si="398"/>
        <v>0</v>
      </c>
      <c r="I948" s="833">
        <f t="shared" si="399"/>
        <v>0</v>
      </c>
      <c r="J948" s="832">
        <f t="shared" si="400"/>
        <v>0</v>
      </c>
      <c r="K948" s="674">
        <f>SUM(C948:J948)</f>
        <v>0</v>
      </c>
    </row>
    <row r="949" spans="1:11" ht="17.45" customHeight="1">
      <c r="A949" s="1435"/>
      <c r="B949" s="669" t="str">
        <f t="shared" si="384"/>
        <v>9구간</v>
      </c>
      <c r="C949" s="831">
        <f t="shared" si="393"/>
        <v>0</v>
      </c>
      <c r="D949" s="832">
        <f t="shared" si="394"/>
        <v>0</v>
      </c>
      <c r="E949" s="831">
        <f t="shared" si="395"/>
        <v>0</v>
      </c>
      <c r="F949" s="832">
        <f t="shared" si="396"/>
        <v>0</v>
      </c>
      <c r="G949" s="831">
        <f t="shared" si="397"/>
        <v>0</v>
      </c>
      <c r="H949" s="833">
        <f t="shared" si="398"/>
        <v>0</v>
      </c>
      <c r="I949" s="833">
        <f t="shared" si="399"/>
        <v>0</v>
      </c>
      <c r="J949" s="832">
        <f t="shared" si="400"/>
        <v>0</v>
      </c>
      <c r="K949" s="674">
        <f>SUM(C949:J949)</f>
        <v>0</v>
      </c>
    </row>
    <row r="950" spans="1:11" ht="17.45" customHeight="1">
      <c r="A950" s="1436"/>
      <c r="B950" s="680" t="str">
        <f t="shared" si="384"/>
        <v>10구간</v>
      </c>
      <c r="C950" s="834">
        <f t="shared" si="393"/>
        <v>0</v>
      </c>
      <c r="D950" s="835">
        <f t="shared" si="394"/>
        <v>0</v>
      </c>
      <c r="E950" s="834">
        <f t="shared" si="395"/>
        <v>0</v>
      </c>
      <c r="F950" s="835">
        <f t="shared" si="396"/>
        <v>0</v>
      </c>
      <c r="G950" s="834">
        <f t="shared" si="397"/>
        <v>0</v>
      </c>
      <c r="H950" s="836">
        <f t="shared" si="398"/>
        <v>0</v>
      </c>
      <c r="I950" s="836">
        <f t="shared" si="399"/>
        <v>0</v>
      </c>
      <c r="J950" s="835">
        <f t="shared" si="400"/>
        <v>0</v>
      </c>
      <c r="K950" s="674">
        <f>SUM(C950:J950)</f>
        <v>0</v>
      </c>
    </row>
    <row r="951" spans="1:11" ht="17.45" customHeight="1">
      <c r="A951" s="1434">
        <v>80</v>
      </c>
      <c r="B951" s="676" t="str">
        <f t="shared" ref="B951:B960" si="401">B941</f>
        <v>1구간</v>
      </c>
      <c r="C951" s="828">
        <f t="shared" ref="C951:C960" si="402">ROUND(((($C$880*$C$852*$J760)*$E$873)*$C332),2)</f>
        <v>0.64</v>
      </c>
      <c r="D951" s="829">
        <f t="shared" ref="D951:D960" si="403">ROUND(((($D$880*$C$852*$J783)*$F$873)*$D332),2)</f>
        <v>0.11</v>
      </c>
      <c r="E951" s="828">
        <f t="shared" ref="E951:E960" si="404">ROUND(((($E$880*$C$852*$J806)*$F$873)*$E332),2)</f>
        <v>0</v>
      </c>
      <c r="F951" s="829">
        <f t="shared" ref="F951:F960" si="405">ROUND(((($F$880*$C$852*$J829)*$F$873)*$F332),2)</f>
        <v>0.18</v>
      </c>
      <c r="G951" s="828">
        <f t="shared" ref="G951:G960" si="406">ROUND(((($G$880*$C$852*$J806)*$F$873)*$G332),2)</f>
        <v>0.09</v>
      </c>
      <c r="H951" s="830">
        <f t="shared" ref="H951:H960" si="407">ROUND(((($H$880*$C$852*$J829)*$F$873)*$H332),2)</f>
        <v>0.34</v>
      </c>
      <c r="I951" s="830">
        <f t="shared" ref="I951:I960" si="408">ROUND(((($I$880*$C$852*$J829)*$F$873)*$I332),2)</f>
        <v>0.08</v>
      </c>
      <c r="J951" s="829">
        <f t="shared" ref="J951:J960" si="409">ROUND(((($J$880*$C$852*$J829)*$F$873)*$J332),2)</f>
        <v>0.27</v>
      </c>
      <c r="K951" s="681">
        <f t="shared" si="350"/>
        <v>1.7100000000000002</v>
      </c>
    </row>
    <row r="952" spans="1:11" ht="17.45" customHeight="1">
      <c r="A952" s="1435"/>
      <c r="B952" s="669" t="str">
        <f t="shared" si="401"/>
        <v>2구간</v>
      </c>
      <c r="C952" s="831">
        <f t="shared" si="402"/>
        <v>0</v>
      </c>
      <c r="D952" s="832">
        <f t="shared" si="403"/>
        <v>0</v>
      </c>
      <c r="E952" s="831">
        <f t="shared" si="404"/>
        <v>0</v>
      </c>
      <c r="F952" s="832">
        <f t="shared" si="405"/>
        <v>0</v>
      </c>
      <c r="G952" s="831">
        <f t="shared" si="406"/>
        <v>0</v>
      </c>
      <c r="H952" s="833">
        <f t="shared" si="407"/>
        <v>0</v>
      </c>
      <c r="I952" s="833">
        <f t="shared" si="408"/>
        <v>0</v>
      </c>
      <c r="J952" s="832">
        <f t="shared" si="409"/>
        <v>0</v>
      </c>
      <c r="K952" s="675">
        <f t="shared" si="350"/>
        <v>0</v>
      </c>
    </row>
    <row r="953" spans="1:11" ht="17.45" customHeight="1">
      <c r="A953" s="1435"/>
      <c r="B953" s="669" t="str">
        <f t="shared" si="401"/>
        <v>3구간</v>
      </c>
      <c r="C953" s="831">
        <f t="shared" si="402"/>
        <v>0</v>
      </c>
      <c r="D953" s="832">
        <f t="shared" si="403"/>
        <v>0</v>
      </c>
      <c r="E953" s="831">
        <f t="shared" si="404"/>
        <v>0</v>
      </c>
      <c r="F953" s="832">
        <f t="shared" si="405"/>
        <v>0</v>
      </c>
      <c r="G953" s="831">
        <f t="shared" si="406"/>
        <v>0</v>
      </c>
      <c r="H953" s="833">
        <f t="shared" si="407"/>
        <v>0</v>
      </c>
      <c r="I953" s="833">
        <f t="shared" si="408"/>
        <v>0</v>
      </c>
      <c r="J953" s="832">
        <f t="shared" si="409"/>
        <v>0</v>
      </c>
      <c r="K953" s="674">
        <f t="shared" si="350"/>
        <v>0</v>
      </c>
    </row>
    <row r="954" spans="1:11" ht="17.45" customHeight="1">
      <c r="A954" s="1435"/>
      <c r="B954" s="669" t="str">
        <f t="shared" si="401"/>
        <v>4구간</v>
      </c>
      <c r="C954" s="831">
        <f t="shared" si="402"/>
        <v>0</v>
      </c>
      <c r="D954" s="832">
        <f t="shared" si="403"/>
        <v>0</v>
      </c>
      <c r="E954" s="831">
        <f t="shared" si="404"/>
        <v>0</v>
      </c>
      <c r="F954" s="832">
        <f t="shared" si="405"/>
        <v>0</v>
      </c>
      <c r="G954" s="831">
        <f t="shared" si="406"/>
        <v>0</v>
      </c>
      <c r="H954" s="833">
        <f t="shared" si="407"/>
        <v>0</v>
      </c>
      <c r="I954" s="833">
        <f t="shared" si="408"/>
        <v>0</v>
      </c>
      <c r="J954" s="832">
        <f t="shared" si="409"/>
        <v>0</v>
      </c>
      <c r="K954" s="674">
        <f t="shared" si="350"/>
        <v>0</v>
      </c>
    </row>
    <row r="955" spans="1:11" ht="17.45" customHeight="1">
      <c r="A955" s="1435"/>
      <c r="B955" s="669" t="str">
        <f t="shared" si="401"/>
        <v>5구간</v>
      </c>
      <c r="C955" s="831">
        <f t="shared" si="402"/>
        <v>0</v>
      </c>
      <c r="D955" s="832">
        <f t="shared" si="403"/>
        <v>0</v>
      </c>
      <c r="E955" s="831">
        <f t="shared" si="404"/>
        <v>0</v>
      </c>
      <c r="F955" s="832">
        <f t="shared" si="405"/>
        <v>0</v>
      </c>
      <c r="G955" s="831">
        <f t="shared" si="406"/>
        <v>0</v>
      </c>
      <c r="H955" s="833">
        <f t="shared" si="407"/>
        <v>0</v>
      </c>
      <c r="I955" s="833">
        <f t="shared" si="408"/>
        <v>0</v>
      </c>
      <c r="J955" s="832">
        <f t="shared" si="409"/>
        <v>0</v>
      </c>
      <c r="K955" s="675">
        <f t="shared" si="350"/>
        <v>0</v>
      </c>
    </row>
    <row r="956" spans="1:11" ht="17.45" customHeight="1">
      <c r="A956" s="1435"/>
      <c r="B956" s="676" t="str">
        <f t="shared" si="401"/>
        <v>6구간</v>
      </c>
      <c r="C956" s="828">
        <f t="shared" si="402"/>
        <v>0</v>
      </c>
      <c r="D956" s="829">
        <f t="shared" si="403"/>
        <v>0</v>
      </c>
      <c r="E956" s="828">
        <f t="shared" si="404"/>
        <v>0</v>
      </c>
      <c r="F956" s="829">
        <f t="shared" si="405"/>
        <v>0</v>
      </c>
      <c r="G956" s="828">
        <f t="shared" si="406"/>
        <v>0</v>
      </c>
      <c r="H956" s="830">
        <f t="shared" si="407"/>
        <v>0</v>
      </c>
      <c r="I956" s="830">
        <f t="shared" si="408"/>
        <v>0</v>
      </c>
      <c r="J956" s="829">
        <f t="shared" si="409"/>
        <v>0</v>
      </c>
      <c r="K956" s="674">
        <f>SUM(C956:J956)</f>
        <v>0</v>
      </c>
    </row>
    <row r="957" spans="1:11" ht="17.45" customHeight="1">
      <c r="A957" s="1435"/>
      <c r="B957" s="669" t="str">
        <f t="shared" si="401"/>
        <v>7구간</v>
      </c>
      <c r="C957" s="831">
        <f t="shared" si="402"/>
        <v>0</v>
      </c>
      <c r="D957" s="832">
        <f t="shared" si="403"/>
        <v>0</v>
      </c>
      <c r="E957" s="831">
        <f t="shared" si="404"/>
        <v>0</v>
      </c>
      <c r="F957" s="832">
        <f t="shared" si="405"/>
        <v>0</v>
      </c>
      <c r="G957" s="831">
        <f t="shared" si="406"/>
        <v>0</v>
      </c>
      <c r="H957" s="833">
        <f t="shared" si="407"/>
        <v>0</v>
      </c>
      <c r="I957" s="833">
        <f t="shared" si="408"/>
        <v>0</v>
      </c>
      <c r="J957" s="832">
        <f t="shared" si="409"/>
        <v>0</v>
      </c>
      <c r="K957" s="675">
        <f>SUM(C957:J957)</f>
        <v>0</v>
      </c>
    </row>
    <row r="958" spans="1:11" ht="17.45" customHeight="1">
      <c r="A958" s="1435"/>
      <c r="B958" s="669" t="str">
        <f t="shared" si="401"/>
        <v>8구간</v>
      </c>
      <c r="C958" s="831">
        <f t="shared" si="402"/>
        <v>0</v>
      </c>
      <c r="D958" s="832">
        <f t="shared" si="403"/>
        <v>0</v>
      </c>
      <c r="E958" s="831">
        <f t="shared" si="404"/>
        <v>0</v>
      </c>
      <c r="F958" s="832">
        <f t="shared" si="405"/>
        <v>0</v>
      </c>
      <c r="G958" s="831">
        <f t="shared" si="406"/>
        <v>0</v>
      </c>
      <c r="H958" s="833">
        <f t="shared" si="407"/>
        <v>0</v>
      </c>
      <c r="I958" s="833">
        <f t="shared" si="408"/>
        <v>0</v>
      </c>
      <c r="J958" s="832">
        <f t="shared" si="409"/>
        <v>0</v>
      </c>
      <c r="K958" s="674">
        <f>SUM(C958:J958)</f>
        <v>0</v>
      </c>
    </row>
    <row r="959" spans="1:11" ht="17.45" customHeight="1">
      <c r="A959" s="1435"/>
      <c r="B959" s="669" t="str">
        <f t="shared" si="401"/>
        <v>9구간</v>
      </c>
      <c r="C959" s="831">
        <f t="shared" si="402"/>
        <v>0</v>
      </c>
      <c r="D959" s="832">
        <f t="shared" si="403"/>
        <v>0</v>
      </c>
      <c r="E959" s="831">
        <f t="shared" si="404"/>
        <v>0</v>
      </c>
      <c r="F959" s="832">
        <f t="shared" si="405"/>
        <v>0</v>
      </c>
      <c r="G959" s="831">
        <f t="shared" si="406"/>
        <v>0</v>
      </c>
      <c r="H959" s="833">
        <f t="shared" si="407"/>
        <v>0</v>
      </c>
      <c r="I959" s="833">
        <f t="shared" si="408"/>
        <v>0</v>
      </c>
      <c r="J959" s="832">
        <f t="shared" si="409"/>
        <v>0</v>
      </c>
      <c r="K959" s="674">
        <f>SUM(C959:J959)</f>
        <v>0</v>
      </c>
    </row>
    <row r="960" spans="1:11" ht="17.45" customHeight="1" thickBot="1">
      <c r="A960" s="1450"/>
      <c r="B960" s="692" t="str">
        <f t="shared" si="401"/>
        <v>10구간</v>
      </c>
      <c r="C960" s="837">
        <f t="shared" si="402"/>
        <v>0</v>
      </c>
      <c r="D960" s="838">
        <f t="shared" si="403"/>
        <v>0</v>
      </c>
      <c r="E960" s="837">
        <f t="shared" si="404"/>
        <v>0</v>
      </c>
      <c r="F960" s="838">
        <f t="shared" si="405"/>
        <v>0</v>
      </c>
      <c r="G960" s="837">
        <f t="shared" si="406"/>
        <v>0</v>
      </c>
      <c r="H960" s="839">
        <f t="shared" si="407"/>
        <v>0</v>
      </c>
      <c r="I960" s="839">
        <f t="shared" si="408"/>
        <v>0</v>
      </c>
      <c r="J960" s="838">
        <f t="shared" si="409"/>
        <v>0</v>
      </c>
      <c r="K960" s="693">
        <f>SUM(C960:J960)</f>
        <v>0</v>
      </c>
    </row>
    <row r="961" spans="1:11" ht="17.45" customHeight="1">
      <c r="A961" s="510"/>
      <c r="B961" s="510"/>
      <c r="C961" s="1377"/>
      <c r="D961" s="1377"/>
      <c r="E961" s="1377"/>
      <c r="F961" s="1377"/>
      <c r="G961" s="1377"/>
      <c r="H961" s="1377"/>
      <c r="I961" s="1377"/>
      <c r="J961" s="1377"/>
      <c r="K961" s="1378"/>
    </row>
    <row r="962" spans="1:11" ht="17.45" customHeight="1" thickBot="1">
      <c r="A962" s="1308" t="str">
        <f>A595</f>
        <v>마산</v>
      </c>
      <c r="B962" s="1309" t="str">
        <f>B595</f>
        <v>방향</v>
      </c>
      <c r="C962" s="421"/>
      <c r="D962" s="421"/>
      <c r="E962" s="421"/>
      <c r="F962" s="421"/>
      <c r="G962" s="421"/>
      <c r="H962" s="421"/>
      <c r="I962" s="421"/>
      <c r="J962" s="421"/>
      <c r="K962" s="431"/>
    </row>
    <row r="963" spans="1:11" ht="17.45" customHeight="1">
      <c r="A963" s="1449" t="str">
        <f>J6</f>
        <v>마산</v>
      </c>
      <c r="B963" s="1478" t="s">
        <v>290</v>
      </c>
      <c r="C963" s="1451" t="s">
        <v>276</v>
      </c>
      <c r="D963" s="1453"/>
      <c r="E963" s="1466" t="s">
        <v>300</v>
      </c>
      <c r="F963" s="1468"/>
      <c r="G963" s="1451" t="s">
        <v>301</v>
      </c>
      <c r="H963" s="1452"/>
      <c r="I963" s="1452"/>
      <c r="J963" s="1453"/>
      <c r="K963" s="1459" t="s">
        <v>72</v>
      </c>
    </row>
    <row r="964" spans="1:11" ht="17.45" customHeight="1">
      <c r="A964" s="1436"/>
      <c r="B964" s="1479"/>
      <c r="C964" s="660" t="s">
        <v>268</v>
      </c>
      <c r="D964" s="492" t="s">
        <v>269</v>
      </c>
      <c r="E964" s="493" t="s">
        <v>19</v>
      </c>
      <c r="F964" s="661" t="s">
        <v>20</v>
      </c>
      <c r="G964" s="689" t="s">
        <v>19</v>
      </c>
      <c r="H964" s="402" t="s">
        <v>21</v>
      </c>
      <c r="I964" s="661" t="s">
        <v>20</v>
      </c>
      <c r="J964" s="662" t="s">
        <v>22</v>
      </c>
      <c r="K964" s="1460"/>
    </row>
    <row r="965" spans="1:11" ht="17.45" customHeight="1">
      <c r="A965" s="499" t="s">
        <v>287</v>
      </c>
      <c r="B965" s="1498"/>
      <c r="C965" s="1379">
        <f>C880</f>
        <v>1.78E-2</v>
      </c>
      <c r="D965" s="1405">
        <f t="shared" ref="D965:J965" si="410">D880</f>
        <v>1.72E-2</v>
      </c>
      <c r="E965" s="742">
        <f t="shared" si="410"/>
        <v>2.1700000000000001E-2</v>
      </c>
      <c r="F965" s="733">
        <f t="shared" si="410"/>
        <v>0.55410000000000004</v>
      </c>
      <c r="G965" s="742">
        <f t="shared" si="410"/>
        <v>2.1700000000000001E-2</v>
      </c>
      <c r="H965" s="743">
        <f t="shared" si="410"/>
        <v>0.27210000000000001</v>
      </c>
      <c r="I965" s="734">
        <f t="shared" si="410"/>
        <v>0.6129</v>
      </c>
      <c r="J965" s="741">
        <f t="shared" si="410"/>
        <v>0.79310000000000003</v>
      </c>
      <c r="K965" s="1461"/>
    </row>
    <row r="966" spans="1:11" ht="17.45" customHeight="1">
      <c r="A966" s="1434">
        <v>10</v>
      </c>
      <c r="B966" s="665" t="s">
        <v>291</v>
      </c>
      <c r="C966" s="840">
        <f t="shared" ref="C966:C975" si="411">ROUNDUP(((($C$965*$C$853*C770)*$E$873)*$C392),1)</f>
        <v>2</v>
      </c>
      <c r="D966" s="841">
        <f t="shared" ref="D966:D975" si="412">ROUNDUP(((($D$965*$C$853*C793)*$F$873)*$D392),1)</f>
        <v>0.79999999999999993</v>
      </c>
      <c r="E966" s="840">
        <f t="shared" ref="E966:E975" si="413">ROUNDUP(((($E$965*$C$853*C816)*$F$873)*$E392),1)</f>
        <v>0</v>
      </c>
      <c r="F966" s="841">
        <f t="shared" ref="F966:F975" si="414">ROUNDUP(((($F$965*$C$853*C839)*$F$873)*$F392),1)</f>
        <v>0.79999999999999993</v>
      </c>
      <c r="G966" s="840">
        <f t="shared" ref="G966:G975" si="415">ROUNDUP(((($G$965*$C$853*$C816)*$F$873)*$G392),1)</f>
        <v>0.5</v>
      </c>
      <c r="H966" s="842">
        <f t="shared" ref="H966:H975" si="416">ROUNDUP(((($H$965*$C$853*$C839)*$F$873)*$H392),1)</f>
        <v>1.4000000000000001</v>
      </c>
      <c r="I966" s="842">
        <f t="shared" ref="I966:I975" si="417">ROUNDUP(((($I$965*$C$853*$C839)*$F$873)*$I392),1)</f>
        <v>0.4</v>
      </c>
      <c r="J966" s="841">
        <f t="shared" ref="J966:J975" si="418">ROUNDUP(((($J$965*$C$853*$C839)*$F$873)*$J392),1)</f>
        <v>1.2000000000000002</v>
      </c>
      <c r="K966" s="668">
        <f t="shared" ref="K966:K1040" si="419">SUM(C966:J966)</f>
        <v>7.1000000000000005</v>
      </c>
    </row>
    <row r="967" spans="1:11" ht="17.45" customHeight="1">
      <c r="A967" s="1435"/>
      <c r="B967" s="669" t="s">
        <v>292</v>
      </c>
      <c r="C967" s="828">
        <f t="shared" si="411"/>
        <v>0</v>
      </c>
      <c r="D967" s="841">
        <f t="shared" si="412"/>
        <v>0</v>
      </c>
      <c r="E967" s="828">
        <f t="shared" si="413"/>
        <v>0</v>
      </c>
      <c r="F967" s="841">
        <f t="shared" si="414"/>
        <v>0</v>
      </c>
      <c r="G967" s="828">
        <f t="shared" si="415"/>
        <v>0</v>
      </c>
      <c r="H967" s="830">
        <f t="shared" si="416"/>
        <v>0</v>
      </c>
      <c r="I967" s="830">
        <f t="shared" si="417"/>
        <v>0</v>
      </c>
      <c r="J967" s="841">
        <f t="shared" si="418"/>
        <v>0</v>
      </c>
      <c r="K967" s="673">
        <f t="shared" si="419"/>
        <v>0</v>
      </c>
    </row>
    <row r="968" spans="1:11" ht="17.45" customHeight="1">
      <c r="A968" s="1435"/>
      <c r="B968" s="669" t="s">
        <v>297</v>
      </c>
      <c r="C968" s="828">
        <f t="shared" si="411"/>
        <v>0</v>
      </c>
      <c r="D968" s="841">
        <f t="shared" si="412"/>
        <v>0</v>
      </c>
      <c r="E968" s="828">
        <f t="shared" si="413"/>
        <v>0</v>
      </c>
      <c r="F968" s="841">
        <f t="shared" si="414"/>
        <v>0</v>
      </c>
      <c r="G968" s="828">
        <f t="shared" si="415"/>
        <v>0</v>
      </c>
      <c r="H968" s="830">
        <f t="shared" si="416"/>
        <v>0</v>
      </c>
      <c r="I968" s="830">
        <f t="shared" si="417"/>
        <v>0</v>
      </c>
      <c r="J968" s="832">
        <f t="shared" si="418"/>
        <v>0</v>
      </c>
      <c r="K968" s="674">
        <f t="shared" si="419"/>
        <v>0</v>
      </c>
    </row>
    <row r="969" spans="1:11" ht="17.45" customHeight="1">
      <c r="A969" s="1435"/>
      <c r="B969" s="669" t="s">
        <v>298</v>
      </c>
      <c r="C969" s="828">
        <f t="shared" si="411"/>
        <v>0</v>
      </c>
      <c r="D969" s="841">
        <f t="shared" si="412"/>
        <v>0</v>
      </c>
      <c r="E969" s="828">
        <f t="shared" si="413"/>
        <v>0</v>
      </c>
      <c r="F969" s="841">
        <f t="shared" si="414"/>
        <v>0</v>
      </c>
      <c r="G969" s="828">
        <f t="shared" si="415"/>
        <v>0</v>
      </c>
      <c r="H969" s="830">
        <f t="shared" si="416"/>
        <v>0</v>
      </c>
      <c r="I969" s="830">
        <f t="shared" si="417"/>
        <v>0</v>
      </c>
      <c r="J969" s="829">
        <f t="shared" si="418"/>
        <v>0</v>
      </c>
      <c r="K969" s="674">
        <f t="shared" si="419"/>
        <v>0</v>
      </c>
    </row>
    <row r="970" spans="1:11" ht="17.45" customHeight="1">
      <c r="A970" s="1435"/>
      <c r="B970" s="669" t="s">
        <v>299</v>
      </c>
      <c r="C970" s="831">
        <f t="shared" si="411"/>
        <v>0</v>
      </c>
      <c r="D970" s="833">
        <f t="shared" si="412"/>
        <v>0</v>
      </c>
      <c r="E970" s="831">
        <f t="shared" si="413"/>
        <v>0</v>
      </c>
      <c r="F970" s="843">
        <f t="shared" si="414"/>
        <v>0</v>
      </c>
      <c r="G970" s="831">
        <f t="shared" si="415"/>
        <v>0</v>
      </c>
      <c r="H970" s="833">
        <f t="shared" si="416"/>
        <v>0</v>
      </c>
      <c r="I970" s="833">
        <f t="shared" si="417"/>
        <v>0</v>
      </c>
      <c r="J970" s="832">
        <f t="shared" si="418"/>
        <v>0</v>
      </c>
      <c r="K970" s="675">
        <f t="shared" si="419"/>
        <v>0</v>
      </c>
    </row>
    <row r="971" spans="1:11" ht="17.45" customHeight="1">
      <c r="A971" s="1435"/>
      <c r="B971" s="676" t="s">
        <v>355</v>
      </c>
      <c r="C971" s="828">
        <f t="shared" si="411"/>
        <v>0</v>
      </c>
      <c r="D971" s="841">
        <f t="shared" si="412"/>
        <v>0</v>
      </c>
      <c r="E971" s="828">
        <f t="shared" si="413"/>
        <v>0</v>
      </c>
      <c r="F971" s="841">
        <f t="shared" si="414"/>
        <v>0</v>
      </c>
      <c r="G971" s="828">
        <f t="shared" si="415"/>
        <v>0</v>
      </c>
      <c r="H971" s="830">
        <f t="shared" si="416"/>
        <v>0</v>
      </c>
      <c r="I971" s="830">
        <f t="shared" si="417"/>
        <v>0</v>
      </c>
      <c r="J971" s="841">
        <f t="shared" si="418"/>
        <v>0</v>
      </c>
      <c r="K971" s="673">
        <f>SUM(C971:J971)</f>
        <v>0</v>
      </c>
    </row>
    <row r="972" spans="1:11" ht="17.45" customHeight="1">
      <c r="A972" s="1435"/>
      <c r="B972" s="669" t="s">
        <v>356</v>
      </c>
      <c r="C972" s="828">
        <f t="shared" si="411"/>
        <v>0</v>
      </c>
      <c r="D972" s="841">
        <f t="shared" si="412"/>
        <v>0</v>
      </c>
      <c r="E972" s="828">
        <f t="shared" si="413"/>
        <v>0</v>
      </c>
      <c r="F972" s="841">
        <f t="shared" si="414"/>
        <v>0</v>
      </c>
      <c r="G972" s="828">
        <f t="shared" si="415"/>
        <v>0</v>
      </c>
      <c r="H972" s="830">
        <f t="shared" si="416"/>
        <v>0</v>
      </c>
      <c r="I972" s="830">
        <f t="shared" si="417"/>
        <v>0</v>
      </c>
      <c r="J972" s="841">
        <f t="shared" si="418"/>
        <v>0</v>
      </c>
      <c r="K972" s="673">
        <f>SUM(C972:J972)</f>
        <v>0</v>
      </c>
    </row>
    <row r="973" spans="1:11" ht="17.45" customHeight="1">
      <c r="A973" s="1435"/>
      <c r="B973" s="669" t="s">
        <v>344</v>
      </c>
      <c r="C973" s="828">
        <f t="shared" si="411"/>
        <v>0</v>
      </c>
      <c r="D973" s="841">
        <f t="shared" si="412"/>
        <v>0</v>
      </c>
      <c r="E973" s="828">
        <f t="shared" si="413"/>
        <v>0</v>
      </c>
      <c r="F973" s="841">
        <f t="shared" si="414"/>
        <v>0</v>
      </c>
      <c r="G973" s="828">
        <f t="shared" si="415"/>
        <v>0</v>
      </c>
      <c r="H973" s="830">
        <f t="shared" si="416"/>
        <v>0</v>
      </c>
      <c r="I973" s="830">
        <f t="shared" si="417"/>
        <v>0</v>
      </c>
      <c r="J973" s="832">
        <f t="shared" si="418"/>
        <v>0</v>
      </c>
      <c r="K973" s="674">
        <f>SUM(C973:J973)</f>
        <v>0</v>
      </c>
    </row>
    <row r="974" spans="1:11" ht="17.45" customHeight="1">
      <c r="A974" s="1435"/>
      <c r="B974" s="669" t="s">
        <v>357</v>
      </c>
      <c r="C974" s="828">
        <f t="shared" si="411"/>
        <v>0</v>
      </c>
      <c r="D974" s="841">
        <f t="shared" si="412"/>
        <v>0</v>
      </c>
      <c r="E974" s="828">
        <f t="shared" si="413"/>
        <v>0</v>
      </c>
      <c r="F974" s="841">
        <f t="shared" si="414"/>
        <v>0</v>
      </c>
      <c r="G974" s="828">
        <f t="shared" si="415"/>
        <v>0</v>
      </c>
      <c r="H974" s="830">
        <f t="shared" si="416"/>
        <v>0</v>
      </c>
      <c r="I974" s="830">
        <f t="shared" si="417"/>
        <v>0</v>
      </c>
      <c r="J974" s="829">
        <f t="shared" si="418"/>
        <v>0</v>
      </c>
      <c r="K974" s="674">
        <f>SUM(C974:J974)</f>
        <v>0</v>
      </c>
    </row>
    <row r="975" spans="1:11" ht="17.45" customHeight="1">
      <c r="A975" s="1436"/>
      <c r="B975" s="680" t="s">
        <v>358</v>
      </c>
      <c r="C975" s="844">
        <f t="shared" si="411"/>
        <v>0</v>
      </c>
      <c r="D975" s="836">
        <f t="shared" si="412"/>
        <v>0</v>
      </c>
      <c r="E975" s="834">
        <f t="shared" si="413"/>
        <v>0</v>
      </c>
      <c r="F975" s="845">
        <f t="shared" si="414"/>
        <v>0</v>
      </c>
      <c r="G975" s="834">
        <f t="shared" si="415"/>
        <v>0</v>
      </c>
      <c r="H975" s="846">
        <f t="shared" si="416"/>
        <v>0</v>
      </c>
      <c r="I975" s="846">
        <f t="shared" si="417"/>
        <v>0</v>
      </c>
      <c r="J975" s="847">
        <f t="shared" si="418"/>
        <v>0</v>
      </c>
      <c r="K975" s="674">
        <f>SUM(C975:J975)</f>
        <v>0</v>
      </c>
    </row>
    <row r="976" spans="1:11" ht="17.45" customHeight="1">
      <c r="A976" s="1434">
        <v>20</v>
      </c>
      <c r="B976" s="676" t="str">
        <f t="shared" ref="B976:B1007" si="420">B966</f>
        <v>1구간</v>
      </c>
      <c r="C976" s="840">
        <f t="shared" ref="C976:C985" si="421">ROUND(((($C$965*$C$853*$D770)*$E$873)*$C403),2)</f>
        <v>2.59</v>
      </c>
      <c r="D976" s="841">
        <f t="shared" ref="D976:D985" si="422">ROUND(((($D$965*$C$853*$D793)*$F$873)*$D403),2)</f>
        <v>1.27</v>
      </c>
      <c r="E976" s="828">
        <f t="shared" ref="E976:E985" si="423">ROUND(((($E$965*$C$853*$D816)*$F$873)*$E403),2)</f>
        <v>0</v>
      </c>
      <c r="F976" s="841">
        <f t="shared" ref="F976:F985" si="424">ROUND(((($F$965*$C$853*$D839)*$F$873)*$F403),1)</f>
        <v>0.6</v>
      </c>
      <c r="G976" s="828">
        <f t="shared" ref="G976:G985" si="425">ROUND(((($G$965*$C$853*$D816)*$F$873)*$G403),2)</f>
        <v>0.4</v>
      </c>
      <c r="H976" s="842">
        <f t="shared" ref="H976:H985" si="426">ROUND(((($H$965*$C$853*$D839)*$F$873)*$H403),2)</f>
        <v>1.08</v>
      </c>
      <c r="I976" s="842">
        <f t="shared" ref="I976:I985" si="427">ROUND(((($I$965*$C$853*$D839)*$F$873)*$I403),2)</f>
        <v>0.26</v>
      </c>
      <c r="J976" s="848">
        <f t="shared" ref="J976:J985" si="428">ROUND(((($J$965*$C$853*$D839)*$F$873)*$J403),2)</f>
        <v>0.9</v>
      </c>
      <c r="K976" s="681">
        <f t="shared" si="419"/>
        <v>7.1000000000000005</v>
      </c>
    </row>
    <row r="977" spans="1:11" ht="17.45" customHeight="1">
      <c r="A977" s="1435"/>
      <c r="B977" s="669" t="str">
        <f t="shared" si="420"/>
        <v>2구간</v>
      </c>
      <c r="C977" s="828">
        <f t="shared" si="421"/>
        <v>0</v>
      </c>
      <c r="D977" s="841">
        <f t="shared" si="422"/>
        <v>0</v>
      </c>
      <c r="E977" s="828">
        <f t="shared" si="423"/>
        <v>0</v>
      </c>
      <c r="F977" s="841">
        <f t="shared" si="424"/>
        <v>0</v>
      </c>
      <c r="G977" s="828">
        <f t="shared" si="425"/>
        <v>0</v>
      </c>
      <c r="H977" s="830">
        <f t="shared" si="426"/>
        <v>0</v>
      </c>
      <c r="I977" s="830">
        <f t="shared" si="427"/>
        <v>0</v>
      </c>
      <c r="J977" s="829">
        <f t="shared" si="428"/>
        <v>0</v>
      </c>
      <c r="K977" s="674">
        <f t="shared" si="419"/>
        <v>0</v>
      </c>
    </row>
    <row r="978" spans="1:11" ht="17.45" customHeight="1">
      <c r="A978" s="1435"/>
      <c r="B978" s="669" t="str">
        <f t="shared" si="420"/>
        <v>3구간</v>
      </c>
      <c r="C978" s="828">
        <f t="shared" si="421"/>
        <v>0</v>
      </c>
      <c r="D978" s="841">
        <f t="shared" si="422"/>
        <v>0</v>
      </c>
      <c r="E978" s="828">
        <f t="shared" si="423"/>
        <v>0</v>
      </c>
      <c r="F978" s="841">
        <f t="shared" si="424"/>
        <v>0</v>
      </c>
      <c r="G978" s="828">
        <f t="shared" si="425"/>
        <v>0</v>
      </c>
      <c r="H978" s="830">
        <f t="shared" si="426"/>
        <v>0</v>
      </c>
      <c r="I978" s="830">
        <f t="shared" si="427"/>
        <v>0</v>
      </c>
      <c r="J978" s="832">
        <f t="shared" si="428"/>
        <v>0</v>
      </c>
      <c r="K978" s="674">
        <f t="shared" si="419"/>
        <v>0</v>
      </c>
    </row>
    <row r="979" spans="1:11" ht="17.45" customHeight="1">
      <c r="A979" s="1435"/>
      <c r="B979" s="669" t="str">
        <f t="shared" si="420"/>
        <v>4구간</v>
      </c>
      <c r="C979" s="828">
        <f t="shared" si="421"/>
        <v>0</v>
      </c>
      <c r="D979" s="841">
        <f t="shared" si="422"/>
        <v>0</v>
      </c>
      <c r="E979" s="828">
        <f t="shared" si="423"/>
        <v>0</v>
      </c>
      <c r="F979" s="841">
        <f t="shared" si="424"/>
        <v>0</v>
      </c>
      <c r="G979" s="828">
        <f t="shared" si="425"/>
        <v>0</v>
      </c>
      <c r="H979" s="830">
        <f t="shared" si="426"/>
        <v>0</v>
      </c>
      <c r="I979" s="830">
        <f t="shared" si="427"/>
        <v>0</v>
      </c>
      <c r="J979" s="829">
        <f t="shared" si="428"/>
        <v>0</v>
      </c>
      <c r="K979" s="674">
        <f t="shared" si="419"/>
        <v>0</v>
      </c>
    </row>
    <row r="980" spans="1:11" ht="17.25" customHeight="1">
      <c r="A980" s="1435"/>
      <c r="B980" s="669" t="str">
        <f t="shared" si="420"/>
        <v>5구간</v>
      </c>
      <c r="C980" s="831">
        <f t="shared" si="421"/>
        <v>0</v>
      </c>
      <c r="D980" s="833">
        <f t="shared" si="422"/>
        <v>0</v>
      </c>
      <c r="E980" s="831">
        <f t="shared" si="423"/>
        <v>0</v>
      </c>
      <c r="F980" s="843">
        <f t="shared" si="424"/>
        <v>0</v>
      </c>
      <c r="G980" s="831">
        <f t="shared" si="425"/>
        <v>0</v>
      </c>
      <c r="H980" s="833">
        <f t="shared" si="426"/>
        <v>0</v>
      </c>
      <c r="I980" s="833">
        <f t="shared" si="427"/>
        <v>0</v>
      </c>
      <c r="J980" s="832">
        <f t="shared" si="428"/>
        <v>0</v>
      </c>
      <c r="K980" s="675">
        <f t="shared" si="419"/>
        <v>0</v>
      </c>
    </row>
    <row r="981" spans="1:11" ht="17.45" customHeight="1">
      <c r="A981" s="1435"/>
      <c r="B981" s="676" t="str">
        <f t="shared" si="420"/>
        <v>6구간</v>
      </c>
      <c r="C981" s="828">
        <f t="shared" si="421"/>
        <v>0</v>
      </c>
      <c r="D981" s="841">
        <f t="shared" si="422"/>
        <v>0</v>
      </c>
      <c r="E981" s="828">
        <f t="shared" si="423"/>
        <v>0</v>
      </c>
      <c r="F981" s="841">
        <f t="shared" si="424"/>
        <v>0</v>
      </c>
      <c r="G981" s="828">
        <f t="shared" si="425"/>
        <v>0</v>
      </c>
      <c r="H981" s="830">
        <f t="shared" si="426"/>
        <v>0</v>
      </c>
      <c r="I981" s="830">
        <f t="shared" si="427"/>
        <v>0</v>
      </c>
      <c r="J981" s="829">
        <f t="shared" si="428"/>
        <v>0</v>
      </c>
      <c r="K981" s="674">
        <f>SUM(C981:J981)</f>
        <v>0</v>
      </c>
    </row>
    <row r="982" spans="1:11" ht="17.45" customHeight="1">
      <c r="A982" s="1435"/>
      <c r="B982" s="669" t="str">
        <f t="shared" si="420"/>
        <v>7구간</v>
      </c>
      <c r="C982" s="828">
        <f t="shared" si="421"/>
        <v>0</v>
      </c>
      <c r="D982" s="841">
        <f t="shared" si="422"/>
        <v>0</v>
      </c>
      <c r="E982" s="828">
        <f t="shared" si="423"/>
        <v>0</v>
      </c>
      <c r="F982" s="841">
        <f t="shared" si="424"/>
        <v>0</v>
      </c>
      <c r="G982" s="828">
        <f t="shared" si="425"/>
        <v>0</v>
      </c>
      <c r="H982" s="830">
        <f t="shared" si="426"/>
        <v>0</v>
      </c>
      <c r="I982" s="830">
        <f t="shared" si="427"/>
        <v>0</v>
      </c>
      <c r="J982" s="829">
        <f t="shared" si="428"/>
        <v>0</v>
      </c>
      <c r="K982" s="674">
        <f>SUM(C982:J982)</f>
        <v>0</v>
      </c>
    </row>
    <row r="983" spans="1:11" ht="17.45" customHeight="1">
      <c r="A983" s="1435"/>
      <c r="B983" s="669" t="str">
        <f t="shared" si="420"/>
        <v>8구간</v>
      </c>
      <c r="C983" s="828">
        <f t="shared" si="421"/>
        <v>0</v>
      </c>
      <c r="D983" s="841">
        <f t="shared" si="422"/>
        <v>0</v>
      </c>
      <c r="E983" s="828">
        <f t="shared" si="423"/>
        <v>0</v>
      </c>
      <c r="F983" s="841">
        <f t="shared" si="424"/>
        <v>0</v>
      </c>
      <c r="G983" s="828">
        <f t="shared" si="425"/>
        <v>0</v>
      </c>
      <c r="H983" s="830">
        <f t="shared" si="426"/>
        <v>0</v>
      </c>
      <c r="I983" s="830">
        <f t="shared" si="427"/>
        <v>0</v>
      </c>
      <c r="J983" s="832">
        <f t="shared" si="428"/>
        <v>0</v>
      </c>
      <c r="K983" s="674">
        <f>SUM(C983:J983)</f>
        <v>0</v>
      </c>
    </row>
    <row r="984" spans="1:11" ht="17.45" customHeight="1">
      <c r="A984" s="1435"/>
      <c r="B984" s="669" t="str">
        <f t="shared" si="420"/>
        <v>9구간</v>
      </c>
      <c r="C984" s="828">
        <f t="shared" si="421"/>
        <v>0</v>
      </c>
      <c r="D984" s="841">
        <f t="shared" si="422"/>
        <v>0</v>
      </c>
      <c r="E984" s="828">
        <f t="shared" si="423"/>
        <v>0</v>
      </c>
      <c r="F984" s="841">
        <f t="shared" si="424"/>
        <v>0</v>
      </c>
      <c r="G984" s="828">
        <f t="shared" si="425"/>
        <v>0</v>
      </c>
      <c r="H984" s="830">
        <f t="shared" si="426"/>
        <v>0</v>
      </c>
      <c r="I984" s="830">
        <f t="shared" si="427"/>
        <v>0</v>
      </c>
      <c r="J984" s="829">
        <f t="shared" si="428"/>
        <v>0</v>
      </c>
      <c r="K984" s="674">
        <f>SUM(C984:J984)</f>
        <v>0</v>
      </c>
    </row>
    <row r="985" spans="1:11" ht="17.25" customHeight="1">
      <c r="A985" s="1436"/>
      <c r="B985" s="680" t="str">
        <f t="shared" si="420"/>
        <v>10구간</v>
      </c>
      <c r="C985" s="844">
        <f t="shared" si="421"/>
        <v>0</v>
      </c>
      <c r="D985" s="836">
        <f t="shared" si="422"/>
        <v>0</v>
      </c>
      <c r="E985" s="834">
        <f t="shared" si="423"/>
        <v>0</v>
      </c>
      <c r="F985" s="845">
        <f t="shared" si="424"/>
        <v>0</v>
      </c>
      <c r="G985" s="834">
        <f t="shared" si="425"/>
        <v>0</v>
      </c>
      <c r="H985" s="846">
        <f t="shared" si="426"/>
        <v>0</v>
      </c>
      <c r="I985" s="846">
        <f t="shared" si="427"/>
        <v>0</v>
      </c>
      <c r="J985" s="847">
        <f t="shared" si="428"/>
        <v>0</v>
      </c>
      <c r="K985" s="674">
        <f>SUM(C985:J985)</f>
        <v>0</v>
      </c>
    </row>
    <row r="986" spans="1:11" ht="17.45" customHeight="1">
      <c r="A986" s="1434">
        <v>30</v>
      </c>
      <c r="B986" s="676" t="str">
        <f t="shared" si="420"/>
        <v>1구간</v>
      </c>
      <c r="C986" s="840">
        <f t="shared" ref="C986:C995" si="429">ROUND(((($C$965*$C$853*$E770)*$E$873)*$C414),2)</f>
        <v>1.54</v>
      </c>
      <c r="D986" s="841">
        <f t="shared" ref="D986:D995" si="430">ROUND(((($D$965*$C$853*$E793)*$F$873)*$D414),2)</f>
        <v>0.89</v>
      </c>
      <c r="E986" s="828">
        <f t="shared" ref="E986:E995" si="431">ROUND(((($E$965*$C$853*$E816)*$F$873)*$E414),2)</f>
        <v>0</v>
      </c>
      <c r="F986" s="841">
        <f t="shared" ref="F986:F995" si="432">ROUND(((($F$965*$C$853*$E839)*$F$873)*$F414),2)</f>
        <v>0.53</v>
      </c>
      <c r="G986" s="828">
        <f t="shared" ref="G986:G995" si="433">ROUND(((($G$965*$C$853*$E816)*$F$873)*$G414),2)</f>
        <v>0.36</v>
      </c>
      <c r="H986" s="842">
        <f t="shared" ref="H986:H995" si="434">ROUND(((($H$965*$C$853*$E839)*$F$873)*$H414),2)</f>
        <v>0.96</v>
      </c>
      <c r="I986" s="842">
        <f t="shared" ref="I986:I995" si="435">ROUND(((($I$965*$C$853*$E839)*$F$873)*$I414),2)</f>
        <v>0.23</v>
      </c>
      <c r="J986" s="848">
        <f t="shared" ref="J986:J995" si="436">ROUND(((($J$965*$C$853*$E839)*$F$873)*$J414),2)</f>
        <v>0.8</v>
      </c>
      <c r="K986" s="681">
        <f t="shared" si="419"/>
        <v>5.31</v>
      </c>
    </row>
    <row r="987" spans="1:11" ht="17.45" customHeight="1">
      <c r="A987" s="1435"/>
      <c r="B987" s="669" t="str">
        <f t="shared" si="420"/>
        <v>2구간</v>
      </c>
      <c r="C987" s="828">
        <f t="shared" si="429"/>
        <v>0</v>
      </c>
      <c r="D987" s="841">
        <f t="shared" si="430"/>
        <v>0</v>
      </c>
      <c r="E987" s="828">
        <f t="shared" si="431"/>
        <v>0</v>
      </c>
      <c r="F987" s="841">
        <f t="shared" si="432"/>
        <v>0</v>
      </c>
      <c r="G987" s="828">
        <f t="shared" si="433"/>
        <v>0</v>
      </c>
      <c r="H987" s="830">
        <f t="shared" si="434"/>
        <v>0</v>
      </c>
      <c r="I987" s="830">
        <f t="shared" si="435"/>
        <v>0</v>
      </c>
      <c r="J987" s="829">
        <f t="shared" si="436"/>
        <v>0</v>
      </c>
      <c r="K987" s="674">
        <f t="shared" si="419"/>
        <v>0</v>
      </c>
    </row>
    <row r="988" spans="1:11" ht="17.45" customHeight="1">
      <c r="A988" s="1435"/>
      <c r="B988" s="669" t="str">
        <f t="shared" si="420"/>
        <v>3구간</v>
      </c>
      <c r="C988" s="828">
        <f t="shared" si="429"/>
        <v>0</v>
      </c>
      <c r="D988" s="841">
        <f t="shared" si="430"/>
        <v>0</v>
      </c>
      <c r="E988" s="828">
        <f t="shared" si="431"/>
        <v>0</v>
      </c>
      <c r="F988" s="841">
        <f t="shared" si="432"/>
        <v>0</v>
      </c>
      <c r="G988" s="828">
        <f t="shared" si="433"/>
        <v>0</v>
      </c>
      <c r="H988" s="830">
        <f t="shared" si="434"/>
        <v>0</v>
      </c>
      <c r="I988" s="830">
        <f t="shared" si="435"/>
        <v>0</v>
      </c>
      <c r="J988" s="832">
        <f t="shared" si="436"/>
        <v>0</v>
      </c>
      <c r="K988" s="674">
        <f t="shared" si="419"/>
        <v>0</v>
      </c>
    </row>
    <row r="989" spans="1:11" ht="17.45" customHeight="1">
      <c r="A989" s="1435"/>
      <c r="B989" s="669" t="str">
        <f t="shared" si="420"/>
        <v>4구간</v>
      </c>
      <c r="C989" s="828">
        <f t="shared" si="429"/>
        <v>0</v>
      </c>
      <c r="D989" s="841">
        <f t="shared" si="430"/>
        <v>0</v>
      </c>
      <c r="E989" s="828">
        <f t="shared" si="431"/>
        <v>0</v>
      </c>
      <c r="F989" s="841">
        <f t="shared" si="432"/>
        <v>0</v>
      </c>
      <c r="G989" s="828">
        <f t="shared" si="433"/>
        <v>0</v>
      </c>
      <c r="H989" s="830">
        <f t="shared" si="434"/>
        <v>0</v>
      </c>
      <c r="I989" s="830">
        <f t="shared" si="435"/>
        <v>0</v>
      </c>
      <c r="J989" s="829">
        <f t="shared" si="436"/>
        <v>0</v>
      </c>
      <c r="K989" s="674">
        <f t="shared" si="419"/>
        <v>0</v>
      </c>
    </row>
    <row r="990" spans="1:11" ht="17.25" customHeight="1">
      <c r="A990" s="1435"/>
      <c r="B990" s="669" t="str">
        <f t="shared" si="420"/>
        <v>5구간</v>
      </c>
      <c r="C990" s="831">
        <f t="shared" si="429"/>
        <v>0</v>
      </c>
      <c r="D990" s="833">
        <f t="shared" si="430"/>
        <v>0</v>
      </c>
      <c r="E990" s="831">
        <f t="shared" si="431"/>
        <v>0</v>
      </c>
      <c r="F990" s="843">
        <f t="shared" si="432"/>
        <v>0</v>
      </c>
      <c r="G990" s="831">
        <f t="shared" si="433"/>
        <v>0</v>
      </c>
      <c r="H990" s="833">
        <f t="shared" si="434"/>
        <v>0</v>
      </c>
      <c r="I990" s="833">
        <f t="shared" si="435"/>
        <v>0</v>
      </c>
      <c r="J990" s="832">
        <f t="shared" si="436"/>
        <v>0</v>
      </c>
      <c r="K990" s="675">
        <f t="shared" si="419"/>
        <v>0</v>
      </c>
    </row>
    <row r="991" spans="1:11" ht="17.45" customHeight="1">
      <c r="A991" s="1435"/>
      <c r="B991" s="676" t="str">
        <f t="shared" si="420"/>
        <v>6구간</v>
      </c>
      <c r="C991" s="828">
        <f t="shared" si="429"/>
        <v>0</v>
      </c>
      <c r="D991" s="841">
        <f t="shared" si="430"/>
        <v>0</v>
      </c>
      <c r="E991" s="828">
        <f t="shared" si="431"/>
        <v>0</v>
      </c>
      <c r="F991" s="841">
        <f t="shared" si="432"/>
        <v>0</v>
      </c>
      <c r="G991" s="828">
        <f t="shared" si="433"/>
        <v>0</v>
      </c>
      <c r="H991" s="830">
        <f t="shared" si="434"/>
        <v>0</v>
      </c>
      <c r="I991" s="830">
        <f t="shared" si="435"/>
        <v>0</v>
      </c>
      <c r="J991" s="829">
        <f t="shared" si="436"/>
        <v>0</v>
      </c>
      <c r="K991" s="674">
        <f>SUM(C991:J991)</f>
        <v>0</v>
      </c>
    </row>
    <row r="992" spans="1:11" ht="17.45" customHeight="1">
      <c r="A992" s="1435"/>
      <c r="B992" s="669" t="str">
        <f t="shared" si="420"/>
        <v>7구간</v>
      </c>
      <c r="C992" s="828">
        <f t="shared" si="429"/>
        <v>0</v>
      </c>
      <c r="D992" s="841">
        <f t="shared" si="430"/>
        <v>0</v>
      </c>
      <c r="E992" s="828">
        <f t="shared" si="431"/>
        <v>0</v>
      </c>
      <c r="F992" s="841">
        <f t="shared" si="432"/>
        <v>0</v>
      </c>
      <c r="G992" s="828">
        <f t="shared" si="433"/>
        <v>0</v>
      </c>
      <c r="H992" s="830">
        <f t="shared" si="434"/>
        <v>0</v>
      </c>
      <c r="I992" s="830">
        <f t="shared" si="435"/>
        <v>0</v>
      </c>
      <c r="J992" s="829">
        <f t="shared" si="436"/>
        <v>0</v>
      </c>
      <c r="K992" s="674">
        <f>SUM(C992:J992)</f>
        <v>0</v>
      </c>
    </row>
    <row r="993" spans="1:11" ht="17.45" customHeight="1">
      <c r="A993" s="1435"/>
      <c r="B993" s="669" t="str">
        <f t="shared" si="420"/>
        <v>8구간</v>
      </c>
      <c r="C993" s="828">
        <f t="shared" si="429"/>
        <v>0</v>
      </c>
      <c r="D993" s="841">
        <f t="shared" si="430"/>
        <v>0</v>
      </c>
      <c r="E993" s="828">
        <f t="shared" si="431"/>
        <v>0</v>
      </c>
      <c r="F993" s="841">
        <f t="shared" si="432"/>
        <v>0</v>
      </c>
      <c r="G993" s="828">
        <f t="shared" si="433"/>
        <v>0</v>
      </c>
      <c r="H993" s="830">
        <f t="shared" si="434"/>
        <v>0</v>
      </c>
      <c r="I993" s="830">
        <f t="shared" si="435"/>
        <v>0</v>
      </c>
      <c r="J993" s="832">
        <f t="shared" si="436"/>
        <v>0</v>
      </c>
      <c r="K993" s="674">
        <f>SUM(C993:J993)</f>
        <v>0</v>
      </c>
    </row>
    <row r="994" spans="1:11" ht="17.45" customHeight="1">
      <c r="A994" s="1435"/>
      <c r="B994" s="669" t="str">
        <f t="shared" si="420"/>
        <v>9구간</v>
      </c>
      <c r="C994" s="828">
        <f t="shared" si="429"/>
        <v>0</v>
      </c>
      <c r="D994" s="841">
        <f t="shared" si="430"/>
        <v>0</v>
      </c>
      <c r="E994" s="828">
        <f t="shared" si="431"/>
        <v>0</v>
      </c>
      <c r="F994" s="841">
        <f t="shared" si="432"/>
        <v>0</v>
      </c>
      <c r="G994" s="828">
        <f t="shared" si="433"/>
        <v>0</v>
      </c>
      <c r="H994" s="830">
        <f t="shared" si="434"/>
        <v>0</v>
      </c>
      <c r="I994" s="830">
        <f t="shared" si="435"/>
        <v>0</v>
      </c>
      <c r="J994" s="829">
        <f t="shared" si="436"/>
        <v>0</v>
      </c>
      <c r="K994" s="674">
        <f>SUM(C994:J994)</f>
        <v>0</v>
      </c>
    </row>
    <row r="995" spans="1:11" ht="17.25" customHeight="1">
      <c r="A995" s="1436"/>
      <c r="B995" s="680" t="str">
        <f t="shared" si="420"/>
        <v>10구간</v>
      </c>
      <c r="C995" s="844">
        <f t="shared" si="429"/>
        <v>0</v>
      </c>
      <c r="D995" s="836">
        <f t="shared" si="430"/>
        <v>0</v>
      </c>
      <c r="E995" s="834">
        <f t="shared" si="431"/>
        <v>0</v>
      </c>
      <c r="F995" s="845">
        <f t="shared" si="432"/>
        <v>0</v>
      </c>
      <c r="G995" s="834">
        <f t="shared" si="433"/>
        <v>0</v>
      </c>
      <c r="H995" s="836">
        <f t="shared" si="434"/>
        <v>0</v>
      </c>
      <c r="I995" s="846">
        <f t="shared" si="435"/>
        <v>0</v>
      </c>
      <c r="J995" s="847">
        <f t="shared" si="436"/>
        <v>0</v>
      </c>
      <c r="K995" s="674">
        <f>SUM(C995:J995)</f>
        <v>0</v>
      </c>
    </row>
    <row r="996" spans="1:11" ht="17.45" customHeight="1">
      <c r="A996" s="1434">
        <v>40</v>
      </c>
      <c r="B996" s="676" t="str">
        <f t="shared" si="420"/>
        <v>1구간</v>
      </c>
      <c r="C996" s="840">
        <f t="shared" ref="C996:C1005" si="437">ROUND(((($C$965*$C$853*$F770)*$E$873)*$C425),2)</f>
        <v>1.56</v>
      </c>
      <c r="D996" s="841">
        <f t="shared" ref="D996:D1005" si="438">ROUND(((($D$965*$C$853*$F793)*$F$873)*$D425),2)</f>
        <v>0.62</v>
      </c>
      <c r="E996" s="828">
        <f t="shared" ref="E996:E1005" si="439">ROUND(((($E$965*$C$853*$F816)*$F$873)*$E425),2)</f>
        <v>0</v>
      </c>
      <c r="F996" s="841">
        <f t="shared" ref="F996:F1005" si="440">ROUND(((($F$965*$C$853*$F839)*$F$873)*$F425),2)</f>
        <v>0.51</v>
      </c>
      <c r="G996" s="828">
        <f t="shared" ref="G996:G1005" si="441">ROUND(((($G$965*$C$853*$F816)*$F$873)*$G425),2)</f>
        <v>0.28999999999999998</v>
      </c>
      <c r="H996" s="830">
        <f t="shared" ref="H996:H1005" si="442">ROUND(((($H$965*$C$853*$F839)*$F$873)*$H425),2)</f>
        <v>0.92</v>
      </c>
      <c r="I996" s="842">
        <f t="shared" ref="I996:I1005" si="443">ROUND(((($I$965*$C$853*$F839)*$F$873)*$I425),2)</f>
        <v>0.22</v>
      </c>
      <c r="J996" s="848">
        <f t="shared" ref="J996:J1005" si="444">ROUND(((($J$965*$C$853*$F839)*$F$873)*$J425),2)</f>
        <v>0.76</v>
      </c>
      <c r="K996" s="681">
        <f t="shared" si="419"/>
        <v>4.88</v>
      </c>
    </row>
    <row r="997" spans="1:11" ht="17.45" customHeight="1">
      <c r="A997" s="1435"/>
      <c r="B997" s="669" t="str">
        <f t="shared" si="420"/>
        <v>2구간</v>
      </c>
      <c r="C997" s="828">
        <f t="shared" si="437"/>
        <v>0</v>
      </c>
      <c r="D997" s="841">
        <f t="shared" si="438"/>
        <v>0</v>
      </c>
      <c r="E997" s="828">
        <f t="shared" si="439"/>
        <v>0</v>
      </c>
      <c r="F997" s="841">
        <f t="shared" si="440"/>
        <v>0</v>
      </c>
      <c r="G997" s="828">
        <f t="shared" si="441"/>
        <v>0</v>
      </c>
      <c r="H997" s="830">
        <f t="shared" si="442"/>
        <v>0</v>
      </c>
      <c r="I997" s="830">
        <f t="shared" si="443"/>
        <v>0</v>
      </c>
      <c r="J997" s="829">
        <f t="shared" si="444"/>
        <v>0</v>
      </c>
      <c r="K997" s="674">
        <f t="shared" si="419"/>
        <v>0</v>
      </c>
    </row>
    <row r="998" spans="1:11" ht="17.45" customHeight="1">
      <c r="A998" s="1435"/>
      <c r="B998" s="669" t="str">
        <f t="shared" si="420"/>
        <v>3구간</v>
      </c>
      <c r="C998" s="828">
        <f t="shared" si="437"/>
        <v>0</v>
      </c>
      <c r="D998" s="841">
        <f t="shared" si="438"/>
        <v>0</v>
      </c>
      <c r="E998" s="828">
        <f t="shared" si="439"/>
        <v>0</v>
      </c>
      <c r="F998" s="841">
        <f t="shared" si="440"/>
        <v>0</v>
      </c>
      <c r="G998" s="828">
        <f t="shared" si="441"/>
        <v>0</v>
      </c>
      <c r="H998" s="830">
        <f t="shared" si="442"/>
        <v>0</v>
      </c>
      <c r="I998" s="830">
        <f t="shared" si="443"/>
        <v>0</v>
      </c>
      <c r="J998" s="832">
        <f t="shared" si="444"/>
        <v>0</v>
      </c>
      <c r="K998" s="674">
        <f t="shared" si="419"/>
        <v>0</v>
      </c>
    </row>
    <row r="999" spans="1:11" ht="17.45" customHeight="1">
      <c r="A999" s="1435"/>
      <c r="B999" s="669" t="str">
        <f t="shared" si="420"/>
        <v>4구간</v>
      </c>
      <c r="C999" s="828">
        <f t="shared" si="437"/>
        <v>0</v>
      </c>
      <c r="D999" s="841">
        <f t="shared" si="438"/>
        <v>0</v>
      </c>
      <c r="E999" s="828">
        <f t="shared" si="439"/>
        <v>0</v>
      </c>
      <c r="F999" s="841">
        <f t="shared" si="440"/>
        <v>0</v>
      </c>
      <c r="G999" s="828">
        <f t="shared" si="441"/>
        <v>0</v>
      </c>
      <c r="H999" s="830">
        <f t="shared" si="442"/>
        <v>0</v>
      </c>
      <c r="I999" s="830">
        <f t="shared" si="443"/>
        <v>0</v>
      </c>
      <c r="J999" s="829">
        <f t="shared" si="444"/>
        <v>0</v>
      </c>
      <c r="K999" s="674">
        <f t="shared" si="419"/>
        <v>0</v>
      </c>
    </row>
    <row r="1000" spans="1:11" ht="17.45" customHeight="1">
      <c r="A1000" s="1435"/>
      <c r="B1000" s="669" t="str">
        <f t="shared" si="420"/>
        <v>5구간</v>
      </c>
      <c r="C1000" s="831">
        <f t="shared" si="437"/>
        <v>0</v>
      </c>
      <c r="D1000" s="843">
        <f t="shared" si="438"/>
        <v>0</v>
      </c>
      <c r="E1000" s="831">
        <f t="shared" si="439"/>
        <v>0</v>
      </c>
      <c r="F1000" s="843">
        <f t="shared" si="440"/>
        <v>0</v>
      </c>
      <c r="G1000" s="831">
        <f t="shared" si="441"/>
        <v>0</v>
      </c>
      <c r="H1000" s="833">
        <f t="shared" si="442"/>
        <v>0</v>
      </c>
      <c r="I1000" s="833">
        <f t="shared" si="443"/>
        <v>0</v>
      </c>
      <c r="J1000" s="832">
        <f t="shared" si="444"/>
        <v>0</v>
      </c>
      <c r="K1000" s="675">
        <f t="shared" si="419"/>
        <v>0</v>
      </c>
    </row>
    <row r="1001" spans="1:11" ht="17.45" customHeight="1">
      <c r="A1001" s="1435"/>
      <c r="B1001" s="676" t="str">
        <f t="shared" si="420"/>
        <v>6구간</v>
      </c>
      <c r="C1001" s="828">
        <f t="shared" si="437"/>
        <v>0</v>
      </c>
      <c r="D1001" s="841">
        <f t="shared" si="438"/>
        <v>0</v>
      </c>
      <c r="E1001" s="828">
        <f t="shared" si="439"/>
        <v>0</v>
      </c>
      <c r="F1001" s="841">
        <f t="shared" si="440"/>
        <v>0</v>
      </c>
      <c r="G1001" s="828">
        <f t="shared" si="441"/>
        <v>0</v>
      </c>
      <c r="H1001" s="830">
        <f t="shared" si="442"/>
        <v>0</v>
      </c>
      <c r="I1001" s="830">
        <f t="shared" si="443"/>
        <v>0</v>
      </c>
      <c r="J1001" s="829">
        <f t="shared" si="444"/>
        <v>0</v>
      </c>
      <c r="K1001" s="674">
        <f>SUM(C1001:J1001)</f>
        <v>0</v>
      </c>
    </row>
    <row r="1002" spans="1:11" ht="17.45" customHeight="1">
      <c r="A1002" s="1435"/>
      <c r="B1002" s="669" t="str">
        <f t="shared" si="420"/>
        <v>7구간</v>
      </c>
      <c r="C1002" s="828">
        <f t="shared" si="437"/>
        <v>0</v>
      </c>
      <c r="D1002" s="841">
        <f t="shared" si="438"/>
        <v>0</v>
      </c>
      <c r="E1002" s="828">
        <f t="shared" si="439"/>
        <v>0</v>
      </c>
      <c r="F1002" s="841">
        <f t="shared" si="440"/>
        <v>0</v>
      </c>
      <c r="G1002" s="828">
        <f t="shared" si="441"/>
        <v>0</v>
      </c>
      <c r="H1002" s="830">
        <f t="shared" si="442"/>
        <v>0</v>
      </c>
      <c r="I1002" s="830">
        <f t="shared" si="443"/>
        <v>0</v>
      </c>
      <c r="J1002" s="829">
        <f t="shared" si="444"/>
        <v>0</v>
      </c>
      <c r="K1002" s="674">
        <f>SUM(C1002:J1002)</f>
        <v>0</v>
      </c>
    </row>
    <row r="1003" spans="1:11" ht="17.45" customHeight="1">
      <c r="A1003" s="1435"/>
      <c r="B1003" s="669" t="str">
        <f t="shared" si="420"/>
        <v>8구간</v>
      </c>
      <c r="C1003" s="828">
        <f t="shared" si="437"/>
        <v>0</v>
      </c>
      <c r="D1003" s="841">
        <f t="shared" si="438"/>
        <v>0</v>
      </c>
      <c r="E1003" s="828">
        <f t="shared" si="439"/>
        <v>0</v>
      </c>
      <c r="F1003" s="841">
        <f t="shared" si="440"/>
        <v>0</v>
      </c>
      <c r="G1003" s="828">
        <f t="shared" si="441"/>
        <v>0</v>
      </c>
      <c r="H1003" s="830">
        <f t="shared" si="442"/>
        <v>0</v>
      </c>
      <c r="I1003" s="830">
        <f t="shared" si="443"/>
        <v>0</v>
      </c>
      <c r="J1003" s="832">
        <f t="shared" si="444"/>
        <v>0</v>
      </c>
      <c r="K1003" s="674">
        <f>SUM(C1003:J1003)</f>
        <v>0</v>
      </c>
    </row>
    <row r="1004" spans="1:11" ht="17.45" customHeight="1">
      <c r="A1004" s="1435"/>
      <c r="B1004" s="669" t="str">
        <f t="shared" si="420"/>
        <v>9구간</v>
      </c>
      <c r="C1004" s="828">
        <f t="shared" si="437"/>
        <v>0</v>
      </c>
      <c r="D1004" s="841">
        <f t="shared" si="438"/>
        <v>0</v>
      </c>
      <c r="E1004" s="828">
        <f t="shared" si="439"/>
        <v>0</v>
      </c>
      <c r="F1004" s="841">
        <f t="shared" si="440"/>
        <v>0</v>
      </c>
      <c r="G1004" s="828">
        <f t="shared" si="441"/>
        <v>0</v>
      </c>
      <c r="H1004" s="830">
        <f t="shared" si="442"/>
        <v>0</v>
      </c>
      <c r="I1004" s="830">
        <f t="shared" si="443"/>
        <v>0</v>
      </c>
      <c r="J1004" s="829">
        <f t="shared" si="444"/>
        <v>0</v>
      </c>
      <c r="K1004" s="674">
        <f>SUM(C1004:J1004)</f>
        <v>0</v>
      </c>
    </row>
    <row r="1005" spans="1:11" ht="17.45" customHeight="1">
      <c r="A1005" s="1436"/>
      <c r="B1005" s="680" t="str">
        <f t="shared" si="420"/>
        <v>10구간</v>
      </c>
      <c r="C1005" s="834">
        <f t="shared" si="437"/>
        <v>0</v>
      </c>
      <c r="D1005" s="845">
        <f t="shared" si="438"/>
        <v>0</v>
      </c>
      <c r="E1005" s="834">
        <f t="shared" si="439"/>
        <v>0</v>
      </c>
      <c r="F1005" s="845">
        <f t="shared" si="440"/>
        <v>0</v>
      </c>
      <c r="G1005" s="834">
        <f t="shared" si="441"/>
        <v>0</v>
      </c>
      <c r="H1005" s="836">
        <f t="shared" si="442"/>
        <v>0</v>
      </c>
      <c r="I1005" s="836">
        <f t="shared" si="443"/>
        <v>0</v>
      </c>
      <c r="J1005" s="847">
        <f t="shared" si="444"/>
        <v>0</v>
      </c>
      <c r="K1005" s="674">
        <f>SUM(C1005:J1005)</f>
        <v>0</v>
      </c>
    </row>
    <row r="1006" spans="1:11" ht="17.45" customHeight="1">
      <c r="A1006" s="1434">
        <v>50</v>
      </c>
      <c r="B1006" s="676" t="str">
        <f t="shared" si="420"/>
        <v>1구간</v>
      </c>
      <c r="C1006" s="828">
        <f t="shared" ref="C1006:C1015" si="445">ROUND(((($C$965*$C$853*$G770)*$E$873)*$C436),2)</f>
        <v>1.38</v>
      </c>
      <c r="D1006" s="841">
        <f t="shared" ref="D1006:D1015" si="446">ROUND(((($D$965*$C$853*$G793)*$F$873)*$D436),2)</f>
        <v>0.5</v>
      </c>
      <c r="E1006" s="828">
        <f t="shared" ref="E1006:E1015" si="447">ROUND(((($E$965*$C$853*$G816)*$F$873)*$E436),2)</f>
        <v>0</v>
      </c>
      <c r="F1006" s="841">
        <f t="shared" ref="F1006:F1015" si="448">ROUND(((($F$965*$C$853*$G839)*$F$873)*$F436),2)</f>
        <v>0.49</v>
      </c>
      <c r="G1006" s="828">
        <f t="shared" ref="G1006:G1015" si="449">ROUND(((($G$965*$C$853*$G816)*$F$873)*$G436),2)</f>
        <v>0.26</v>
      </c>
      <c r="H1006" s="830">
        <f t="shared" ref="H1006:H1015" si="450">ROUND(((($H$965*$C$853*$G839)*$F$873)*$H436),2)</f>
        <v>0.88</v>
      </c>
      <c r="I1006" s="830">
        <f t="shared" ref="I1006:I1015" si="451">ROUND(((($I$965*$C$853*$G839)*$F$873)*$I436),2)</f>
        <v>0.21</v>
      </c>
      <c r="J1006" s="848">
        <f t="shared" ref="J1006:J1015" si="452">ROUND(((($J$965*$C$853*$G839)*$F$873)*$J436),2)</f>
        <v>0.73</v>
      </c>
      <c r="K1006" s="681">
        <f t="shared" si="419"/>
        <v>4.4499999999999993</v>
      </c>
    </row>
    <row r="1007" spans="1:11" ht="17.45" customHeight="1">
      <c r="A1007" s="1435"/>
      <c r="B1007" s="669" t="str">
        <f t="shared" si="420"/>
        <v>2구간</v>
      </c>
      <c r="C1007" s="828">
        <f t="shared" si="445"/>
        <v>0</v>
      </c>
      <c r="D1007" s="841">
        <f t="shared" si="446"/>
        <v>0</v>
      </c>
      <c r="E1007" s="828">
        <f t="shared" si="447"/>
        <v>0</v>
      </c>
      <c r="F1007" s="841">
        <f t="shared" si="448"/>
        <v>0</v>
      </c>
      <c r="G1007" s="828">
        <f t="shared" si="449"/>
        <v>0</v>
      </c>
      <c r="H1007" s="830">
        <f t="shared" si="450"/>
        <v>0</v>
      </c>
      <c r="I1007" s="830">
        <f t="shared" si="451"/>
        <v>0</v>
      </c>
      <c r="J1007" s="829">
        <f t="shared" si="452"/>
        <v>0</v>
      </c>
      <c r="K1007" s="674">
        <f t="shared" si="419"/>
        <v>0</v>
      </c>
    </row>
    <row r="1008" spans="1:11" ht="17.45" customHeight="1">
      <c r="A1008" s="1435"/>
      <c r="B1008" s="669" t="str">
        <f t="shared" ref="B1008:B1035" si="453">B998</f>
        <v>3구간</v>
      </c>
      <c r="C1008" s="828">
        <f t="shared" si="445"/>
        <v>0</v>
      </c>
      <c r="D1008" s="841">
        <f t="shared" si="446"/>
        <v>0</v>
      </c>
      <c r="E1008" s="828">
        <f t="shared" si="447"/>
        <v>0</v>
      </c>
      <c r="F1008" s="841">
        <f t="shared" si="448"/>
        <v>0</v>
      </c>
      <c r="G1008" s="828">
        <f t="shared" si="449"/>
        <v>0</v>
      </c>
      <c r="H1008" s="830">
        <f t="shared" si="450"/>
        <v>0</v>
      </c>
      <c r="I1008" s="830">
        <f t="shared" si="451"/>
        <v>0</v>
      </c>
      <c r="J1008" s="832">
        <f t="shared" si="452"/>
        <v>0</v>
      </c>
      <c r="K1008" s="674">
        <f t="shared" si="419"/>
        <v>0</v>
      </c>
    </row>
    <row r="1009" spans="1:11" ht="17.45" customHeight="1">
      <c r="A1009" s="1435"/>
      <c r="B1009" s="669" t="str">
        <f t="shared" si="453"/>
        <v>4구간</v>
      </c>
      <c r="C1009" s="828">
        <f t="shared" si="445"/>
        <v>0</v>
      </c>
      <c r="D1009" s="841">
        <f t="shared" si="446"/>
        <v>0</v>
      </c>
      <c r="E1009" s="828">
        <f t="shared" si="447"/>
        <v>0</v>
      </c>
      <c r="F1009" s="841">
        <f t="shared" si="448"/>
        <v>0</v>
      </c>
      <c r="G1009" s="828">
        <f t="shared" si="449"/>
        <v>0</v>
      </c>
      <c r="H1009" s="830">
        <f t="shared" si="450"/>
        <v>0</v>
      </c>
      <c r="I1009" s="830">
        <f t="shared" si="451"/>
        <v>0</v>
      </c>
      <c r="J1009" s="829">
        <f t="shared" si="452"/>
        <v>0</v>
      </c>
      <c r="K1009" s="674">
        <f t="shared" si="419"/>
        <v>0</v>
      </c>
    </row>
    <row r="1010" spans="1:11" ht="17.45" customHeight="1">
      <c r="A1010" s="1435"/>
      <c r="B1010" s="669" t="str">
        <f t="shared" si="453"/>
        <v>5구간</v>
      </c>
      <c r="C1010" s="831">
        <f t="shared" si="445"/>
        <v>0</v>
      </c>
      <c r="D1010" s="833">
        <f t="shared" si="446"/>
        <v>0</v>
      </c>
      <c r="E1010" s="831">
        <f t="shared" si="447"/>
        <v>0</v>
      </c>
      <c r="F1010" s="843">
        <f t="shared" si="448"/>
        <v>0</v>
      </c>
      <c r="G1010" s="831">
        <f t="shared" si="449"/>
        <v>0</v>
      </c>
      <c r="H1010" s="833">
        <f t="shared" si="450"/>
        <v>0</v>
      </c>
      <c r="I1010" s="833">
        <f t="shared" si="451"/>
        <v>0</v>
      </c>
      <c r="J1010" s="832">
        <f t="shared" si="452"/>
        <v>0</v>
      </c>
      <c r="K1010" s="675">
        <f t="shared" si="419"/>
        <v>0</v>
      </c>
    </row>
    <row r="1011" spans="1:11" ht="17.45" customHeight="1">
      <c r="A1011" s="1435"/>
      <c r="B1011" s="676" t="str">
        <f t="shared" si="453"/>
        <v>6구간</v>
      </c>
      <c r="C1011" s="828">
        <f t="shared" si="445"/>
        <v>0</v>
      </c>
      <c r="D1011" s="841">
        <f t="shared" si="446"/>
        <v>0</v>
      </c>
      <c r="E1011" s="828">
        <f t="shared" si="447"/>
        <v>0</v>
      </c>
      <c r="F1011" s="841">
        <f t="shared" si="448"/>
        <v>0</v>
      </c>
      <c r="G1011" s="828">
        <f t="shared" si="449"/>
        <v>0</v>
      </c>
      <c r="H1011" s="830">
        <f t="shared" si="450"/>
        <v>0</v>
      </c>
      <c r="I1011" s="830">
        <f t="shared" si="451"/>
        <v>0</v>
      </c>
      <c r="J1011" s="829">
        <f t="shared" si="452"/>
        <v>0</v>
      </c>
      <c r="K1011" s="674">
        <f>SUM(C1011:J1011)</f>
        <v>0</v>
      </c>
    </row>
    <row r="1012" spans="1:11" ht="17.45" customHeight="1">
      <c r="A1012" s="1435"/>
      <c r="B1012" s="669" t="str">
        <f t="shared" si="453"/>
        <v>7구간</v>
      </c>
      <c r="C1012" s="828">
        <f t="shared" si="445"/>
        <v>0</v>
      </c>
      <c r="D1012" s="841">
        <f t="shared" si="446"/>
        <v>0</v>
      </c>
      <c r="E1012" s="828">
        <f t="shared" si="447"/>
        <v>0</v>
      </c>
      <c r="F1012" s="841">
        <f t="shared" si="448"/>
        <v>0</v>
      </c>
      <c r="G1012" s="828">
        <f t="shared" si="449"/>
        <v>0</v>
      </c>
      <c r="H1012" s="830">
        <f t="shared" si="450"/>
        <v>0</v>
      </c>
      <c r="I1012" s="830">
        <f t="shared" si="451"/>
        <v>0</v>
      </c>
      <c r="J1012" s="829">
        <f t="shared" si="452"/>
        <v>0</v>
      </c>
      <c r="K1012" s="674">
        <f>SUM(C1012:J1012)</f>
        <v>0</v>
      </c>
    </row>
    <row r="1013" spans="1:11" ht="17.45" customHeight="1">
      <c r="A1013" s="1435"/>
      <c r="B1013" s="669" t="str">
        <f t="shared" si="453"/>
        <v>8구간</v>
      </c>
      <c r="C1013" s="828">
        <f t="shared" si="445"/>
        <v>0</v>
      </c>
      <c r="D1013" s="841">
        <f t="shared" si="446"/>
        <v>0</v>
      </c>
      <c r="E1013" s="828">
        <f t="shared" si="447"/>
        <v>0</v>
      </c>
      <c r="F1013" s="841">
        <f t="shared" si="448"/>
        <v>0</v>
      </c>
      <c r="G1013" s="828">
        <f t="shared" si="449"/>
        <v>0</v>
      </c>
      <c r="H1013" s="830">
        <f t="shared" si="450"/>
        <v>0</v>
      </c>
      <c r="I1013" s="830">
        <f t="shared" si="451"/>
        <v>0</v>
      </c>
      <c r="J1013" s="832">
        <f t="shared" si="452"/>
        <v>0</v>
      </c>
      <c r="K1013" s="674">
        <f>SUM(C1013:J1013)</f>
        <v>0</v>
      </c>
    </row>
    <row r="1014" spans="1:11" ht="17.45" customHeight="1">
      <c r="A1014" s="1435"/>
      <c r="B1014" s="669" t="str">
        <f t="shared" si="453"/>
        <v>9구간</v>
      </c>
      <c r="C1014" s="828">
        <f t="shared" si="445"/>
        <v>0</v>
      </c>
      <c r="D1014" s="841">
        <f t="shared" si="446"/>
        <v>0</v>
      </c>
      <c r="E1014" s="828">
        <f t="shared" si="447"/>
        <v>0</v>
      </c>
      <c r="F1014" s="841">
        <f t="shared" si="448"/>
        <v>0</v>
      </c>
      <c r="G1014" s="828">
        <f t="shared" si="449"/>
        <v>0</v>
      </c>
      <c r="H1014" s="830">
        <f t="shared" si="450"/>
        <v>0</v>
      </c>
      <c r="I1014" s="830">
        <f t="shared" si="451"/>
        <v>0</v>
      </c>
      <c r="J1014" s="829">
        <f t="shared" si="452"/>
        <v>0</v>
      </c>
      <c r="K1014" s="674">
        <f>SUM(C1014:J1014)</f>
        <v>0</v>
      </c>
    </row>
    <row r="1015" spans="1:11" ht="17.45" customHeight="1">
      <c r="A1015" s="1436"/>
      <c r="B1015" s="680" t="str">
        <f t="shared" si="453"/>
        <v>10구간</v>
      </c>
      <c r="C1015" s="844">
        <f t="shared" si="445"/>
        <v>0</v>
      </c>
      <c r="D1015" s="836">
        <f t="shared" si="446"/>
        <v>0</v>
      </c>
      <c r="E1015" s="834">
        <f t="shared" si="447"/>
        <v>0</v>
      </c>
      <c r="F1015" s="845">
        <f t="shared" si="448"/>
        <v>0</v>
      </c>
      <c r="G1015" s="834">
        <f t="shared" si="449"/>
        <v>0</v>
      </c>
      <c r="H1015" s="836">
        <f t="shared" si="450"/>
        <v>0</v>
      </c>
      <c r="I1015" s="836">
        <f t="shared" si="451"/>
        <v>0</v>
      </c>
      <c r="J1015" s="835">
        <f t="shared" si="452"/>
        <v>0</v>
      </c>
      <c r="K1015" s="674">
        <f>SUM(C1015:J1015)</f>
        <v>0</v>
      </c>
    </row>
    <row r="1016" spans="1:11" ht="17.45" customHeight="1">
      <c r="A1016" s="1434">
        <v>60</v>
      </c>
      <c r="B1016" s="676" t="str">
        <f t="shared" si="453"/>
        <v>1구간</v>
      </c>
      <c r="C1016" s="828">
        <f t="shared" ref="C1016:C1025" si="454">ROUND(((($C$965*$C$853*$H770)*$E$873)*$C447),2)</f>
        <v>1.21</v>
      </c>
      <c r="D1016" s="841">
        <f t="shared" ref="D1016:D1025" si="455">ROUND(((($D$965*$C$853*$H793)*$F$873)*$D447),2)</f>
        <v>0.38</v>
      </c>
      <c r="E1016" s="828">
        <f t="shared" ref="E1016:E1025" si="456">ROUND(((($E$965*$C$853*$H816)*$F$873)*$E447),2)</f>
        <v>0</v>
      </c>
      <c r="F1016" s="841">
        <f t="shared" ref="F1016:F1025" si="457">ROUND(((($F$965*$C$853*$H839)*$F$873)*$F447),2)</f>
        <v>0.49</v>
      </c>
      <c r="G1016" s="828">
        <f t="shared" ref="G1016:G1025" si="458">ROUND(((($G$965*$C$853*$H816)*$F$873)*$G447),2)</f>
        <v>0.23</v>
      </c>
      <c r="H1016" s="830">
        <f t="shared" ref="H1016:H1025" si="459">ROUND(((($H$965*$C$853*$H839)*$F$873)*$H447),2)</f>
        <v>0.9</v>
      </c>
      <c r="I1016" s="830">
        <f t="shared" ref="I1016:I1025" si="460">ROUND(((($I$965*$C$853*$H839)*$F$873)*$I447),2)</f>
        <v>0.22</v>
      </c>
      <c r="J1016" s="829">
        <f t="shared" ref="J1016:J1025" si="461">ROUND(((($J$965*$C$853*$H839)*$F$873)*$J447),2)</f>
        <v>0.75</v>
      </c>
      <c r="K1016" s="681">
        <f t="shared" si="419"/>
        <v>4.18</v>
      </c>
    </row>
    <row r="1017" spans="1:11" ht="17.45" customHeight="1">
      <c r="A1017" s="1435"/>
      <c r="B1017" s="669" t="str">
        <f t="shared" si="453"/>
        <v>2구간</v>
      </c>
      <c r="C1017" s="828">
        <f t="shared" si="454"/>
        <v>0</v>
      </c>
      <c r="D1017" s="841">
        <f t="shared" si="455"/>
        <v>0</v>
      </c>
      <c r="E1017" s="828">
        <f t="shared" si="456"/>
        <v>0</v>
      </c>
      <c r="F1017" s="841">
        <f t="shared" si="457"/>
        <v>0</v>
      </c>
      <c r="G1017" s="828">
        <f t="shared" si="458"/>
        <v>0</v>
      </c>
      <c r="H1017" s="830">
        <f t="shared" si="459"/>
        <v>0</v>
      </c>
      <c r="I1017" s="830">
        <f t="shared" si="460"/>
        <v>0</v>
      </c>
      <c r="J1017" s="829">
        <f t="shared" si="461"/>
        <v>0</v>
      </c>
      <c r="K1017" s="674">
        <f t="shared" si="419"/>
        <v>0</v>
      </c>
    </row>
    <row r="1018" spans="1:11" ht="17.45" customHeight="1">
      <c r="A1018" s="1435"/>
      <c r="B1018" s="669" t="str">
        <f t="shared" si="453"/>
        <v>3구간</v>
      </c>
      <c r="C1018" s="828">
        <f t="shared" si="454"/>
        <v>0</v>
      </c>
      <c r="D1018" s="841">
        <f t="shared" si="455"/>
        <v>0</v>
      </c>
      <c r="E1018" s="828">
        <f t="shared" si="456"/>
        <v>0</v>
      </c>
      <c r="F1018" s="841">
        <f t="shared" si="457"/>
        <v>0</v>
      </c>
      <c r="G1018" s="828">
        <f t="shared" si="458"/>
        <v>0</v>
      </c>
      <c r="H1018" s="830">
        <f t="shared" si="459"/>
        <v>0</v>
      </c>
      <c r="I1018" s="830">
        <f t="shared" si="460"/>
        <v>0</v>
      </c>
      <c r="J1018" s="832">
        <f t="shared" si="461"/>
        <v>0</v>
      </c>
      <c r="K1018" s="674">
        <f t="shared" si="419"/>
        <v>0</v>
      </c>
    </row>
    <row r="1019" spans="1:11" ht="17.45" customHeight="1">
      <c r="A1019" s="1435"/>
      <c r="B1019" s="669" t="str">
        <f t="shared" si="453"/>
        <v>4구간</v>
      </c>
      <c r="C1019" s="828">
        <f t="shared" si="454"/>
        <v>0</v>
      </c>
      <c r="D1019" s="841">
        <f t="shared" si="455"/>
        <v>0</v>
      </c>
      <c r="E1019" s="828">
        <f t="shared" si="456"/>
        <v>0</v>
      </c>
      <c r="F1019" s="841">
        <f t="shared" si="457"/>
        <v>0</v>
      </c>
      <c r="G1019" s="828">
        <f t="shared" si="458"/>
        <v>0</v>
      </c>
      <c r="H1019" s="830">
        <f t="shared" si="459"/>
        <v>0</v>
      </c>
      <c r="I1019" s="830">
        <f t="shared" si="460"/>
        <v>0</v>
      </c>
      <c r="J1019" s="829">
        <f t="shared" si="461"/>
        <v>0</v>
      </c>
      <c r="K1019" s="674">
        <f t="shared" si="419"/>
        <v>0</v>
      </c>
    </row>
    <row r="1020" spans="1:11" ht="17.45" customHeight="1">
      <c r="A1020" s="1435"/>
      <c r="B1020" s="669" t="str">
        <f t="shared" si="453"/>
        <v>5구간</v>
      </c>
      <c r="C1020" s="831">
        <f t="shared" si="454"/>
        <v>0</v>
      </c>
      <c r="D1020" s="833">
        <f t="shared" si="455"/>
        <v>0</v>
      </c>
      <c r="E1020" s="831">
        <f t="shared" si="456"/>
        <v>0</v>
      </c>
      <c r="F1020" s="843">
        <f t="shared" si="457"/>
        <v>0</v>
      </c>
      <c r="G1020" s="831">
        <f t="shared" si="458"/>
        <v>0</v>
      </c>
      <c r="H1020" s="833">
        <f t="shared" si="459"/>
        <v>0</v>
      </c>
      <c r="I1020" s="833">
        <f t="shared" si="460"/>
        <v>0</v>
      </c>
      <c r="J1020" s="832">
        <f t="shared" si="461"/>
        <v>0</v>
      </c>
      <c r="K1020" s="675">
        <f t="shared" si="419"/>
        <v>0</v>
      </c>
    </row>
    <row r="1021" spans="1:11" ht="17.45" customHeight="1">
      <c r="A1021" s="1435"/>
      <c r="B1021" s="676" t="str">
        <f t="shared" si="453"/>
        <v>6구간</v>
      </c>
      <c r="C1021" s="828">
        <f t="shared" si="454"/>
        <v>0</v>
      </c>
      <c r="D1021" s="841">
        <f t="shared" si="455"/>
        <v>0</v>
      </c>
      <c r="E1021" s="828">
        <f t="shared" si="456"/>
        <v>0</v>
      </c>
      <c r="F1021" s="841">
        <f t="shared" si="457"/>
        <v>0</v>
      </c>
      <c r="G1021" s="828">
        <f t="shared" si="458"/>
        <v>0</v>
      </c>
      <c r="H1021" s="830">
        <f t="shared" si="459"/>
        <v>0</v>
      </c>
      <c r="I1021" s="830">
        <f t="shared" si="460"/>
        <v>0</v>
      </c>
      <c r="J1021" s="829">
        <f t="shared" si="461"/>
        <v>0</v>
      </c>
      <c r="K1021" s="674">
        <f>SUM(C1021:J1021)</f>
        <v>0</v>
      </c>
    </row>
    <row r="1022" spans="1:11" ht="17.45" customHeight="1">
      <c r="A1022" s="1435"/>
      <c r="B1022" s="669" t="str">
        <f t="shared" si="453"/>
        <v>7구간</v>
      </c>
      <c r="C1022" s="828">
        <f t="shared" si="454"/>
        <v>0</v>
      </c>
      <c r="D1022" s="841">
        <f t="shared" si="455"/>
        <v>0</v>
      </c>
      <c r="E1022" s="828">
        <f t="shared" si="456"/>
        <v>0</v>
      </c>
      <c r="F1022" s="841">
        <f t="shared" si="457"/>
        <v>0</v>
      </c>
      <c r="G1022" s="828">
        <f t="shared" si="458"/>
        <v>0</v>
      </c>
      <c r="H1022" s="830">
        <f t="shared" si="459"/>
        <v>0</v>
      </c>
      <c r="I1022" s="830">
        <f t="shared" si="460"/>
        <v>0</v>
      </c>
      <c r="J1022" s="829">
        <f t="shared" si="461"/>
        <v>0</v>
      </c>
      <c r="K1022" s="674">
        <f>SUM(C1022:J1022)</f>
        <v>0</v>
      </c>
    </row>
    <row r="1023" spans="1:11" ht="17.45" customHeight="1">
      <c r="A1023" s="1435"/>
      <c r="B1023" s="669" t="str">
        <f t="shared" si="453"/>
        <v>8구간</v>
      </c>
      <c r="C1023" s="828">
        <f t="shared" si="454"/>
        <v>0</v>
      </c>
      <c r="D1023" s="841">
        <f t="shared" si="455"/>
        <v>0</v>
      </c>
      <c r="E1023" s="828">
        <f t="shared" si="456"/>
        <v>0</v>
      </c>
      <c r="F1023" s="841">
        <f t="shared" si="457"/>
        <v>0</v>
      </c>
      <c r="G1023" s="828">
        <f t="shared" si="458"/>
        <v>0</v>
      </c>
      <c r="H1023" s="830">
        <f t="shared" si="459"/>
        <v>0</v>
      </c>
      <c r="I1023" s="830">
        <f t="shared" si="460"/>
        <v>0</v>
      </c>
      <c r="J1023" s="832">
        <f t="shared" si="461"/>
        <v>0</v>
      </c>
      <c r="K1023" s="674">
        <f>SUM(C1023:J1023)</f>
        <v>0</v>
      </c>
    </row>
    <row r="1024" spans="1:11" ht="17.45" customHeight="1">
      <c r="A1024" s="1435"/>
      <c r="B1024" s="669" t="str">
        <f t="shared" si="453"/>
        <v>9구간</v>
      </c>
      <c r="C1024" s="828">
        <f t="shared" si="454"/>
        <v>0</v>
      </c>
      <c r="D1024" s="841">
        <f t="shared" si="455"/>
        <v>0</v>
      </c>
      <c r="E1024" s="828">
        <f t="shared" si="456"/>
        <v>0</v>
      </c>
      <c r="F1024" s="841">
        <f t="shared" si="457"/>
        <v>0</v>
      </c>
      <c r="G1024" s="828">
        <f t="shared" si="458"/>
        <v>0</v>
      </c>
      <c r="H1024" s="830">
        <f t="shared" si="459"/>
        <v>0</v>
      </c>
      <c r="I1024" s="830">
        <f t="shared" si="460"/>
        <v>0</v>
      </c>
      <c r="J1024" s="829">
        <f t="shared" si="461"/>
        <v>0</v>
      </c>
      <c r="K1024" s="674">
        <f>SUM(C1024:J1024)</f>
        <v>0</v>
      </c>
    </row>
    <row r="1025" spans="1:11" ht="17.45" customHeight="1">
      <c r="A1025" s="1436"/>
      <c r="B1025" s="680" t="str">
        <f t="shared" si="453"/>
        <v>10구간</v>
      </c>
      <c r="C1025" s="844">
        <f t="shared" si="454"/>
        <v>0</v>
      </c>
      <c r="D1025" s="836">
        <f t="shared" si="455"/>
        <v>0</v>
      </c>
      <c r="E1025" s="834">
        <f t="shared" si="456"/>
        <v>0</v>
      </c>
      <c r="F1025" s="845">
        <f t="shared" si="457"/>
        <v>0</v>
      </c>
      <c r="G1025" s="834">
        <f t="shared" si="458"/>
        <v>0</v>
      </c>
      <c r="H1025" s="836">
        <f t="shared" si="459"/>
        <v>0</v>
      </c>
      <c r="I1025" s="836">
        <f t="shared" si="460"/>
        <v>0</v>
      </c>
      <c r="J1025" s="835">
        <f t="shared" si="461"/>
        <v>0</v>
      </c>
      <c r="K1025" s="674">
        <f>SUM(C1025:J1025)</f>
        <v>0</v>
      </c>
    </row>
    <row r="1026" spans="1:11" ht="17.45" customHeight="1">
      <c r="A1026" s="1434">
        <v>70</v>
      </c>
      <c r="B1026" s="676" t="str">
        <f t="shared" si="453"/>
        <v>1구간</v>
      </c>
      <c r="C1026" s="828">
        <f t="shared" ref="C1026:C1035" si="462">ROUND(((($C$965*$C$853*$I770)*$E$873)*$C458),2)</f>
        <v>1.48</v>
      </c>
      <c r="D1026" s="841">
        <f t="shared" ref="D1026:D1035" si="463">ROUND(((($D$965*$C$853*$I793)*$F$873)*$D458),2)</f>
        <v>0.28000000000000003</v>
      </c>
      <c r="E1026" s="828">
        <f t="shared" ref="E1026:E1035" si="464">ROUND(((($E$965*$C$853*$I816)*$F$873)*$E458),2)</f>
        <v>0</v>
      </c>
      <c r="F1026" s="841">
        <f t="shared" ref="F1026:F1035" si="465">ROUND(((($F$965*$C$853*$I839)*$F$873)*$F458),2)</f>
        <v>0.49</v>
      </c>
      <c r="G1026" s="828">
        <f t="shared" ref="G1026:G1035" si="466">ROUND(((($G$965*$C$853*$I816)*$F$873)*$G458),2)</f>
        <v>0.22</v>
      </c>
      <c r="H1026" s="830">
        <f t="shared" ref="H1026:H1035" si="467">ROUND(((($H$965*$C$853*$I839)*$F$873)*$H458),2)</f>
        <v>0.9</v>
      </c>
      <c r="I1026" s="830">
        <f t="shared" ref="I1026:I1035" si="468">ROUND(((($I$965*$C$853*$I839)*$F$873)*$I458),2)</f>
        <v>0.22</v>
      </c>
      <c r="J1026" s="829">
        <f t="shared" ref="J1026:J1035" si="469">ROUND(((($J$965*$C$853*$I839)*$F$873)*$J458),2)</f>
        <v>0.74</v>
      </c>
      <c r="K1026" s="681">
        <f t="shared" si="419"/>
        <v>4.33</v>
      </c>
    </row>
    <row r="1027" spans="1:11" ht="17.45" customHeight="1">
      <c r="A1027" s="1435"/>
      <c r="B1027" s="669" t="str">
        <f t="shared" si="453"/>
        <v>2구간</v>
      </c>
      <c r="C1027" s="828">
        <f t="shared" si="462"/>
        <v>0</v>
      </c>
      <c r="D1027" s="841">
        <f t="shared" si="463"/>
        <v>0</v>
      </c>
      <c r="E1027" s="828">
        <f t="shared" si="464"/>
        <v>0</v>
      </c>
      <c r="F1027" s="841">
        <f t="shared" si="465"/>
        <v>0</v>
      </c>
      <c r="G1027" s="828">
        <f t="shared" si="466"/>
        <v>0</v>
      </c>
      <c r="H1027" s="830">
        <f t="shared" si="467"/>
        <v>0</v>
      </c>
      <c r="I1027" s="830">
        <f t="shared" si="468"/>
        <v>0</v>
      </c>
      <c r="J1027" s="829">
        <f t="shared" si="469"/>
        <v>0</v>
      </c>
      <c r="K1027" s="674">
        <f t="shared" si="419"/>
        <v>0</v>
      </c>
    </row>
    <row r="1028" spans="1:11" ht="17.45" customHeight="1">
      <c r="A1028" s="1435"/>
      <c r="B1028" s="669" t="str">
        <f t="shared" si="453"/>
        <v>3구간</v>
      </c>
      <c r="C1028" s="828">
        <f t="shared" si="462"/>
        <v>0</v>
      </c>
      <c r="D1028" s="841">
        <f t="shared" si="463"/>
        <v>0</v>
      </c>
      <c r="E1028" s="828">
        <f t="shared" si="464"/>
        <v>0</v>
      </c>
      <c r="F1028" s="841">
        <f t="shared" si="465"/>
        <v>0</v>
      </c>
      <c r="G1028" s="828">
        <f t="shared" si="466"/>
        <v>0</v>
      </c>
      <c r="H1028" s="830">
        <f t="shared" si="467"/>
        <v>0</v>
      </c>
      <c r="I1028" s="830">
        <f t="shared" si="468"/>
        <v>0</v>
      </c>
      <c r="J1028" s="832">
        <f t="shared" si="469"/>
        <v>0</v>
      </c>
      <c r="K1028" s="674">
        <f t="shared" si="419"/>
        <v>0</v>
      </c>
    </row>
    <row r="1029" spans="1:11" ht="17.45" customHeight="1">
      <c r="A1029" s="1435"/>
      <c r="B1029" s="669" t="str">
        <f t="shared" si="453"/>
        <v>4구간</v>
      </c>
      <c r="C1029" s="828">
        <f t="shared" si="462"/>
        <v>0</v>
      </c>
      <c r="D1029" s="841">
        <f t="shared" si="463"/>
        <v>0</v>
      </c>
      <c r="E1029" s="828">
        <f t="shared" si="464"/>
        <v>0</v>
      </c>
      <c r="F1029" s="841">
        <f t="shared" si="465"/>
        <v>0</v>
      </c>
      <c r="G1029" s="828">
        <f t="shared" si="466"/>
        <v>0</v>
      </c>
      <c r="H1029" s="830">
        <f t="shared" si="467"/>
        <v>0</v>
      </c>
      <c r="I1029" s="830">
        <f t="shared" si="468"/>
        <v>0</v>
      </c>
      <c r="J1029" s="829">
        <f t="shared" si="469"/>
        <v>0</v>
      </c>
      <c r="K1029" s="674">
        <f t="shared" si="419"/>
        <v>0</v>
      </c>
    </row>
    <row r="1030" spans="1:11" ht="17.25" customHeight="1">
      <c r="A1030" s="1435"/>
      <c r="B1030" s="669" t="str">
        <f t="shared" si="453"/>
        <v>5구간</v>
      </c>
      <c r="C1030" s="831">
        <f t="shared" si="462"/>
        <v>0</v>
      </c>
      <c r="D1030" s="833">
        <f t="shared" si="463"/>
        <v>0</v>
      </c>
      <c r="E1030" s="831">
        <f t="shared" si="464"/>
        <v>0</v>
      </c>
      <c r="F1030" s="843">
        <f t="shared" si="465"/>
        <v>0</v>
      </c>
      <c r="G1030" s="831">
        <f t="shared" si="466"/>
        <v>0</v>
      </c>
      <c r="H1030" s="833">
        <f t="shared" si="467"/>
        <v>0</v>
      </c>
      <c r="I1030" s="833">
        <f t="shared" si="468"/>
        <v>0</v>
      </c>
      <c r="J1030" s="832">
        <f t="shared" si="469"/>
        <v>0</v>
      </c>
      <c r="K1030" s="675">
        <f t="shared" si="419"/>
        <v>0</v>
      </c>
    </row>
    <row r="1031" spans="1:11" ht="17.45" customHeight="1">
      <c r="A1031" s="1435"/>
      <c r="B1031" s="676" t="str">
        <f t="shared" si="453"/>
        <v>6구간</v>
      </c>
      <c r="C1031" s="828">
        <f t="shared" si="462"/>
        <v>0</v>
      </c>
      <c r="D1031" s="841">
        <f t="shared" si="463"/>
        <v>0</v>
      </c>
      <c r="E1031" s="828">
        <f t="shared" si="464"/>
        <v>0</v>
      </c>
      <c r="F1031" s="841">
        <f t="shared" si="465"/>
        <v>0</v>
      </c>
      <c r="G1031" s="828">
        <f t="shared" si="466"/>
        <v>0</v>
      </c>
      <c r="H1031" s="830">
        <f t="shared" si="467"/>
        <v>0</v>
      </c>
      <c r="I1031" s="830">
        <f t="shared" si="468"/>
        <v>0</v>
      </c>
      <c r="J1031" s="829">
        <f t="shared" si="469"/>
        <v>0</v>
      </c>
      <c r="K1031" s="674">
        <f>SUM(C1031:J1031)</f>
        <v>0</v>
      </c>
    </row>
    <row r="1032" spans="1:11" ht="17.45" customHeight="1">
      <c r="A1032" s="1435"/>
      <c r="B1032" s="669" t="str">
        <f t="shared" si="453"/>
        <v>7구간</v>
      </c>
      <c r="C1032" s="828">
        <f t="shared" si="462"/>
        <v>0</v>
      </c>
      <c r="D1032" s="841">
        <f t="shared" si="463"/>
        <v>0</v>
      </c>
      <c r="E1032" s="828">
        <f t="shared" si="464"/>
        <v>0</v>
      </c>
      <c r="F1032" s="841">
        <f t="shared" si="465"/>
        <v>0</v>
      </c>
      <c r="G1032" s="828">
        <f t="shared" si="466"/>
        <v>0</v>
      </c>
      <c r="H1032" s="830">
        <f t="shared" si="467"/>
        <v>0</v>
      </c>
      <c r="I1032" s="830">
        <f t="shared" si="468"/>
        <v>0</v>
      </c>
      <c r="J1032" s="829">
        <f t="shared" si="469"/>
        <v>0</v>
      </c>
      <c r="K1032" s="674">
        <f>SUM(C1032:J1032)</f>
        <v>0</v>
      </c>
    </row>
    <row r="1033" spans="1:11" ht="17.45" customHeight="1">
      <c r="A1033" s="1435"/>
      <c r="B1033" s="669" t="str">
        <f t="shared" si="453"/>
        <v>8구간</v>
      </c>
      <c r="C1033" s="828">
        <f t="shared" si="462"/>
        <v>0</v>
      </c>
      <c r="D1033" s="841">
        <f t="shared" si="463"/>
        <v>0</v>
      </c>
      <c r="E1033" s="828">
        <f t="shared" si="464"/>
        <v>0</v>
      </c>
      <c r="F1033" s="841">
        <f t="shared" si="465"/>
        <v>0</v>
      </c>
      <c r="G1033" s="828">
        <f t="shared" si="466"/>
        <v>0</v>
      </c>
      <c r="H1033" s="830">
        <f t="shared" si="467"/>
        <v>0</v>
      </c>
      <c r="I1033" s="830">
        <f t="shared" si="468"/>
        <v>0</v>
      </c>
      <c r="J1033" s="832">
        <f t="shared" si="469"/>
        <v>0</v>
      </c>
      <c r="K1033" s="674">
        <f>SUM(C1033:J1033)</f>
        <v>0</v>
      </c>
    </row>
    <row r="1034" spans="1:11" ht="17.45" customHeight="1">
      <c r="A1034" s="1435"/>
      <c r="B1034" s="669" t="str">
        <f t="shared" si="453"/>
        <v>9구간</v>
      </c>
      <c r="C1034" s="828">
        <f t="shared" si="462"/>
        <v>0</v>
      </c>
      <c r="D1034" s="841">
        <f t="shared" si="463"/>
        <v>0</v>
      </c>
      <c r="E1034" s="828">
        <f t="shared" si="464"/>
        <v>0</v>
      </c>
      <c r="F1034" s="841">
        <f t="shared" si="465"/>
        <v>0</v>
      </c>
      <c r="G1034" s="828">
        <f t="shared" si="466"/>
        <v>0</v>
      </c>
      <c r="H1034" s="830">
        <f t="shared" si="467"/>
        <v>0</v>
      </c>
      <c r="I1034" s="830">
        <f t="shared" si="468"/>
        <v>0</v>
      </c>
      <c r="J1034" s="829">
        <f t="shared" si="469"/>
        <v>0</v>
      </c>
      <c r="K1034" s="674">
        <f>SUM(C1034:J1034)</f>
        <v>0</v>
      </c>
    </row>
    <row r="1035" spans="1:11" ht="17.25" customHeight="1">
      <c r="A1035" s="1436"/>
      <c r="B1035" s="680" t="str">
        <f t="shared" si="453"/>
        <v>10구간</v>
      </c>
      <c r="C1035" s="844">
        <f t="shared" si="462"/>
        <v>0</v>
      </c>
      <c r="D1035" s="836">
        <f t="shared" si="463"/>
        <v>0</v>
      </c>
      <c r="E1035" s="834">
        <f t="shared" si="464"/>
        <v>0</v>
      </c>
      <c r="F1035" s="845">
        <f t="shared" si="465"/>
        <v>0</v>
      </c>
      <c r="G1035" s="834">
        <f t="shared" si="466"/>
        <v>0</v>
      </c>
      <c r="H1035" s="836">
        <f t="shared" si="467"/>
        <v>0</v>
      </c>
      <c r="I1035" s="836">
        <f t="shared" si="468"/>
        <v>0</v>
      </c>
      <c r="J1035" s="847">
        <f t="shared" si="469"/>
        <v>0</v>
      </c>
      <c r="K1035" s="674">
        <f>SUM(C1035:J1035)</f>
        <v>0</v>
      </c>
    </row>
    <row r="1036" spans="1:11" ht="17.45" customHeight="1">
      <c r="A1036" s="1434">
        <v>80</v>
      </c>
      <c r="B1036" s="676" t="str">
        <f t="shared" ref="B1036:B1045" si="470">B1026</f>
        <v>1구간</v>
      </c>
      <c r="C1036" s="828">
        <f t="shared" ref="C1036:C1045" si="471">ROUND(((($C$965*$C$853*$J770)*$E$873)*$C469),2)</f>
        <v>1.79</v>
      </c>
      <c r="D1036" s="841">
        <f t="shared" ref="D1036:D1045" si="472">ROUND(((($D$965*$C$853*$J793)*$F$873)*$D469),2)</f>
        <v>0.25</v>
      </c>
      <c r="E1036" s="828">
        <f t="shared" ref="E1036:E1045" si="473">ROUND(((($E$965*$C$853*$J816)*$F$873)*$E469),2)</f>
        <v>0</v>
      </c>
      <c r="F1036" s="841">
        <f t="shared" ref="F1036:F1045" si="474">ROUND(((($F$965*$C$853*$J839)*$F$873)*$F469),2)</f>
        <v>0.51</v>
      </c>
      <c r="G1036" s="828">
        <f t="shared" ref="G1036:G1045" si="475">ROUND(((($G$965*$C$853*$J816)*$F$873)*$G469),2)</f>
        <v>0.22</v>
      </c>
      <c r="H1036" s="830">
        <f t="shared" ref="H1036:H1045" si="476">ROUND(((($H$965*$C$853*$J839)*$F$873)*$H469),2)</f>
        <v>0.93</v>
      </c>
      <c r="I1036" s="830">
        <f t="shared" ref="I1036:I1045" si="477">ROUND(((($I$965*$C$853*$J839)*$F$873)*$I469),2)</f>
        <v>0.23</v>
      </c>
      <c r="J1036" s="829">
        <f t="shared" ref="J1036:J1045" si="478">ROUND(((($J$965*$C$853*$J839)*$F$873)*$J469),2)</f>
        <v>0.77</v>
      </c>
      <c r="K1036" s="681">
        <f t="shared" si="419"/>
        <v>4.7</v>
      </c>
    </row>
    <row r="1037" spans="1:11" ht="17.45" customHeight="1">
      <c r="A1037" s="1435"/>
      <c r="B1037" s="669" t="str">
        <f t="shared" si="470"/>
        <v>2구간</v>
      </c>
      <c r="C1037" s="828">
        <f t="shared" si="471"/>
        <v>0</v>
      </c>
      <c r="D1037" s="841">
        <f t="shared" si="472"/>
        <v>0</v>
      </c>
      <c r="E1037" s="828">
        <f t="shared" si="473"/>
        <v>0</v>
      </c>
      <c r="F1037" s="841">
        <f t="shared" si="474"/>
        <v>0</v>
      </c>
      <c r="G1037" s="828">
        <f t="shared" si="475"/>
        <v>0</v>
      </c>
      <c r="H1037" s="830">
        <f t="shared" si="476"/>
        <v>0</v>
      </c>
      <c r="I1037" s="830">
        <f t="shared" si="477"/>
        <v>0</v>
      </c>
      <c r="J1037" s="829">
        <f t="shared" si="478"/>
        <v>0</v>
      </c>
      <c r="K1037" s="684">
        <f t="shared" si="419"/>
        <v>0</v>
      </c>
    </row>
    <row r="1038" spans="1:11" ht="17.25" customHeight="1">
      <c r="A1038" s="1435"/>
      <c r="B1038" s="669" t="str">
        <f t="shared" si="470"/>
        <v>3구간</v>
      </c>
      <c r="C1038" s="828">
        <f t="shared" si="471"/>
        <v>0</v>
      </c>
      <c r="D1038" s="841">
        <f t="shared" si="472"/>
        <v>0</v>
      </c>
      <c r="E1038" s="828">
        <f t="shared" si="473"/>
        <v>0</v>
      </c>
      <c r="F1038" s="841">
        <f t="shared" si="474"/>
        <v>0</v>
      </c>
      <c r="G1038" s="828">
        <f t="shared" si="475"/>
        <v>0</v>
      </c>
      <c r="H1038" s="830">
        <f t="shared" si="476"/>
        <v>0</v>
      </c>
      <c r="I1038" s="830">
        <f t="shared" si="477"/>
        <v>0</v>
      </c>
      <c r="J1038" s="832">
        <f t="shared" si="478"/>
        <v>0</v>
      </c>
      <c r="K1038" s="674">
        <f t="shared" si="419"/>
        <v>0</v>
      </c>
    </row>
    <row r="1039" spans="1:11" ht="17.45" customHeight="1">
      <c r="A1039" s="1435"/>
      <c r="B1039" s="669" t="str">
        <f t="shared" si="470"/>
        <v>4구간</v>
      </c>
      <c r="C1039" s="828">
        <f t="shared" si="471"/>
        <v>0</v>
      </c>
      <c r="D1039" s="841">
        <f t="shared" si="472"/>
        <v>0</v>
      </c>
      <c r="E1039" s="828">
        <f t="shared" si="473"/>
        <v>0</v>
      </c>
      <c r="F1039" s="841">
        <f t="shared" si="474"/>
        <v>0</v>
      </c>
      <c r="G1039" s="828">
        <f t="shared" si="475"/>
        <v>0</v>
      </c>
      <c r="H1039" s="830">
        <f t="shared" si="476"/>
        <v>0</v>
      </c>
      <c r="I1039" s="830">
        <f t="shared" si="477"/>
        <v>0</v>
      </c>
      <c r="J1039" s="829">
        <f t="shared" si="478"/>
        <v>0</v>
      </c>
      <c r="K1039" s="674">
        <f t="shared" si="419"/>
        <v>0</v>
      </c>
    </row>
    <row r="1040" spans="1:11" ht="17.45" customHeight="1">
      <c r="A1040" s="1435"/>
      <c r="B1040" s="669" t="str">
        <f t="shared" si="470"/>
        <v>5구간</v>
      </c>
      <c r="C1040" s="831">
        <f t="shared" si="471"/>
        <v>0</v>
      </c>
      <c r="D1040" s="843">
        <f t="shared" si="472"/>
        <v>0</v>
      </c>
      <c r="E1040" s="831">
        <f t="shared" si="473"/>
        <v>0</v>
      </c>
      <c r="F1040" s="843">
        <f t="shared" si="474"/>
        <v>0</v>
      </c>
      <c r="G1040" s="831">
        <f t="shared" si="475"/>
        <v>0</v>
      </c>
      <c r="H1040" s="833">
        <f t="shared" si="476"/>
        <v>0</v>
      </c>
      <c r="I1040" s="833">
        <f t="shared" si="477"/>
        <v>0</v>
      </c>
      <c r="J1040" s="832">
        <f t="shared" si="478"/>
        <v>0</v>
      </c>
      <c r="K1040" s="675">
        <f t="shared" si="419"/>
        <v>0</v>
      </c>
    </row>
    <row r="1041" spans="1:22" ht="17.45" customHeight="1">
      <c r="A1041" s="1435"/>
      <c r="B1041" s="676" t="str">
        <f t="shared" si="470"/>
        <v>6구간</v>
      </c>
      <c r="C1041" s="828">
        <f t="shared" si="471"/>
        <v>0</v>
      </c>
      <c r="D1041" s="841">
        <f t="shared" si="472"/>
        <v>0</v>
      </c>
      <c r="E1041" s="828">
        <f t="shared" si="473"/>
        <v>0</v>
      </c>
      <c r="F1041" s="841">
        <f t="shared" si="474"/>
        <v>0</v>
      </c>
      <c r="G1041" s="828">
        <f t="shared" si="475"/>
        <v>0</v>
      </c>
      <c r="H1041" s="830">
        <f t="shared" si="476"/>
        <v>0</v>
      </c>
      <c r="I1041" s="830">
        <f t="shared" si="477"/>
        <v>0</v>
      </c>
      <c r="J1041" s="829">
        <f t="shared" si="478"/>
        <v>0</v>
      </c>
      <c r="K1041" s="674">
        <f>SUM(C1041:J1041)</f>
        <v>0</v>
      </c>
    </row>
    <row r="1042" spans="1:22" ht="17.45" customHeight="1">
      <c r="A1042" s="1435"/>
      <c r="B1042" s="669" t="str">
        <f t="shared" si="470"/>
        <v>7구간</v>
      </c>
      <c r="C1042" s="828">
        <f t="shared" si="471"/>
        <v>0</v>
      </c>
      <c r="D1042" s="841">
        <f t="shared" si="472"/>
        <v>0</v>
      </c>
      <c r="E1042" s="828">
        <f t="shared" si="473"/>
        <v>0</v>
      </c>
      <c r="F1042" s="841">
        <f t="shared" si="474"/>
        <v>0</v>
      </c>
      <c r="G1042" s="828">
        <f t="shared" si="475"/>
        <v>0</v>
      </c>
      <c r="H1042" s="830">
        <f t="shared" si="476"/>
        <v>0</v>
      </c>
      <c r="I1042" s="830">
        <f t="shared" si="477"/>
        <v>0</v>
      </c>
      <c r="J1042" s="829">
        <f t="shared" si="478"/>
        <v>0</v>
      </c>
      <c r="K1042" s="684">
        <f>SUM(C1042:J1042)</f>
        <v>0</v>
      </c>
    </row>
    <row r="1043" spans="1:22" ht="17.45" customHeight="1">
      <c r="A1043" s="1435"/>
      <c r="B1043" s="669" t="str">
        <f t="shared" si="470"/>
        <v>8구간</v>
      </c>
      <c r="C1043" s="828">
        <f t="shared" si="471"/>
        <v>0</v>
      </c>
      <c r="D1043" s="841">
        <f t="shared" si="472"/>
        <v>0</v>
      </c>
      <c r="E1043" s="828">
        <f t="shared" si="473"/>
        <v>0</v>
      </c>
      <c r="F1043" s="841">
        <f t="shared" si="474"/>
        <v>0</v>
      </c>
      <c r="G1043" s="828">
        <f t="shared" si="475"/>
        <v>0</v>
      </c>
      <c r="H1043" s="830">
        <f t="shared" si="476"/>
        <v>0</v>
      </c>
      <c r="I1043" s="830">
        <f t="shared" si="477"/>
        <v>0</v>
      </c>
      <c r="J1043" s="832">
        <f t="shared" si="478"/>
        <v>0</v>
      </c>
      <c r="K1043" s="674">
        <f>SUM(C1043:J1043)</f>
        <v>0</v>
      </c>
    </row>
    <row r="1044" spans="1:22" ht="17.45" customHeight="1">
      <c r="A1044" s="1435"/>
      <c r="B1044" s="669" t="str">
        <f t="shared" si="470"/>
        <v>9구간</v>
      </c>
      <c r="C1044" s="828">
        <f t="shared" si="471"/>
        <v>0</v>
      </c>
      <c r="D1044" s="841">
        <f t="shared" si="472"/>
        <v>0</v>
      </c>
      <c r="E1044" s="828">
        <f t="shared" si="473"/>
        <v>0</v>
      </c>
      <c r="F1044" s="841">
        <f t="shared" si="474"/>
        <v>0</v>
      </c>
      <c r="G1044" s="828">
        <f t="shared" si="475"/>
        <v>0</v>
      </c>
      <c r="H1044" s="830">
        <f t="shared" si="476"/>
        <v>0</v>
      </c>
      <c r="I1044" s="830">
        <f t="shared" si="477"/>
        <v>0</v>
      </c>
      <c r="J1044" s="829">
        <f t="shared" si="478"/>
        <v>0</v>
      </c>
      <c r="K1044" s="674">
        <f>SUM(C1044:J1044)</f>
        <v>0</v>
      </c>
    </row>
    <row r="1045" spans="1:22" ht="17.45" customHeight="1" thickBot="1">
      <c r="A1045" s="1450"/>
      <c r="B1045" s="692" t="str">
        <f t="shared" si="470"/>
        <v>10구간</v>
      </c>
      <c r="C1045" s="837">
        <f t="shared" si="471"/>
        <v>0</v>
      </c>
      <c r="D1045" s="849">
        <f t="shared" si="472"/>
        <v>0</v>
      </c>
      <c r="E1045" s="837">
        <f t="shared" si="473"/>
        <v>0</v>
      </c>
      <c r="F1045" s="849">
        <f t="shared" si="474"/>
        <v>0</v>
      </c>
      <c r="G1045" s="837">
        <f t="shared" si="475"/>
        <v>0</v>
      </c>
      <c r="H1045" s="839">
        <f t="shared" si="476"/>
        <v>0</v>
      </c>
      <c r="I1045" s="839">
        <f t="shared" si="477"/>
        <v>0</v>
      </c>
      <c r="J1045" s="838">
        <f t="shared" si="478"/>
        <v>0</v>
      </c>
      <c r="K1045" s="693">
        <f>SUM(C1045:J1045)</f>
        <v>0</v>
      </c>
    </row>
    <row r="1046" spans="1:22" ht="16.5" customHeight="1"/>
    <row r="1047" spans="1:22" ht="16.5" customHeight="1"/>
    <row r="1048" spans="1:22" ht="16.5" customHeight="1"/>
    <row r="1049" spans="1:22" ht="16.5" customHeight="1"/>
    <row r="1050" spans="1:22" ht="16.5" customHeight="1"/>
    <row r="1051" spans="1:22" ht="16.5" customHeight="1"/>
    <row r="1052" spans="1:22" ht="16.5" customHeight="1"/>
    <row r="1053" spans="1:22" ht="16.5" customHeight="1"/>
    <row r="1054" spans="1:22" ht="16.5" customHeight="1"/>
    <row r="1055" spans="1:22" ht="17.45" customHeight="1" thickBot="1">
      <c r="A1055" s="92" t="s">
        <v>81</v>
      </c>
      <c r="C1055" s="393" t="s">
        <v>56</v>
      </c>
      <c r="D1055" s="76">
        <f>$E$217</f>
        <v>2222</v>
      </c>
      <c r="E1055" s="390" t="s">
        <v>57</v>
      </c>
      <c r="F1055" s="390" t="s">
        <v>1</v>
      </c>
      <c r="G1055" s="390"/>
      <c r="H1055" s="390"/>
      <c r="I1055" s="390" t="s">
        <v>70</v>
      </c>
      <c r="J1055" s="390"/>
      <c r="N1055" s="421"/>
      <c r="O1055" s="421"/>
      <c r="P1055" s="421"/>
      <c r="Q1055" s="421"/>
      <c r="R1055" s="421"/>
      <c r="S1055" s="421"/>
      <c r="T1055" s="421"/>
      <c r="U1055" s="421"/>
      <c r="V1055" s="421"/>
    </row>
    <row r="1056" spans="1:22" ht="17.45" customHeight="1">
      <c r="A1056" s="750" t="s">
        <v>82</v>
      </c>
      <c r="B1056" s="751"/>
      <c r="C1056" s="491">
        <v>10</v>
      </c>
      <c r="D1056" s="752">
        <v>20</v>
      </c>
      <c r="E1056" s="752">
        <v>30</v>
      </c>
      <c r="F1056" s="752">
        <v>40</v>
      </c>
      <c r="G1056" s="752">
        <v>50</v>
      </c>
      <c r="H1056" s="752">
        <v>60</v>
      </c>
      <c r="I1056" s="752">
        <v>70</v>
      </c>
      <c r="J1056" s="753">
        <v>80</v>
      </c>
      <c r="N1056" s="267"/>
      <c r="O1056" s="267"/>
      <c r="P1056" s="267"/>
      <c r="Q1056" s="267"/>
      <c r="R1056" s="421"/>
      <c r="S1056" s="421"/>
      <c r="T1056" s="421"/>
      <c r="U1056" s="421"/>
      <c r="V1056" s="421"/>
    </row>
    <row r="1057" spans="1:22" ht="17.45" customHeight="1">
      <c r="A1057" s="1439" t="s">
        <v>463</v>
      </c>
      <c r="B1057" s="1440"/>
      <c r="C1057" s="754">
        <f>B755</f>
        <v>70</v>
      </c>
      <c r="D1057" s="755">
        <f t="shared" ref="D1057:I1057" si="479">C1057</f>
        <v>70</v>
      </c>
      <c r="E1057" s="755">
        <f t="shared" si="479"/>
        <v>70</v>
      </c>
      <c r="F1057" s="755">
        <f t="shared" si="479"/>
        <v>70</v>
      </c>
      <c r="G1057" s="755">
        <f t="shared" si="479"/>
        <v>70</v>
      </c>
      <c r="H1057" s="755">
        <f t="shared" si="479"/>
        <v>70</v>
      </c>
      <c r="I1057" s="755">
        <f t="shared" si="479"/>
        <v>70</v>
      </c>
      <c r="J1057" s="756">
        <f>D1057</f>
        <v>70</v>
      </c>
      <c r="N1057" s="267"/>
      <c r="O1057" s="267"/>
      <c r="P1057" s="267"/>
      <c r="Q1057" s="267"/>
      <c r="R1057" s="421"/>
      <c r="S1057" s="421"/>
      <c r="T1057" s="421"/>
      <c r="U1057" s="421"/>
      <c r="V1057" s="421"/>
    </row>
    <row r="1058" spans="1:22" ht="17.45" customHeight="1">
      <c r="A1058" s="505" t="str">
        <f>E6</f>
        <v>진주</v>
      </c>
      <c r="B1058" s="757" t="s">
        <v>291</v>
      </c>
      <c r="C1058" s="758">
        <f>ROUNDUP(C1059,0)</f>
        <v>15</v>
      </c>
      <c r="D1058" s="759">
        <f t="shared" ref="D1058:J1058" si="480">ROUND(D1059,0)</f>
        <v>13</v>
      </c>
      <c r="E1058" s="759">
        <f t="shared" si="480"/>
        <v>9</v>
      </c>
      <c r="F1058" s="759">
        <f t="shared" si="480"/>
        <v>8</v>
      </c>
      <c r="G1058" s="759">
        <f t="shared" si="480"/>
        <v>7</v>
      </c>
      <c r="H1058" s="759">
        <f t="shared" si="480"/>
        <v>6</v>
      </c>
      <c r="I1058" s="759">
        <f t="shared" si="480"/>
        <v>7</v>
      </c>
      <c r="J1058" s="760">
        <f t="shared" si="480"/>
        <v>7</v>
      </c>
      <c r="N1058" s="267"/>
      <c r="O1058" s="267"/>
      <c r="P1058" s="267"/>
      <c r="Q1058" s="267"/>
      <c r="R1058" s="421"/>
      <c r="S1058" s="421"/>
      <c r="T1058" s="421"/>
      <c r="U1058" s="421"/>
      <c r="V1058" s="421"/>
    </row>
    <row r="1059" spans="1:22" ht="16.5" hidden="1" customHeight="1">
      <c r="A1059" s="505"/>
      <c r="B1059" s="504"/>
      <c r="C1059" s="761">
        <f>ROUND($K$881/C$1057*1000000/3600,2)</f>
        <v>14.29</v>
      </c>
      <c r="D1059" s="762">
        <f>ROUND($K$891/D$1057*1000000/3600,2)</f>
        <v>12.66</v>
      </c>
      <c r="E1059" s="762">
        <f>ROUND($K$901/E$1057*1000000/3600,2)</f>
        <v>9.48</v>
      </c>
      <c r="F1059" s="762">
        <f>ROUND($K$911/F$1057*1000000/3600,2)</f>
        <v>8.1</v>
      </c>
      <c r="G1059" s="762">
        <f>ROUND($K$921/G$1057*1000000/3600,2)</f>
        <v>7.3</v>
      </c>
      <c r="H1059" s="762">
        <f>ROUND($K$931/H$1057*1000000/3600,2)</f>
        <v>6.47</v>
      </c>
      <c r="I1059" s="762">
        <f>ROUND($K$941/I$1057*1000000/3600,2)</f>
        <v>6.67</v>
      </c>
      <c r="J1059" s="763">
        <f>ROUND($K$951/J$1057*1000000/3600,2)</f>
        <v>6.79</v>
      </c>
      <c r="N1059" s="268"/>
      <c r="O1059" s="268"/>
      <c r="P1059" s="268"/>
      <c r="Q1059" s="268"/>
      <c r="R1059" s="421"/>
      <c r="S1059" s="421"/>
      <c r="T1059" s="421"/>
      <c r="U1059" s="421"/>
      <c r="V1059" s="421"/>
    </row>
    <row r="1060" spans="1:22" ht="17.25" customHeight="1">
      <c r="A1060" s="505" t="str">
        <f>F6</f>
        <v>방향</v>
      </c>
      <c r="B1060" s="764" t="s">
        <v>292</v>
      </c>
      <c r="C1060" s="765">
        <f>ROUNDUP(C1061,0)</f>
        <v>0</v>
      </c>
      <c r="D1060" s="766">
        <f t="shared" ref="D1060:J1060" si="481">ROUND(D1061,0)</f>
        <v>0</v>
      </c>
      <c r="E1060" s="766">
        <f t="shared" si="481"/>
        <v>0</v>
      </c>
      <c r="F1060" s="766">
        <f t="shared" si="481"/>
        <v>0</v>
      </c>
      <c r="G1060" s="766">
        <f t="shared" si="481"/>
        <v>0</v>
      </c>
      <c r="H1060" s="766">
        <f t="shared" si="481"/>
        <v>0</v>
      </c>
      <c r="I1060" s="766">
        <f t="shared" si="481"/>
        <v>0</v>
      </c>
      <c r="J1060" s="767">
        <f t="shared" si="481"/>
        <v>0</v>
      </c>
      <c r="N1060" s="268"/>
      <c r="O1060" s="268"/>
      <c r="P1060" s="268"/>
      <c r="Q1060" s="268"/>
      <c r="R1060" s="421"/>
      <c r="S1060" s="421"/>
      <c r="T1060" s="421"/>
      <c r="U1060" s="421"/>
      <c r="V1060" s="421"/>
    </row>
    <row r="1061" spans="1:22" ht="17.45" hidden="1" customHeight="1">
      <c r="A1061" s="505"/>
      <c r="B1061" s="504"/>
      <c r="C1061" s="761">
        <f>ROUND($K$882/C$1057*1000000/3600,2)</f>
        <v>0</v>
      </c>
      <c r="D1061" s="762">
        <f>ROUND($K$892/D$1057*1000000/3600,2)</f>
        <v>0</v>
      </c>
      <c r="E1061" s="762">
        <f>ROUND($K$902/E$1057*1000000/3600,2)</f>
        <v>0</v>
      </c>
      <c r="F1061" s="762">
        <f>ROUND($K$912/F$1057*1000000/3600,2)</f>
        <v>0</v>
      </c>
      <c r="G1061" s="762">
        <f>ROUND($K$922/G$1057*1000000/3600,2)</f>
        <v>0</v>
      </c>
      <c r="H1061" s="762">
        <f>ROUND($K$932/H$1057*1000000/3600,2)</f>
        <v>0</v>
      </c>
      <c r="I1061" s="762">
        <f>ROUND($K$942/I$1057*1000000/3600,2)</f>
        <v>0</v>
      </c>
      <c r="J1061" s="763">
        <f>ROUND($K$952/J$1057*1000000/3600,2)</f>
        <v>0</v>
      </c>
      <c r="N1061" s="268"/>
      <c r="O1061" s="268"/>
      <c r="P1061" s="268"/>
      <c r="Q1061" s="268"/>
      <c r="R1061" s="421"/>
      <c r="S1061" s="421"/>
      <c r="T1061" s="421"/>
      <c r="U1061" s="421"/>
      <c r="V1061" s="421"/>
    </row>
    <row r="1062" spans="1:22" ht="17.45" customHeight="1">
      <c r="A1062" s="505"/>
      <c r="B1062" s="764" t="s">
        <v>312</v>
      </c>
      <c r="C1062" s="765">
        <f>ROUNDUP(C1063,0)</f>
        <v>0</v>
      </c>
      <c r="D1062" s="766">
        <f t="shared" ref="D1062:J1062" si="482">ROUND(D1063,0)</f>
        <v>0</v>
      </c>
      <c r="E1062" s="766">
        <f t="shared" si="482"/>
        <v>0</v>
      </c>
      <c r="F1062" s="766">
        <f t="shared" si="482"/>
        <v>0</v>
      </c>
      <c r="G1062" s="766">
        <f t="shared" si="482"/>
        <v>0</v>
      </c>
      <c r="H1062" s="766">
        <f t="shared" si="482"/>
        <v>0</v>
      </c>
      <c r="I1062" s="766">
        <f t="shared" si="482"/>
        <v>0</v>
      </c>
      <c r="J1062" s="767">
        <f t="shared" si="482"/>
        <v>0</v>
      </c>
      <c r="N1062" s="268"/>
      <c r="O1062" s="268"/>
      <c r="P1062" s="268"/>
      <c r="Q1062" s="268"/>
      <c r="R1062" s="421"/>
      <c r="S1062" s="421"/>
      <c r="T1062" s="421"/>
      <c r="U1062" s="421"/>
      <c r="V1062" s="421"/>
    </row>
    <row r="1063" spans="1:22" ht="17.45" hidden="1" customHeight="1">
      <c r="A1063" s="505"/>
      <c r="B1063" s="504"/>
      <c r="C1063" s="761">
        <f>ROUND($K$883/C$1057*1000000/3600,2)</f>
        <v>0</v>
      </c>
      <c r="D1063" s="762">
        <f>ROUND($K$893/D$1057*1000000/3600,2)</f>
        <v>0</v>
      </c>
      <c r="E1063" s="762">
        <f>ROUND($K$903/E$1057*1000000/3600,2)</f>
        <v>0</v>
      </c>
      <c r="F1063" s="762">
        <f>ROUND($K$913/F$1057*1000000/3600,2)</f>
        <v>0</v>
      </c>
      <c r="G1063" s="762">
        <f>ROUND($K$923/G$1057*1000000/3600,2)</f>
        <v>0</v>
      </c>
      <c r="H1063" s="762">
        <f>ROUND($K$933/H$1057*1000000/3600,2)</f>
        <v>0</v>
      </c>
      <c r="I1063" s="762">
        <f>ROUND($K$943/I$1057*1000000/3600,2)</f>
        <v>0</v>
      </c>
      <c r="J1063" s="763">
        <f>ROUND($K$953/J$1057*1000000/3600,2)</f>
        <v>0</v>
      </c>
      <c r="N1063" s="268"/>
      <c r="O1063" s="268"/>
      <c r="P1063" s="268"/>
      <c r="Q1063" s="268"/>
      <c r="R1063" s="421"/>
      <c r="S1063" s="421"/>
      <c r="T1063" s="421"/>
      <c r="U1063" s="421"/>
      <c r="V1063" s="421"/>
    </row>
    <row r="1064" spans="1:22" ht="17.45" customHeight="1">
      <c r="A1064" s="505"/>
      <c r="B1064" s="764" t="s">
        <v>313</v>
      </c>
      <c r="C1064" s="765">
        <f>ROUNDUP(C1065,0)</f>
        <v>0</v>
      </c>
      <c r="D1064" s="766">
        <f t="shared" ref="D1064:J1064" si="483">ROUND(D1065,0)</f>
        <v>0</v>
      </c>
      <c r="E1064" s="766">
        <f t="shared" si="483"/>
        <v>0</v>
      </c>
      <c r="F1064" s="766">
        <f t="shared" si="483"/>
        <v>0</v>
      </c>
      <c r="G1064" s="766">
        <f t="shared" si="483"/>
        <v>0</v>
      </c>
      <c r="H1064" s="766">
        <f t="shared" si="483"/>
        <v>0</v>
      </c>
      <c r="I1064" s="766">
        <f t="shared" si="483"/>
        <v>0</v>
      </c>
      <c r="J1064" s="767">
        <f t="shared" si="483"/>
        <v>0</v>
      </c>
      <c r="N1064" s="268"/>
      <c r="O1064" s="268"/>
      <c r="P1064" s="268"/>
      <c r="Q1064" s="268"/>
      <c r="R1064" s="421"/>
      <c r="S1064" s="421"/>
      <c r="T1064" s="421"/>
      <c r="U1064" s="421"/>
      <c r="V1064" s="421"/>
    </row>
    <row r="1065" spans="1:22" ht="17.45" hidden="1" customHeight="1">
      <c r="A1065" s="505"/>
      <c r="B1065" s="504"/>
      <c r="C1065" s="761">
        <f>ROUND($K$884/C$1057*1000000/3600,2)</f>
        <v>0</v>
      </c>
      <c r="D1065" s="762">
        <f>ROUND($K$894/D$1057*1000000/3600,2)</f>
        <v>0</v>
      </c>
      <c r="E1065" s="762">
        <f>ROUND($K$904/E$1057*1000000/3600,2)</f>
        <v>0</v>
      </c>
      <c r="F1065" s="762">
        <f>ROUND($K$914/F$1057*1000000/3600,2)</f>
        <v>0</v>
      </c>
      <c r="G1065" s="762">
        <f>ROUND($K$924/G$1057*1000000/3600,2)</f>
        <v>0</v>
      </c>
      <c r="H1065" s="762">
        <f>ROUND($K$934/H$1057*1000000/3600,2)</f>
        <v>0</v>
      </c>
      <c r="I1065" s="762">
        <f>ROUND($K$944/I$1057*1000000/3600,2)</f>
        <v>0</v>
      </c>
      <c r="J1065" s="763">
        <f>ROUND($K$954/J$1057*1000000/3600,2)</f>
        <v>0</v>
      </c>
      <c r="N1065" s="268"/>
      <c r="O1065" s="268"/>
      <c r="P1065" s="268"/>
      <c r="Q1065" s="268"/>
      <c r="R1065" s="421"/>
      <c r="S1065" s="421"/>
      <c r="T1065" s="421"/>
      <c r="U1065" s="421"/>
      <c r="V1065" s="421"/>
    </row>
    <row r="1066" spans="1:22" ht="17.45" customHeight="1">
      <c r="A1066" s="505"/>
      <c r="B1066" s="764" t="s">
        <v>314</v>
      </c>
      <c r="C1066" s="765">
        <f>ROUNDUP(C1067,0)</f>
        <v>0</v>
      </c>
      <c r="D1066" s="766">
        <f t="shared" ref="D1066:J1066" si="484">ROUND(D1067,0)</f>
        <v>0</v>
      </c>
      <c r="E1066" s="766">
        <f t="shared" si="484"/>
        <v>0</v>
      </c>
      <c r="F1066" s="766">
        <f t="shared" si="484"/>
        <v>0</v>
      </c>
      <c r="G1066" s="766">
        <f t="shared" si="484"/>
        <v>0</v>
      </c>
      <c r="H1066" s="766">
        <f t="shared" si="484"/>
        <v>0</v>
      </c>
      <c r="I1066" s="766">
        <f t="shared" si="484"/>
        <v>0</v>
      </c>
      <c r="J1066" s="767">
        <f t="shared" si="484"/>
        <v>0</v>
      </c>
      <c r="N1066" s="268"/>
      <c r="O1066" s="268"/>
      <c r="P1066" s="268"/>
      <c r="Q1066" s="268"/>
      <c r="R1066" s="421"/>
      <c r="S1066" s="421"/>
      <c r="T1066" s="421"/>
      <c r="U1066" s="421"/>
      <c r="V1066" s="421"/>
    </row>
    <row r="1067" spans="1:22" ht="17.45" hidden="1" customHeight="1">
      <c r="A1067" s="505"/>
      <c r="B1067" s="768"/>
      <c r="C1067" s="769">
        <f>ROUND($K$885/C$1057*1000000/3600,2)</f>
        <v>0</v>
      </c>
      <c r="D1067" s="770">
        <f>ROUND($K$895/D$1057*1000000/3600,2)</f>
        <v>0</v>
      </c>
      <c r="E1067" s="770">
        <f>ROUND($K$905/E$1057*1000000/3600,2)</f>
        <v>0</v>
      </c>
      <c r="F1067" s="770">
        <f>ROUND($K$915/F$1057*1000000/3600,2)</f>
        <v>0</v>
      </c>
      <c r="G1067" s="770">
        <f>ROUND($K$925/G$1057*1000000/3600,2)</f>
        <v>0</v>
      </c>
      <c r="H1067" s="770">
        <f>ROUND($K$935/H$1057*1000000/3600,2)</f>
        <v>0</v>
      </c>
      <c r="I1067" s="770">
        <f>ROUND($K$945/I$1057*1000000/3600,2)</f>
        <v>0</v>
      </c>
      <c r="J1067" s="771">
        <f>ROUND($K$955/J$1057*1000000/3600,2)</f>
        <v>0</v>
      </c>
      <c r="N1067" s="268"/>
      <c r="O1067" s="268"/>
      <c r="P1067" s="268"/>
      <c r="Q1067" s="268"/>
      <c r="R1067" s="421"/>
      <c r="S1067" s="421"/>
      <c r="T1067" s="421"/>
      <c r="U1067" s="421"/>
      <c r="V1067" s="421"/>
    </row>
    <row r="1068" spans="1:22" ht="17.45" customHeight="1">
      <c r="A1068" s="505"/>
      <c r="B1068" s="764" t="s">
        <v>345</v>
      </c>
      <c r="C1068" s="765">
        <f>ROUNDUP(C1069,0)</f>
        <v>0</v>
      </c>
      <c r="D1068" s="766">
        <f t="shared" ref="D1068:J1068" si="485">ROUND(D1069,0)</f>
        <v>0</v>
      </c>
      <c r="E1068" s="766">
        <f t="shared" si="485"/>
        <v>0</v>
      </c>
      <c r="F1068" s="766">
        <f t="shared" si="485"/>
        <v>0</v>
      </c>
      <c r="G1068" s="766">
        <f t="shared" si="485"/>
        <v>0</v>
      </c>
      <c r="H1068" s="766">
        <f t="shared" si="485"/>
        <v>0</v>
      </c>
      <c r="I1068" s="766">
        <f t="shared" si="485"/>
        <v>0</v>
      </c>
      <c r="J1068" s="767">
        <f t="shared" si="485"/>
        <v>0</v>
      </c>
      <c r="N1068" s="268"/>
      <c r="O1068" s="268"/>
      <c r="P1068" s="268"/>
      <c r="Q1068" s="268"/>
      <c r="R1068" s="421"/>
      <c r="S1068" s="421"/>
      <c r="T1068" s="421"/>
      <c r="U1068" s="421"/>
      <c r="V1068" s="421"/>
    </row>
    <row r="1069" spans="1:22" ht="16.5" hidden="1" customHeight="1">
      <c r="A1069" s="505"/>
      <c r="B1069" s="504"/>
      <c r="C1069" s="761">
        <f>ROUND($K$886/C$1057*1000000/3600,2)</f>
        <v>0</v>
      </c>
      <c r="D1069" s="762">
        <f>ROUND($K$896/D$1057*1000000/3600,2)</f>
        <v>0</v>
      </c>
      <c r="E1069" s="762">
        <f>ROUND($K$906/E$1057*1000000/3600,2)</f>
        <v>0</v>
      </c>
      <c r="F1069" s="762">
        <f>ROUND($K$916/F$1057*1000000/3600,2)</f>
        <v>0</v>
      </c>
      <c r="G1069" s="762">
        <f>ROUND($K$926/G$1057*1000000/3600,2)</f>
        <v>0</v>
      </c>
      <c r="H1069" s="762">
        <f>ROUND($K$936/H$1057*1000000/3600,2)</f>
        <v>0</v>
      </c>
      <c r="I1069" s="762">
        <f>ROUND($K$946/I$1057*1000000/3600,2)</f>
        <v>0</v>
      </c>
      <c r="J1069" s="763">
        <f>ROUND($K$956/J$1057*1000000/3600,2)</f>
        <v>0</v>
      </c>
      <c r="N1069" s="268"/>
      <c r="O1069" s="268"/>
      <c r="P1069" s="268"/>
      <c r="Q1069" s="268"/>
      <c r="R1069" s="421"/>
      <c r="S1069" s="421"/>
      <c r="T1069" s="421"/>
      <c r="U1069" s="421"/>
      <c r="V1069" s="421"/>
    </row>
    <row r="1070" spans="1:22" ht="17.45" customHeight="1">
      <c r="A1070" s="505"/>
      <c r="B1070" s="764" t="s">
        <v>346</v>
      </c>
      <c r="C1070" s="765">
        <f>ROUNDUP(C1071,0)</f>
        <v>0</v>
      </c>
      <c r="D1070" s="766">
        <f t="shared" ref="D1070:J1070" si="486">ROUND(D1071,0)</f>
        <v>0</v>
      </c>
      <c r="E1070" s="766">
        <f t="shared" si="486"/>
        <v>0</v>
      </c>
      <c r="F1070" s="766">
        <f t="shared" si="486"/>
        <v>0</v>
      </c>
      <c r="G1070" s="766">
        <f t="shared" si="486"/>
        <v>0</v>
      </c>
      <c r="H1070" s="766">
        <f t="shared" si="486"/>
        <v>0</v>
      </c>
      <c r="I1070" s="766">
        <f t="shared" si="486"/>
        <v>0</v>
      </c>
      <c r="J1070" s="767">
        <f t="shared" si="486"/>
        <v>0</v>
      </c>
      <c r="N1070" s="269"/>
      <c r="O1070" s="269"/>
      <c r="P1070" s="269"/>
      <c r="Q1070" s="269"/>
      <c r="R1070" s="421"/>
      <c r="S1070" s="421"/>
      <c r="T1070" s="421"/>
      <c r="U1070" s="421"/>
      <c r="V1070" s="421"/>
    </row>
    <row r="1071" spans="1:22" ht="17.25" hidden="1" customHeight="1">
      <c r="A1071" s="505"/>
      <c r="B1071" s="504"/>
      <c r="C1071" s="761">
        <f>ROUND($K$887/C$1057*1000000/3600,2)</f>
        <v>0</v>
      </c>
      <c r="D1071" s="762">
        <f>ROUND($K$897/D$1057*1000000/3600,2)</f>
        <v>0</v>
      </c>
      <c r="E1071" s="762">
        <f>ROUND($K$907/E$1057*1000000/3600,2)</f>
        <v>0</v>
      </c>
      <c r="F1071" s="762">
        <f>ROUND($K$917/F$1057*1000000/3600,2)</f>
        <v>0</v>
      </c>
      <c r="G1071" s="762">
        <f>ROUND($K$927/G$1057*1000000/3600,2)</f>
        <v>0</v>
      </c>
      <c r="H1071" s="762">
        <f>ROUND($K$937/H$1057*1000000/3600,2)</f>
        <v>0</v>
      </c>
      <c r="I1071" s="762">
        <f>ROUND($K$947/I$1057*1000000/3600,2)</f>
        <v>0</v>
      </c>
      <c r="J1071" s="763">
        <f>ROUND($K$957/J$1057*1000000/3600,2)</f>
        <v>0</v>
      </c>
      <c r="N1071" s="269"/>
      <c r="O1071" s="269"/>
      <c r="P1071" s="269"/>
      <c r="Q1071" s="269"/>
      <c r="R1071" s="421"/>
      <c r="S1071" s="421"/>
      <c r="T1071" s="421"/>
      <c r="U1071" s="421"/>
      <c r="V1071" s="421"/>
    </row>
    <row r="1072" spans="1:22" ht="17.45" customHeight="1">
      <c r="A1072" s="505"/>
      <c r="B1072" s="764" t="s">
        <v>347</v>
      </c>
      <c r="C1072" s="765">
        <f>ROUNDUP(C1073,0)</f>
        <v>0</v>
      </c>
      <c r="D1072" s="766">
        <f t="shared" ref="D1072:J1072" si="487">ROUND(D1073,0)</f>
        <v>0</v>
      </c>
      <c r="E1072" s="766">
        <f t="shared" si="487"/>
        <v>0</v>
      </c>
      <c r="F1072" s="766">
        <f t="shared" si="487"/>
        <v>0</v>
      </c>
      <c r="G1072" s="766">
        <f t="shared" si="487"/>
        <v>0</v>
      </c>
      <c r="H1072" s="766">
        <f t="shared" si="487"/>
        <v>0</v>
      </c>
      <c r="I1072" s="766">
        <f t="shared" si="487"/>
        <v>0</v>
      </c>
      <c r="J1072" s="767">
        <f t="shared" si="487"/>
        <v>0</v>
      </c>
      <c r="N1072" s="267"/>
      <c r="O1072" s="267"/>
      <c r="P1072" s="267"/>
      <c r="Q1072" s="267"/>
      <c r="R1072" s="421"/>
      <c r="S1072" s="421"/>
      <c r="T1072" s="421"/>
      <c r="U1072" s="421"/>
      <c r="V1072" s="421"/>
    </row>
    <row r="1073" spans="1:22" ht="17.45" hidden="1" customHeight="1">
      <c r="A1073" s="505"/>
      <c r="B1073" s="504"/>
      <c r="C1073" s="761">
        <f>ROUND($K$888/C$1057*1000000/3600,2)</f>
        <v>0</v>
      </c>
      <c r="D1073" s="762">
        <f>ROUND($K$898/D$1057*1000000/3600,2)</f>
        <v>0</v>
      </c>
      <c r="E1073" s="762">
        <f>ROUND($K$908/E$1057*1000000/3600,2)</f>
        <v>0</v>
      </c>
      <c r="F1073" s="762">
        <f>ROUND($K$918/F$1057*1000000/3600,2)</f>
        <v>0</v>
      </c>
      <c r="G1073" s="762">
        <f>ROUND($K$928/G$1057*1000000/3600,2)</f>
        <v>0</v>
      </c>
      <c r="H1073" s="762">
        <f>ROUND($K$938/H$1057*1000000/3600,2)</f>
        <v>0</v>
      </c>
      <c r="I1073" s="762">
        <f>ROUND($K$948/I$1057*1000000/3600,2)</f>
        <v>0</v>
      </c>
      <c r="J1073" s="763">
        <f>ROUND($K$958/J$1057*1000000/3600,2)</f>
        <v>0</v>
      </c>
      <c r="N1073" s="267"/>
      <c r="O1073" s="267"/>
      <c r="P1073" s="267"/>
      <c r="Q1073" s="267"/>
      <c r="R1073" s="421"/>
      <c r="S1073" s="421"/>
      <c r="T1073" s="421"/>
      <c r="U1073" s="421"/>
      <c r="V1073" s="421"/>
    </row>
    <row r="1074" spans="1:22" ht="17.45" customHeight="1">
      <c r="A1074" s="505"/>
      <c r="B1074" s="764" t="s">
        <v>348</v>
      </c>
      <c r="C1074" s="765">
        <f>ROUNDUP(C1075,0)</f>
        <v>0</v>
      </c>
      <c r="D1074" s="766">
        <f t="shared" ref="D1074:J1074" si="488">ROUND(D1075,0)</f>
        <v>0</v>
      </c>
      <c r="E1074" s="766">
        <f t="shared" si="488"/>
        <v>0</v>
      </c>
      <c r="F1074" s="766">
        <f t="shared" si="488"/>
        <v>0</v>
      </c>
      <c r="G1074" s="766">
        <f t="shared" si="488"/>
        <v>0</v>
      </c>
      <c r="H1074" s="766">
        <f t="shared" si="488"/>
        <v>0</v>
      </c>
      <c r="I1074" s="766">
        <f t="shared" si="488"/>
        <v>0</v>
      </c>
      <c r="J1074" s="767">
        <f t="shared" si="488"/>
        <v>0</v>
      </c>
      <c r="N1074" s="267"/>
      <c r="O1074" s="267"/>
      <c r="P1074" s="267"/>
      <c r="Q1074" s="267"/>
      <c r="R1074" s="421"/>
      <c r="S1074" s="421"/>
      <c r="T1074" s="421"/>
      <c r="U1074" s="421"/>
      <c r="V1074" s="421"/>
    </row>
    <row r="1075" spans="1:22" ht="17.45" hidden="1" customHeight="1">
      <c r="A1075" s="505"/>
      <c r="B1075" s="504"/>
      <c r="C1075" s="761">
        <f>ROUND($K$889/C$1057*1000000/3600,2)</f>
        <v>0</v>
      </c>
      <c r="D1075" s="762">
        <f>ROUND($K$899/D$1057*1000000/3600,2)</f>
        <v>0</v>
      </c>
      <c r="E1075" s="762">
        <f>ROUND($K$909/E$1057*1000000/3600,2)</f>
        <v>0</v>
      </c>
      <c r="F1075" s="762">
        <f>ROUND($K$919/F$1057*1000000/3600,2)</f>
        <v>0</v>
      </c>
      <c r="G1075" s="762">
        <f>ROUND($K$929/G$1057*1000000/3600,2)</f>
        <v>0</v>
      </c>
      <c r="H1075" s="762">
        <f>ROUND($K$939/H$1057*1000000/3600,2)</f>
        <v>0</v>
      </c>
      <c r="I1075" s="762">
        <f>ROUND($K$949/I$1057*1000000/3600,2)</f>
        <v>0</v>
      </c>
      <c r="J1075" s="763">
        <f>ROUND($K$959/J$1057*1000000/3600,2)</f>
        <v>0</v>
      </c>
      <c r="N1075" s="267"/>
      <c r="O1075" s="267"/>
      <c r="P1075" s="267"/>
      <c r="Q1075" s="267"/>
      <c r="R1075" s="421"/>
      <c r="S1075" s="421"/>
      <c r="T1075" s="421"/>
      <c r="U1075" s="421"/>
      <c r="V1075" s="421"/>
    </row>
    <row r="1076" spans="1:22" ht="17.45" customHeight="1">
      <c r="A1076" s="505"/>
      <c r="B1076" s="764" t="s">
        <v>349</v>
      </c>
      <c r="C1076" s="765">
        <f>ROUNDUP(C1077,0)</f>
        <v>0</v>
      </c>
      <c r="D1076" s="766">
        <f t="shared" ref="D1076:J1076" si="489">ROUND(D1077,0)</f>
        <v>0</v>
      </c>
      <c r="E1076" s="766">
        <f t="shared" si="489"/>
        <v>0</v>
      </c>
      <c r="F1076" s="766">
        <f t="shared" si="489"/>
        <v>0</v>
      </c>
      <c r="G1076" s="766">
        <f t="shared" si="489"/>
        <v>0</v>
      </c>
      <c r="H1076" s="766">
        <f t="shared" si="489"/>
        <v>0</v>
      </c>
      <c r="I1076" s="766">
        <f t="shared" si="489"/>
        <v>0</v>
      </c>
      <c r="J1076" s="767">
        <f t="shared" si="489"/>
        <v>0</v>
      </c>
      <c r="N1076" s="267"/>
      <c r="O1076" s="267"/>
      <c r="P1076" s="267"/>
      <c r="Q1076" s="267"/>
      <c r="R1076" s="421"/>
      <c r="S1076" s="421"/>
      <c r="T1076" s="421"/>
      <c r="U1076" s="421"/>
      <c r="V1076" s="421"/>
    </row>
    <row r="1077" spans="1:22" ht="17.45" customHeight="1">
      <c r="A1077" s="505"/>
      <c r="B1077" s="504"/>
      <c r="C1077" s="761">
        <f>ROUND($K$890/C$1057*1000000/3600,2)</f>
        <v>0</v>
      </c>
      <c r="D1077" s="762">
        <f>ROUND($K$900/D$1057*1000000/3600,2)</f>
        <v>0</v>
      </c>
      <c r="E1077" s="762">
        <f>ROUND($K$910/E$1057*1000000/3600,2)</f>
        <v>0</v>
      </c>
      <c r="F1077" s="762">
        <f>ROUND($K$920/F$1057*1000000/3600,2)</f>
        <v>0</v>
      </c>
      <c r="G1077" s="762">
        <f>ROUND($K$930/G$1057*1000000/3600,2)</f>
        <v>0</v>
      </c>
      <c r="H1077" s="762">
        <f>ROUND($K$940/H$1057*1000000/3600,2)</f>
        <v>0</v>
      </c>
      <c r="I1077" s="762">
        <f>ROUND($K$950/I$1057*1000000/3600,2)</f>
        <v>0</v>
      </c>
      <c r="J1077" s="763">
        <f>ROUND($K$960/J$1057*1000000/3600,2)</f>
        <v>0</v>
      </c>
      <c r="N1077" s="268"/>
      <c r="O1077" s="268"/>
      <c r="P1077" s="268"/>
      <c r="Q1077" s="268"/>
      <c r="R1077" s="421"/>
      <c r="S1077" s="421"/>
      <c r="T1077" s="421"/>
      <c r="U1077" s="421"/>
      <c r="V1077" s="421"/>
    </row>
    <row r="1078" spans="1:22" ht="17.45" customHeight="1">
      <c r="A1078" s="772"/>
      <c r="B1078" s="773" t="s">
        <v>72</v>
      </c>
      <c r="C1078" s="234">
        <f>SUM(C1058+C1060+C1062+C1064+C1066+C1068+C1070+C1072+C1074+C1076)</f>
        <v>15</v>
      </c>
      <c r="D1078" s="235">
        <f t="shared" ref="D1078:J1078" si="490">SUM(D1058+D1060+D1062+D1064+D1066+D1068+D1070+D1072+D1074+D1076)</f>
        <v>13</v>
      </c>
      <c r="E1078" s="235">
        <f t="shared" si="490"/>
        <v>9</v>
      </c>
      <c r="F1078" s="235">
        <f t="shared" si="490"/>
        <v>8</v>
      </c>
      <c r="G1078" s="235">
        <f t="shared" si="490"/>
        <v>7</v>
      </c>
      <c r="H1078" s="235">
        <f t="shared" si="490"/>
        <v>6</v>
      </c>
      <c r="I1078" s="235">
        <f t="shared" si="490"/>
        <v>7</v>
      </c>
      <c r="J1078" s="262">
        <f t="shared" si="490"/>
        <v>7</v>
      </c>
      <c r="N1078" s="268"/>
      <c r="O1078" s="268"/>
      <c r="P1078" s="268"/>
      <c r="Q1078" s="268"/>
      <c r="R1078" s="421"/>
      <c r="S1078" s="421"/>
      <c r="T1078" s="421"/>
      <c r="U1078" s="421"/>
      <c r="V1078" s="421"/>
    </row>
    <row r="1079" spans="1:22" ht="17.25" customHeight="1">
      <c r="A1079" s="505" t="str">
        <f>J6</f>
        <v>마산</v>
      </c>
      <c r="B1079" s="757" t="str">
        <f>B1058</f>
        <v>1구간</v>
      </c>
      <c r="C1079" s="758">
        <f>ROUNDUP(C1080,0)</f>
        <v>29</v>
      </c>
      <c r="D1079" s="759">
        <f t="shared" ref="D1079:J1093" si="491">ROUND(D1080,0)</f>
        <v>28</v>
      </c>
      <c r="E1079" s="759">
        <f t="shared" si="491"/>
        <v>21</v>
      </c>
      <c r="F1079" s="759">
        <f t="shared" si="491"/>
        <v>19</v>
      </c>
      <c r="G1079" s="759">
        <f t="shared" si="491"/>
        <v>18</v>
      </c>
      <c r="H1079" s="759">
        <f t="shared" si="491"/>
        <v>17</v>
      </c>
      <c r="I1079" s="759">
        <f t="shared" si="491"/>
        <v>17</v>
      </c>
      <c r="J1079" s="760">
        <f t="shared" si="491"/>
        <v>19</v>
      </c>
      <c r="N1079" s="1454"/>
      <c r="O1079" s="1454"/>
      <c r="P1079" s="267"/>
      <c r="Q1079" s="267"/>
      <c r="R1079" s="421"/>
      <c r="S1079" s="1454"/>
      <c r="T1079" s="1454"/>
      <c r="U1079" s="267"/>
      <c r="V1079" s="267"/>
    </row>
    <row r="1080" spans="1:22" ht="17.45" hidden="1" customHeight="1">
      <c r="A1080" s="505"/>
      <c r="B1080" s="504"/>
      <c r="C1080" s="761">
        <f>ROUND($K$966/C$1057*1000000/3600,2)</f>
        <v>28.17</v>
      </c>
      <c r="D1080" s="762">
        <f>ROUND($K$976/D$1057*1000000/3600,2)</f>
        <v>28.17</v>
      </c>
      <c r="E1080" s="762">
        <f>ROUND($K$986/E$1057*1000000/3600,2)</f>
        <v>21.07</v>
      </c>
      <c r="F1080" s="762">
        <f>ROUND($K$996/F$1057*1000000/3600,2)</f>
        <v>19.37</v>
      </c>
      <c r="G1080" s="762">
        <f>ROUND($K$1006/G$1057*1000000/3600,2)</f>
        <v>17.66</v>
      </c>
      <c r="H1080" s="762">
        <f>ROUND($K$1016/H$1057*1000000/3600,2)</f>
        <v>16.59</v>
      </c>
      <c r="I1080" s="762">
        <f>ROUND($K$1026/I$1057*1000000/3600,2)</f>
        <v>17.18</v>
      </c>
      <c r="J1080" s="763">
        <f>ROUND($K$1036/J$1057*1000000/3600,2)</f>
        <v>18.649999999999999</v>
      </c>
      <c r="N1080" s="1454"/>
      <c r="O1080" s="267"/>
      <c r="P1080" s="267"/>
      <c r="Q1080" s="267"/>
      <c r="R1080" s="421"/>
      <c r="S1080" s="1454"/>
      <c r="T1080" s="267"/>
      <c r="U1080" s="267"/>
      <c r="V1080" s="267"/>
    </row>
    <row r="1081" spans="1:22" ht="17.45" customHeight="1">
      <c r="A1081" s="505" t="str">
        <f>K6</f>
        <v>방향</v>
      </c>
      <c r="B1081" s="764" t="str">
        <f>B1060</f>
        <v>2구간</v>
      </c>
      <c r="C1081" s="765">
        <f>ROUNDUP(C1082,0)</f>
        <v>0</v>
      </c>
      <c r="D1081" s="766">
        <f t="shared" si="491"/>
        <v>0</v>
      </c>
      <c r="E1081" s="766">
        <f t="shared" si="491"/>
        <v>0</v>
      </c>
      <c r="F1081" s="766">
        <f t="shared" si="491"/>
        <v>0</v>
      </c>
      <c r="G1081" s="766">
        <f t="shared" si="491"/>
        <v>0</v>
      </c>
      <c r="H1081" s="766">
        <f t="shared" si="491"/>
        <v>0</v>
      </c>
      <c r="I1081" s="766">
        <f t="shared" si="491"/>
        <v>0</v>
      </c>
      <c r="J1081" s="767">
        <f t="shared" si="491"/>
        <v>0</v>
      </c>
      <c r="N1081" s="1454"/>
      <c r="O1081" s="267"/>
      <c r="P1081" s="267"/>
      <c r="Q1081" s="267"/>
      <c r="R1081" s="421"/>
      <c r="S1081" s="1454"/>
      <c r="T1081" s="267"/>
      <c r="U1081" s="267"/>
      <c r="V1081" s="267"/>
    </row>
    <row r="1082" spans="1:22" ht="17.45" hidden="1" customHeight="1">
      <c r="A1082" s="505"/>
      <c r="B1082" s="504"/>
      <c r="C1082" s="761">
        <f>ROUND($K$967/C$1057*1000000/3600,2)</f>
        <v>0</v>
      </c>
      <c r="D1082" s="762">
        <f>ROUND($K$977/D$1057*1000000/3600,2)</f>
        <v>0</v>
      </c>
      <c r="E1082" s="762">
        <f>ROUND($K$987/E$1057*1000000/3600,2)</f>
        <v>0</v>
      </c>
      <c r="F1082" s="762">
        <f>ROUND($K$997/F$1057*1000000/3600,2)</f>
        <v>0</v>
      </c>
      <c r="G1082" s="762">
        <f>ROUND($K$1007/G$1057*1000000/3600,2)</f>
        <v>0</v>
      </c>
      <c r="H1082" s="762">
        <f>ROUND($K$1017/H$1057*1000000/3600,2)</f>
        <v>0</v>
      </c>
      <c r="I1082" s="762">
        <f>ROUND($K$1027/I$1057*1000000/3600,2)</f>
        <v>0</v>
      </c>
      <c r="J1082" s="763">
        <f>ROUND($K$1037/J$1057*1000000/3600,2)</f>
        <v>0</v>
      </c>
      <c r="N1082" s="1454"/>
      <c r="O1082" s="267"/>
      <c r="P1082" s="267"/>
      <c r="Q1082" s="267"/>
      <c r="R1082" s="421"/>
      <c r="S1082" s="1454"/>
      <c r="T1082" s="267"/>
      <c r="U1082" s="267"/>
      <c r="V1082" s="267"/>
    </row>
    <row r="1083" spans="1:22" ht="17.45" customHeight="1">
      <c r="A1083" s="505"/>
      <c r="B1083" s="764" t="str">
        <f>B1062</f>
        <v>3구간</v>
      </c>
      <c r="C1083" s="765">
        <f>ROUNDUP(C1084,0)</f>
        <v>0</v>
      </c>
      <c r="D1083" s="766">
        <f t="shared" si="491"/>
        <v>0</v>
      </c>
      <c r="E1083" s="766">
        <f t="shared" si="491"/>
        <v>0</v>
      </c>
      <c r="F1083" s="766">
        <f t="shared" si="491"/>
        <v>0</v>
      </c>
      <c r="G1083" s="766">
        <f t="shared" si="491"/>
        <v>0</v>
      </c>
      <c r="H1083" s="766">
        <f t="shared" si="491"/>
        <v>0</v>
      </c>
      <c r="I1083" s="766">
        <f t="shared" si="491"/>
        <v>0</v>
      </c>
      <c r="J1083" s="767">
        <f t="shared" si="491"/>
        <v>0</v>
      </c>
      <c r="N1083" s="1454"/>
      <c r="O1083" s="267"/>
      <c r="P1083" s="267"/>
      <c r="Q1083" s="267"/>
      <c r="R1083" s="421"/>
      <c r="S1083" s="1454"/>
      <c r="T1083" s="267"/>
      <c r="U1083" s="267"/>
      <c r="V1083" s="267"/>
    </row>
    <row r="1084" spans="1:22" ht="17.45" hidden="1" customHeight="1">
      <c r="A1084" s="505"/>
      <c r="B1084" s="504"/>
      <c r="C1084" s="761">
        <f>ROUND($K$968/C$1057*1000000/3600,2)</f>
        <v>0</v>
      </c>
      <c r="D1084" s="762">
        <f>ROUND($K$978/D$1057*1000000/3600,2)</f>
        <v>0</v>
      </c>
      <c r="E1084" s="762">
        <f>ROUND($K$988/E$1057*1000000/3600,2)</f>
        <v>0</v>
      </c>
      <c r="F1084" s="762">
        <f>ROUND($K$998/F$1057*1000000/3600,2)</f>
        <v>0</v>
      </c>
      <c r="G1084" s="762">
        <f>ROUND($K$1008/G$1057*1000000/3600,2)</f>
        <v>0</v>
      </c>
      <c r="H1084" s="762">
        <f>ROUND($K$1018/H$1057*1000000/3600,2)</f>
        <v>0</v>
      </c>
      <c r="I1084" s="762">
        <f>ROUND($K$1028/I$1057*1000000/3600,2)</f>
        <v>0</v>
      </c>
      <c r="J1084" s="763">
        <f>ROUND($K$1038/J$1057*1000000/3600,2)</f>
        <v>0</v>
      </c>
      <c r="N1084" s="1454"/>
      <c r="O1084" s="267"/>
      <c r="P1084" s="267"/>
      <c r="Q1084" s="267"/>
      <c r="R1084" s="421"/>
      <c r="S1084" s="1454"/>
      <c r="T1084" s="267"/>
      <c r="U1084" s="267"/>
      <c r="V1084" s="267"/>
    </row>
    <row r="1085" spans="1:22" ht="17.45" customHeight="1">
      <c r="A1085" s="505"/>
      <c r="B1085" s="764" t="str">
        <f>B1064</f>
        <v>4구간</v>
      </c>
      <c r="C1085" s="765">
        <f>ROUNDUP(C1086,0)</f>
        <v>0</v>
      </c>
      <c r="D1085" s="766">
        <f t="shared" si="491"/>
        <v>0</v>
      </c>
      <c r="E1085" s="766">
        <f t="shared" si="491"/>
        <v>0</v>
      </c>
      <c r="F1085" s="766">
        <f t="shared" si="491"/>
        <v>0</v>
      </c>
      <c r="G1085" s="766">
        <f t="shared" si="491"/>
        <v>0</v>
      </c>
      <c r="H1085" s="766">
        <f t="shared" si="491"/>
        <v>0</v>
      </c>
      <c r="I1085" s="766">
        <f t="shared" si="491"/>
        <v>0</v>
      </c>
      <c r="J1085" s="767">
        <f t="shared" si="491"/>
        <v>0</v>
      </c>
      <c r="N1085" s="1454"/>
      <c r="O1085" s="267"/>
      <c r="P1085" s="267"/>
      <c r="Q1085" s="267"/>
      <c r="R1085" s="421"/>
      <c r="S1085" s="1454"/>
      <c r="T1085" s="267"/>
      <c r="U1085" s="267"/>
      <c r="V1085" s="267"/>
    </row>
    <row r="1086" spans="1:22" ht="17.25" hidden="1" customHeight="1">
      <c r="A1086" s="505"/>
      <c r="B1086" s="504"/>
      <c r="C1086" s="761">
        <f>ROUND($K$969/C$1057*1000000/3600,2)</f>
        <v>0</v>
      </c>
      <c r="D1086" s="762">
        <f>ROUND($K$979/D$1057*1000000/3600,2)</f>
        <v>0</v>
      </c>
      <c r="E1086" s="762">
        <f>ROUND($K$989/E$1057*1000000/3600,2)</f>
        <v>0</v>
      </c>
      <c r="F1086" s="762">
        <f>ROUND($K$999/F$1057*1000000/3600,2)</f>
        <v>0</v>
      </c>
      <c r="G1086" s="762">
        <f>ROUND($K$1009/G$1057*1000000/3600,2)</f>
        <v>0</v>
      </c>
      <c r="H1086" s="762">
        <f>ROUND($K$1019/H$1057*1000000/3600,2)</f>
        <v>0</v>
      </c>
      <c r="I1086" s="762">
        <f>ROUND($K$1029/I$1057*1000000/3600,2)</f>
        <v>0</v>
      </c>
      <c r="J1086" s="763">
        <f>ROUND($K$1039/J$1057*1000000/3600,2)</f>
        <v>0</v>
      </c>
      <c r="N1086" s="1454"/>
      <c r="O1086" s="267"/>
      <c r="P1086" s="267"/>
      <c r="Q1086" s="267"/>
      <c r="R1086" s="421"/>
      <c r="S1086" s="1454"/>
      <c r="T1086" s="267"/>
      <c r="U1086" s="267"/>
      <c r="V1086" s="267"/>
    </row>
    <row r="1087" spans="1:22" ht="17.45" customHeight="1">
      <c r="A1087" s="505"/>
      <c r="B1087" s="764" t="str">
        <f>B1066</f>
        <v>5구간</v>
      </c>
      <c r="C1087" s="765">
        <f>ROUNDUP(C1088,0)</f>
        <v>0</v>
      </c>
      <c r="D1087" s="766">
        <f t="shared" si="491"/>
        <v>0</v>
      </c>
      <c r="E1087" s="766">
        <f t="shared" si="491"/>
        <v>0</v>
      </c>
      <c r="F1087" s="766">
        <f t="shared" si="491"/>
        <v>0</v>
      </c>
      <c r="G1087" s="766">
        <f t="shared" si="491"/>
        <v>0</v>
      </c>
      <c r="H1087" s="766">
        <f t="shared" si="491"/>
        <v>0</v>
      </c>
      <c r="I1087" s="766">
        <f t="shared" si="491"/>
        <v>0</v>
      </c>
      <c r="J1087" s="767">
        <f t="shared" si="491"/>
        <v>0</v>
      </c>
      <c r="N1087" s="1454"/>
      <c r="O1087" s="267"/>
      <c r="P1087" s="267"/>
      <c r="Q1087" s="267"/>
      <c r="R1087" s="421"/>
      <c r="S1087" s="1454"/>
      <c r="T1087" s="267"/>
      <c r="U1087" s="267"/>
      <c r="V1087" s="267"/>
    </row>
    <row r="1088" spans="1:22" ht="17.25" hidden="1" customHeight="1">
      <c r="A1088" s="505"/>
      <c r="B1088" s="768"/>
      <c r="C1088" s="769">
        <f>ROUND($K$970/C$1057*1000000/3600,2)</f>
        <v>0</v>
      </c>
      <c r="D1088" s="770">
        <f>ROUND($K$980/D$1057*1000000/3600,2)</f>
        <v>0</v>
      </c>
      <c r="E1088" s="770">
        <f>ROUND($K$990/E$1057*1000000/3600,2)</f>
        <v>0</v>
      </c>
      <c r="F1088" s="770">
        <f>ROUND($K$1000/F$1057*1000000/3600,2)</f>
        <v>0</v>
      </c>
      <c r="G1088" s="770">
        <f>ROUND($K$1010/G$1057*1000000/3600,2)</f>
        <v>0</v>
      </c>
      <c r="H1088" s="770">
        <f>ROUND($K$1020/H$1057*1000000/3600,2)</f>
        <v>0</v>
      </c>
      <c r="I1088" s="770">
        <f>ROUND($K$1030/I$1057*1000000/3600,2)</f>
        <v>0</v>
      </c>
      <c r="J1088" s="771">
        <f>ROUND($K$1040/J$1057*1000000/3600,2)</f>
        <v>0</v>
      </c>
      <c r="N1088" s="1454"/>
      <c r="O1088" s="267"/>
      <c r="P1088" s="267"/>
      <c r="Q1088" s="267"/>
      <c r="R1088" s="421"/>
      <c r="S1088" s="1454"/>
      <c r="T1088" s="267"/>
      <c r="U1088" s="267"/>
      <c r="V1088" s="267"/>
    </row>
    <row r="1089" spans="1:22" ht="17.45" customHeight="1">
      <c r="A1089" s="505"/>
      <c r="B1089" s="764" t="str">
        <f>B1068</f>
        <v>6구간</v>
      </c>
      <c r="C1089" s="765">
        <f>ROUNDUP(C1090,0)</f>
        <v>0</v>
      </c>
      <c r="D1089" s="766">
        <f t="shared" si="491"/>
        <v>0</v>
      </c>
      <c r="E1089" s="766">
        <f t="shared" si="491"/>
        <v>0</v>
      </c>
      <c r="F1089" s="766">
        <f t="shared" si="491"/>
        <v>0</v>
      </c>
      <c r="G1089" s="766">
        <f t="shared" si="491"/>
        <v>0</v>
      </c>
      <c r="H1089" s="766">
        <f t="shared" si="491"/>
        <v>0</v>
      </c>
      <c r="I1089" s="766">
        <f t="shared" si="491"/>
        <v>0</v>
      </c>
      <c r="J1089" s="767">
        <f t="shared" si="491"/>
        <v>0</v>
      </c>
      <c r="N1089" s="1454"/>
      <c r="O1089" s="267"/>
      <c r="P1089" s="267"/>
      <c r="Q1089" s="267"/>
      <c r="R1089" s="421"/>
      <c r="S1089" s="1454"/>
      <c r="T1089" s="267"/>
      <c r="U1089" s="267"/>
      <c r="V1089" s="267"/>
    </row>
    <row r="1090" spans="1:22" ht="17.45" hidden="1" customHeight="1">
      <c r="A1090" s="505"/>
      <c r="B1090" s="504"/>
      <c r="C1090" s="761">
        <f>ROUND($K$971/C$1057*1000000/3600,2)</f>
        <v>0</v>
      </c>
      <c r="D1090" s="762">
        <f>ROUND($K$981/D$1057*1000000/3600,2)</f>
        <v>0</v>
      </c>
      <c r="E1090" s="762">
        <f>ROUND($K$991/E$1057*1000000/3600,2)</f>
        <v>0</v>
      </c>
      <c r="F1090" s="762">
        <f>ROUND($K$1001/F$1057*1000000/3600,2)</f>
        <v>0</v>
      </c>
      <c r="G1090" s="762">
        <f>ROUND($K$1011/G$1057*1000000/3600,2)</f>
        <v>0</v>
      </c>
      <c r="H1090" s="762">
        <f>ROUND($K$1021/H$1057*1000000/3600,2)</f>
        <v>0</v>
      </c>
      <c r="I1090" s="762">
        <f>ROUND($K$1031/I$1057*1000000/3600,2)</f>
        <v>0</v>
      </c>
      <c r="J1090" s="763">
        <f>ROUND($K$1041/J$1057*1000000/3600,2)</f>
        <v>0</v>
      </c>
      <c r="N1090" s="1454"/>
      <c r="O1090" s="267"/>
      <c r="P1090" s="267"/>
      <c r="Q1090" s="267"/>
      <c r="R1090" s="421"/>
      <c r="S1090" s="1454"/>
      <c r="T1090" s="267"/>
      <c r="U1090" s="267"/>
      <c r="V1090" s="267"/>
    </row>
    <row r="1091" spans="1:22" ht="17.45" customHeight="1">
      <c r="A1091" s="505"/>
      <c r="B1091" s="764" t="str">
        <f>B1070</f>
        <v>7구간</v>
      </c>
      <c r="C1091" s="765">
        <f>ROUNDUP(C1092,0)</f>
        <v>0</v>
      </c>
      <c r="D1091" s="766">
        <f t="shared" si="491"/>
        <v>0</v>
      </c>
      <c r="E1091" s="766">
        <f t="shared" si="491"/>
        <v>0</v>
      </c>
      <c r="F1091" s="766">
        <f t="shared" si="491"/>
        <v>0</v>
      </c>
      <c r="G1091" s="766">
        <f t="shared" si="491"/>
        <v>0</v>
      </c>
      <c r="H1091" s="766">
        <f t="shared" si="491"/>
        <v>0</v>
      </c>
      <c r="I1091" s="766">
        <f t="shared" si="491"/>
        <v>0</v>
      </c>
      <c r="J1091" s="767">
        <f t="shared" si="491"/>
        <v>0</v>
      </c>
      <c r="N1091" s="1454"/>
      <c r="O1091" s="267"/>
      <c r="P1091" s="267"/>
      <c r="Q1091" s="267"/>
      <c r="R1091" s="421"/>
      <c r="S1091" s="1454"/>
      <c r="T1091" s="267"/>
      <c r="U1091" s="267"/>
      <c r="V1091" s="267"/>
    </row>
    <row r="1092" spans="1:22" ht="17.45" hidden="1" customHeight="1">
      <c r="A1092" s="505"/>
      <c r="B1092" s="504"/>
      <c r="C1092" s="761">
        <f>ROUND($K$972/C$1057*1000000/3600,2)</f>
        <v>0</v>
      </c>
      <c r="D1092" s="762">
        <f>ROUND($K$982/D$1057*1000000/3600,2)</f>
        <v>0</v>
      </c>
      <c r="E1092" s="762">
        <f>ROUND($K$992/E$1057*1000000/3600,2)</f>
        <v>0</v>
      </c>
      <c r="F1092" s="762">
        <f>ROUND($K$1002/F$1057*1000000/3600,2)</f>
        <v>0</v>
      </c>
      <c r="G1092" s="762">
        <f>ROUND($K$1012/G$1057*1000000/3600,2)</f>
        <v>0</v>
      </c>
      <c r="H1092" s="762">
        <f>ROUND($K$1022/H$1057*1000000/3600,2)</f>
        <v>0</v>
      </c>
      <c r="I1092" s="762">
        <f>ROUND($K$1032/I$1057*1000000/3600,2)</f>
        <v>0</v>
      </c>
      <c r="J1092" s="763">
        <f>ROUND($K$1042/J$1057*1000000/3600,2)</f>
        <v>0</v>
      </c>
      <c r="N1092" s="421"/>
      <c r="O1092" s="421"/>
      <c r="P1092" s="421"/>
      <c r="Q1092" s="421"/>
      <c r="R1092" s="421"/>
      <c r="S1092" s="421"/>
      <c r="T1092" s="421"/>
      <c r="U1092" s="421"/>
      <c r="V1092" s="421"/>
    </row>
    <row r="1093" spans="1:22" ht="17.45" customHeight="1">
      <c r="A1093" s="505"/>
      <c r="B1093" s="764" t="str">
        <f>B1072</f>
        <v>8구간</v>
      </c>
      <c r="C1093" s="765">
        <f>ROUNDUP(C1094,0)</f>
        <v>0</v>
      </c>
      <c r="D1093" s="766">
        <f t="shared" si="491"/>
        <v>0</v>
      </c>
      <c r="E1093" s="766">
        <f t="shared" si="491"/>
        <v>0</v>
      </c>
      <c r="F1093" s="766">
        <f t="shared" si="491"/>
        <v>0</v>
      </c>
      <c r="G1093" s="766">
        <f t="shared" si="491"/>
        <v>0</v>
      </c>
      <c r="H1093" s="766">
        <f t="shared" si="491"/>
        <v>0</v>
      </c>
      <c r="I1093" s="766">
        <f t="shared" si="491"/>
        <v>0</v>
      </c>
      <c r="J1093" s="767">
        <f t="shared" si="491"/>
        <v>0</v>
      </c>
      <c r="N1093" s="421"/>
      <c r="O1093" s="421"/>
      <c r="P1093" s="421"/>
      <c r="Q1093" s="421"/>
      <c r="R1093" s="421"/>
      <c r="S1093" s="421"/>
      <c r="T1093" s="421"/>
      <c r="U1093" s="421"/>
      <c r="V1093" s="421"/>
    </row>
    <row r="1094" spans="1:22" ht="17.45" hidden="1" customHeight="1">
      <c r="A1094" s="505"/>
      <c r="B1094" s="504"/>
      <c r="C1094" s="761">
        <f>ROUND($K$973/C$1057*1000000/3600,2)</f>
        <v>0</v>
      </c>
      <c r="D1094" s="762">
        <f>ROUND($K$983/D$1057*1000000/3600,2)</f>
        <v>0</v>
      </c>
      <c r="E1094" s="762">
        <f>ROUND($K$993/E$1057*1000000/3600,2)</f>
        <v>0</v>
      </c>
      <c r="F1094" s="762">
        <f>ROUND($K$1003/F$1057*1000000/3600,2)</f>
        <v>0</v>
      </c>
      <c r="G1094" s="762">
        <f>ROUND($K$1013/G$1057*1000000/3600,2)</f>
        <v>0</v>
      </c>
      <c r="H1094" s="762">
        <f>ROUND($K$1023/H$1057*1000000/3600,2)</f>
        <v>0</v>
      </c>
      <c r="I1094" s="762">
        <f>ROUND($K$1033/I$1057*1000000/3600,2)</f>
        <v>0</v>
      </c>
      <c r="J1094" s="763">
        <f>ROUND($K$1043/J$1057*1000000/3600,2)</f>
        <v>0</v>
      </c>
    </row>
    <row r="1095" spans="1:22" ht="17.45" customHeight="1">
      <c r="A1095" s="505"/>
      <c r="B1095" s="764" t="str">
        <f>B1074</f>
        <v>9구간</v>
      </c>
      <c r="C1095" s="765">
        <f>ROUNDUP(C1096,0)</f>
        <v>0</v>
      </c>
      <c r="D1095" s="766">
        <f t="shared" ref="D1095:J1097" si="492">ROUND(D1096,0)</f>
        <v>0</v>
      </c>
      <c r="E1095" s="766">
        <f t="shared" si="492"/>
        <v>0</v>
      </c>
      <c r="F1095" s="766">
        <f t="shared" si="492"/>
        <v>0</v>
      </c>
      <c r="G1095" s="766">
        <f t="shared" si="492"/>
        <v>0</v>
      </c>
      <c r="H1095" s="766">
        <f t="shared" si="492"/>
        <v>0</v>
      </c>
      <c r="I1095" s="766">
        <f t="shared" si="492"/>
        <v>0</v>
      </c>
      <c r="J1095" s="767">
        <f t="shared" si="492"/>
        <v>0</v>
      </c>
    </row>
    <row r="1096" spans="1:22" ht="17.45" hidden="1" customHeight="1">
      <c r="A1096" s="505"/>
      <c r="B1096" s="504"/>
      <c r="C1096" s="761">
        <f>ROUND($K$974/C$1057*1000000/3600,2)</f>
        <v>0</v>
      </c>
      <c r="D1096" s="762">
        <f>ROUND($K$984/D$1057*1000000/3600,2)</f>
        <v>0</v>
      </c>
      <c r="E1096" s="762">
        <f>ROUND($K$994/E$1057*1000000/3600,2)</f>
        <v>0</v>
      </c>
      <c r="F1096" s="762">
        <f>ROUND($K$1004/F$1057*1000000/3600,2)</f>
        <v>0</v>
      </c>
      <c r="G1096" s="762">
        <f>ROUND($K$1014/G$1057*1000000/3600,2)</f>
        <v>0</v>
      </c>
      <c r="H1096" s="762">
        <f>ROUND($K$1024/H$1057*1000000/3600,2)</f>
        <v>0</v>
      </c>
      <c r="I1096" s="762">
        <f>ROUND($K$1034/I$1057*1000000/3600,2)</f>
        <v>0</v>
      </c>
      <c r="J1096" s="763">
        <f>ROUND($K$1044/J$1057*1000000/3600,2)</f>
        <v>0</v>
      </c>
    </row>
    <row r="1097" spans="1:22" ht="17.45" customHeight="1">
      <c r="A1097" s="505"/>
      <c r="B1097" s="764" t="str">
        <f>B1076</f>
        <v>10구간</v>
      </c>
      <c r="C1097" s="765">
        <f>ROUNDUP(C1098,0)</f>
        <v>0</v>
      </c>
      <c r="D1097" s="766">
        <f t="shared" si="492"/>
        <v>0</v>
      </c>
      <c r="E1097" s="766">
        <f t="shared" si="492"/>
        <v>0</v>
      </c>
      <c r="F1097" s="766">
        <f t="shared" si="492"/>
        <v>0</v>
      </c>
      <c r="G1097" s="766">
        <f t="shared" si="492"/>
        <v>0</v>
      </c>
      <c r="H1097" s="766">
        <f t="shared" si="492"/>
        <v>0</v>
      </c>
      <c r="I1097" s="766">
        <f t="shared" si="492"/>
        <v>0</v>
      </c>
      <c r="J1097" s="767">
        <f t="shared" si="492"/>
        <v>0</v>
      </c>
    </row>
    <row r="1098" spans="1:22" ht="17.45" hidden="1" customHeight="1">
      <c r="A1098" s="505"/>
      <c r="B1098" s="504"/>
      <c r="C1098" s="761">
        <f>ROUND($K$975/C$1057*1000000/3600,2)</f>
        <v>0</v>
      </c>
      <c r="D1098" s="762">
        <f>ROUND($K$985/D$1057*1000000/3600,2)</f>
        <v>0</v>
      </c>
      <c r="E1098" s="762">
        <f>ROUND($K$995/E$1057*1000000/3600,2)</f>
        <v>0</v>
      </c>
      <c r="F1098" s="762">
        <f>ROUND($K$1005/F$1057*1000000/3600,2)</f>
        <v>0</v>
      </c>
      <c r="G1098" s="762">
        <f>ROUND($K$1015/G$1057*1000000/3600,2)</f>
        <v>0</v>
      </c>
      <c r="H1098" s="762">
        <f>ROUND($K$1025/H$1057*1000000/3600,2)</f>
        <v>0</v>
      </c>
      <c r="I1098" s="762">
        <f>ROUND($K$1035/I$1057*1000000/3600,2)</f>
        <v>0</v>
      </c>
      <c r="J1098" s="763">
        <f>ROUND($K$1045/J$1057*1000000/3600,2)</f>
        <v>0</v>
      </c>
    </row>
    <row r="1099" spans="1:22" ht="17.45" customHeight="1" thickBot="1">
      <c r="A1099" s="506"/>
      <c r="B1099" s="774" t="s">
        <v>72</v>
      </c>
      <c r="C1099" s="236">
        <f>SUM(C1079+C1081+C1083+C1085+C1087+C1089+C1091+C1093+C1095+C1097)</f>
        <v>29</v>
      </c>
      <c r="D1099" s="237">
        <f t="shared" ref="D1099:J1099" si="493">SUM(D1079+D1081+D1083+D1085+D1087+D1089+D1091+D1093+D1095+D1097)</f>
        <v>28</v>
      </c>
      <c r="E1099" s="237">
        <f t="shared" si="493"/>
        <v>21</v>
      </c>
      <c r="F1099" s="237">
        <f t="shared" si="493"/>
        <v>19</v>
      </c>
      <c r="G1099" s="237">
        <f t="shared" si="493"/>
        <v>18</v>
      </c>
      <c r="H1099" s="237">
        <f t="shared" si="493"/>
        <v>17</v>
      </c>
      <c r="I1099" s="237">
        <f t="shared" si="493"/>
        <v>17</v>
      </c>
      <c r="J1099" s="263">
        <f t="shared" si="493"/>
        <v>19</v>
      </c>
    </row>
    <row r="1101" spans="1:22" ht="17.100000000000001" customHeight="1">
      <c r="A1101" s="390"/>
      <c r="B1101" s="390"/>
      <c r="C1101" s="390"/>
      <c r="D1101" s="390"/>
      <c r="E1101" s="390"/>
      <c r="F1101" s="390"/>
      <c r="G1101" s="390"/>
      <c r="H1101" s="390"/>
      <c r="I1101" s="390"/>
      <c r="J1101" s="390"/>
    </row>
    <row r="1102" spans="1:22" ht="20.25" customHeight="1">
      <c r="A1102" s="716" t="s">
        <v>130</v>
      </c>
    </row>
    <row r="1103" spans="1:22" ht="17.45" customHeight="1">
      <c r="A1103" s="92" t="s">
        <v>27</v>
      </c>
      <c r="G1103" s="94"/>
    </row>
    <row r="1104" spans="1:22" ht="16.5">
      <c r="A1104" s="420" t="s">
        <v>464</v>
      </c>
      <c r="B1104" s="420"/>
      <c r="C1104" s="82"/>
      <c r="D1104" s="420"/>
      <c r="E1104" s="420"/>
      <c r="F1104" s="390"/>
      <c r="H1104" s="390"/>
      <c r="I1104" s="390"/>
      <c r="J1104" s="390"/>
    </row>
    <row r="1105" spans="1:10" ht="17.100000000000001" customHeight="1">
      <c r="A1105" s="420"/>
      <c r="B1105" s="420" t="s">
        <v>465</v>
      </c>
      <c r="C1105" s="82"/>
      <c r="D1105" s="420"/>
      <c r="E1105" s="420"/>
      <c r="F1105" s="390"/>
      <c r="G1105" s="420"/>
      <c r="H1105" s="390"/>
      <c r="I1105" s="390"/>
      <c r="J1105" s="390"/>
    </row>
    <row r="1106" spans="1:10" ht="17.100000000000001" customHeight="1">
      <c r="A1106" s="420"/>
      <c r="B1106" s="420" t="s">
        <v>457</v>
      </c>
      <c r="C1106" s="82"/>
      <c r="D1106" s="420"/>
      <c r="E1106" s="420"/>
      <c r="F1106" s="390"/>
      <c r="H1106" s="390"/>
      <c r="I1106" s="390"/>
      <c r="J1106" s="390"/>
    </row>
    <row r="1107" spans="1:10" ht="17.100000000000001" customHeight="1">
      <c r="A1107" s="420"/>
      <c r="B1107" s="420" t="s">
        <v>316</v>
      </c>
      <c r="C1107" s="82"/>
      <c r="D1107" s="420"/>
      <c r="E1107" s="420"/>
      <c r="F1107" s="390"/>
      <c r="H1107" s="390"/>
      <c r="I1107" s="390"/>
      <c r="J1107" s="390"/>
    </row>
    <row r="1108" spans="1:10" ht="17.100000000000001" customHeight="1">
      <c r="A1108" s="420"/>
      <c r="B1108" s="420" t="s">
        <v>317</v>
      </c>
      <c r="C1108" s="82"/>
      <c r="D1108" s="420"/>
      <c r="E1108" s="420"/>
      <c r="F1108" s="390"/>
      <c r="H1108" s="390"/>
      <c r="I1108" s="390"/>
      <c r="J1108" s="390"/>
    </row>
    <row r="1109" spans="1:10" ht="17.100000000000001" customHeight="1">
      <c r="B1109" s="420" t="s">
        <v>458</v>
      </c>
    </row>
    <row r="1110" spans="1:10" ht="17.100000000000001" customHeight="1">
      <c r="B1110" s="390" t="s">
        <v>318</v>
      </c>
    </row>
    <row r="1111" spans="1:10" ht="17.100000000000001" customHeight="1">
      <c r="B1111" s="390"/>
    </row>
    <row r="1112" spans="1:10" ht="17.100000000000001" customHeight="1">
      <c r="B1112" s="390"/>
    </row>
    <row r="1113" spans="1:10" ht="17.45" customHeight="1"/>
    <row r="1114" spans="1:10" ht="17.45" customHeight="1" thickBot="1">
      <c r="A1114" s="92" t="s">
        <v>83</v>
      </c>
      <c r="G1114" s="94"/>
    </row>
    <row r="1115" spans="1:10" ht="17.45" customHeight="1">
      <c r="A1115" s="1437" t="s">
        <v>310</v>
      </c>
      <c r="B1115" s="1438"/>
      <c r="C1115" s="1446" t="s">
        <v>309</v>
      </c>
      <c r="D1115" s="1447"/>
      <c r="E1115" s="1438"/>
      <c r="F1115" s="1446" t="s">
        <v>179</v>
      </c>
      <c r="G1115" s="1448"/>
    </row>
    <row r="1116" spans="1:10" ht="17.45" customHeight="1">
      <c r="A1116" s="1439"/>
      <c r="B1116" s="1440"/>
      <c r="C1116" s="1444" t="s">
        <v>325</v>
      </c>
      <c r="D1116" s="1445"/>
      <c r="E1116" s="1440"/>
      <c r="F1116" s="1444" t="s">
        <v>459</v>
      </c>
      <c r="G1116" s="1471"/>
    </row>
    <row r="1117" spans="1:10" ht="17.45" customHeight="1">
      <c r="A1117" s="1434" t="s">
        <v>147</v>
      </c>
      <c r="B1117" s="494" t="s">
        <v>268</v>
      </c>
      <c r="C1117" s="775" t="s">
        <v>1</v>
      </c>
      <c r="D1117" s="503">
        <v>0</v>
      </c>
      <c r="E1117" s="494" t="s">
        <v>84</v>
      </c>
      <c r="F1117" s="1507">
        <f>ROUND(D1117/$C$1126*$E$1126,4)</f>
        <v>0</v>
      </c>
      <c r="G1117" s="1508"/>
    </row>
    <row r="1118" spans="1:10" ht="17.45" customHeight="1">
      <c r="A1118" s="1436"/>
      <c r="B1118" s="494" t="s">
        <v>269</v>
      </c>
      <c r="C1118" s="775"/>
      <c r="D1118" s="503">
        <v>0.08</v>
      </c>
      <c r="E1118" s="494" t="s">
        <v>84</v>
      </c>
      <c r="F1118" s="1507">
        <f>ROUND(D1118/$C$1126*$E$1126,4)</f>
        <v>1.6999999999999999E-3</v>
      </c>
      <c r="G1118" s="1508"/>
    </row>
    <row r="1119" spans="1:10" ht="17.45" customHeight="1">
      <c r="A1119" s="1464" t="s">
        <v>146</v>
      </c>
      <c r="B1119" s="1465"/>
      <c r="C1119" s="775"/>
      <c r="D1119" s="503">
        <v>0.105</v>
      </c>
      <c r="E1119" s="494" t="s">
        <v>84</v>
      </c>
      <c r="F1119" s="1507">
        <f>ROUND(D1119/$C$1126*$E$1126,4)</f>
        <v>2.2000000000000001E-3</v>
      </c>
      <c r="G1119" s="1508"/>
    </row>
    <row r="1120" spans="1:10" ht="17.45" customHeight="1">
      <c r="A1120" s="1464" t="s">
        <v>141</v>
      </c>
      <c r="B1120" s="1465"/>
      <c r="C1120" s="775" t="s">
        <v>1</v>
      </c>
      <c r="D1120" s="503">
        <v>0.105</v>
      </c>
      <c r="E1120" s="494" t="s">
        <v>84</v>
      </c>
      <c r="F1120" s="1507">
        <f>ROUND(D1120/$C$1126*$E$1126,4)</f>
        <v>2.2000000000000001E-3</v>
      </c>
      <c r="G1120" s="1508"/>
    </row>
    <row r="1121" spans="1:10" ht="17.45" customHeight="1">
      <c r="A1121" s="1462" t="s">
        <v>142</v>
      </c>
      <c r="B1121" s="1463"/>
      <c r="C1121" s="502">
        <v>111</v>
      </c>
      <c r="D1121" s="503" t="s">
        <v>74</v>
      </c>
      <c r="E1121" s="504"/>
      <c r="F1121" s="1507">
        <f>ROUND($E$1122*C1121*0.7355/$C$1126,4)</f>
        <v>1.8800000000000001E-2</v>
      </c>
      <c r="G1121" s="1508"/>
    </row>
    <row r="1122" spans="1:10" ht="17.45" customHeight="1">
      <c r="A1122" s="1432" t="s">
        <v>143</v>
      </c>
      <c r="B1122" s="1433"/>
      <c r="C1122" s="502">
        <v>226</v>
      </c>
      <c r="D1122" s="503" t="s">
        <v>74</v>
      </c>
      <c r="E1122" s="504">
        <v>0.46</v>
      </c>
      <c r="F1122" s="1507">
        <f>ROUND($E$1122*C1122*0.7355/$C$1126,4)</f>
        <v>3.8199999999999998E-2</v>
      </c>
      <c r="G1122" s="1508"/>
    </row>
    <row r="1123" spans="1:10" ht="17.45" customHeight="1">
      <c r="A1123" s="1432" t="s">
        <v>144</v>
      </c>
      <c r="B1123" s="1433"/>
      <c r="C1123" s="502">
        <v>250</v>
      </c>
      <c r="D1123" s="503" t="str">
        <f>D1122</f>
        <v>PS</v>
      </c>
      <c r="E1123" s="504" t="s">
        <v>75</v>
      </c>
      <c r="F1123" s="1507">
        <f>ROUND($E$1122*C1123*0.7355/$C$1126,4)</f>
        <v>4.2299999999999997E-2</v>
      </c>
      <c r="G1123" s="1508"/>
    </row>
    <row r="1124" spans="1:10" ht="17.45" customHeight="1">
      <c r="A1124" s="1439" t="s">
        <v>145</v>
      </c>
      <c r="B1124" s="1440"/>
      <c r="C1124" s="502">
        <v>323.5</v>
      </c>
      <c r="D1124" s="503" t="str">
        <f>D1122</f>
        <v>PS</v>
      </c>
      <c r="E1124" s="493" t="s">
        <v>48</v>
      </c>
      <c r="F1124" s="1507">
        <f>ROUND($E$1122*C1124*0.7355/$C$1126,4)</f>
        <v>5.4699999999999999E-2</v>
      </c>
      <c r="G1124" s="1508"/>
    </row>
    <row r="1125" spans="1:10" ht="17.45" customHeight="1">
      <c r="A1125" s="717"/>
      <c r="B1125" s="421"/>
      <c r="C1125" s="421" t="s">
        <v>270</v>
      </c>
      <c r="D1125" s="421"/>
      <c r="E1125" s="421"/>
      <c r="F1125" s="421"/>
      <c r="G1125" s="423"/>
    </row>
    <row r="1126" spans="1:10" ht="17.45" customHeight="1" thickBot="1">
      <c r="A1126" s="506" t="s">
        <v>466</v>
      </c>
      <c r="B1126" s="426"/>
      <c r="C1126" s="508">
        <v>2000</v>
      </c>
      <c r="D1126" s="426" t="s">
        <v>461</v>
      </c>
      <c r="E1126" s="867">
        <v>41.3</v>
      </c>
      <c r="F1126" s="426" t="s">
        <v>76</v>
      </c>
      <c r="G1126" s="428"/>
    </row>
    <row r="1127" spans="1:10" ht="17.45" customHeight="1"/>
    <row r="1128" spans="1:10" ht="17.45" customHeight="1" thickBot="1">
      <c r="A1128" s="92" t="s">
        <v>77</v>
      </c>
    </row>
    <row r="1129" spans="1:10" ht="17.45" customHeight="1">
      <c r="A1129" s="387" t="s">
        <v>78</v>
      </c>
      <c r="B1129" s="386" t="s">
        <v>85</v>
      </c>
      <c r="C1129" s="93"/>
      <c r="D1129" s="421"/>
      <c r="E1129" s="421"/>
      <c r="F1129" s="421"/>
    </row>
    <row r="1130" spans="1:10" ht="17.45" customHeight="1" thickBot="1">
      <c r="A1130" s="719" t="s">
        <v>86</v>
      </c>
      <c r="B1130" s="776">
        <v>20</v>
      </c>
      <c r="D1130" s="777"/>
      <c r="E1130" s="778"/>
    </row>
    <row r="1131" spans="1:10" ht="17.45" customHeight="1"/>
    <row r="1132" spans="1:10" ht="17.45" customHeight="1">
      <c r="A1132" s="510"/>
      <c r="B1132" s="421"/>
    </row>
    <row r="1133" spans="1:10">
      <c r="A1133" s="70" t="s">
        <v>970</v>
      </c>
      <c r="B1133" s="390"/>
      <c r="C1133" s="390"/>
      <c r="D1133" s="390"/>
      <c r="E1133" s="390"/>
      <c r="F1133" s="390"/>
      <c r="G1133" s="390"/>
      <c r="H1133" s="390"/>
      <c r="I1133" s="85"/>
      <c r="J1133" s="86"/>
    </row>
    <row r="1134" spans="1:10" ht="14.25" thickBot="1">
      <c r="A1134" s="70" t="s">
        <v>960</v>
      </c>
      <c r="B1134" s="390"/>
      <c r="C1134" s="390"/>
      <c r="D1134" s="390"/>
      <c r="E1134" s="390"/>
      <c r="F1134" s="390"/>
      <c r="G1134" s="390"/>
      <c r="H1134" s="390"/>
      <c r="I1134" s="85"/>
      <c r="J1134" s="86"/>
    </row>
    <row r="1135" spans="1:10" ht="17.100000000000001" customHeight="1">
      <c r="A1135" s="1314" t="s">
        <v>189</v>
      </c>
      <c r="B1135" s="1313"/>
      <c r="C1135" s="1312">
        <v>10</v>
      </c>
      <c r="D1135" s="467">
        <v>20</v>
      </c>
      <c r="E1135" s="467">
        <v>30</v>
      </c>
      <c r="F1135" s="467">
        <v>40</v>
      </c>
      <c r="G1135" s="467">
        <v>50</v>
      </c>
      <c r="H1135" s="467">
        <v>60</v>
      </c>
      <c r="I1135" s="467">
        <v>70</v>
      </c>
      <c r="J1135" s="468">
        <v>80</v>
      </c>
    </row>
    <row r="1136" spans="1:10" ht="17.100000000000001" customHeight="1">
      <c r="A1136" s="479" t="str">
        <f>A760</f>
        <v>진주</v>
      </c>
      <c r="B1136" s="442" t="s">
        <v>2</v>
      </c>
      <c r="C1136" s="1292">
        <f>NOx보정계수!S7</f>
        <v>0.66700000000000004</v>
      </c>
      <c r="D1136" s="1293">
        <f>NOx보정계수!T7</f>
        <v>0.88900000000000001</v>
      </c>
      <c r="E1136" s="1293">
        <f>NOx보정계수!U7</f>
        <v>1</v>
      </c>
      <c r="F1136" s="1293">
        <f>NOx보정계수!V7</f>
        <v>1.1479999999999999</v>
      </c>
      <c r="G1136" s="1293">
        <f>NOx보정계수!W7</f>
        <v>1.1850000000000001</v>
      </c>
      <c r="H1136" s="1293">
        <f>NOx보정계수!X7</f>
        <v>1.333</v>
      </c>
      <c r="I1136" s="1293">
        <f>NOx보정계수!Y7</f>
        <v>1.4810000000000001</v>
      </c>
      <c r="J1136" s="1294">
        <f>NOx보정계수!Z7</f>
        <v>1.9259999999999999</v>
      </c>
    </row>
    <row r="1137" spans="1:10" ht="17.100000000000001" customHeight="1">
      <c r="A1137" s="479" t="str">
        <f>A761</f>
        <v>방향</v>
      </c>
      <c r="B1137" s="215" t="s">
        <v>3</v>
      </c>
      <c r="C1137" s="1295">
        <f>NOx보정계수!S8</f>
        <v>0.66700000000000004</v>
      </c>
      <c r="D1137" s="1296">
        <f>NOx보정계수!T8</f>
        <v>0.88900000000000001</v>
      </c>
      <c r="E1137" s="1296">
        <f>NOx보정계수!U8</f>
        <v>1</v>
      </c>
      <c r="F1137" s="1296">
        <f>NOx보정계수!V8</f>
        <v>1.1479999999999999</v>
      </c>
      <c r="G1137" s="1296">
        <f>NOx보정계수!W8</f>
        <v>1.1850000000000001</v>
      </c>
      <c r="H1137" s="1296">
        <f>NOx보정계수!X8</f>
        <v>1.333</v>
      </c>
      <c r="I1137" s="1296">
        <f>NOx보정계수!Y8</f>
        <v>1.4810000000000001</v>
      </c>
      <c r="J1137" s="1297">
        <f>NOx보정계수!Z8</f>
        <v>1.9259999999999999</v>
      </c>
    </row>
    <row r="1138" spans="1:10" ht="17.100000000000001" customHeight="1">
      <c r="A1138" s="479"/>
      <c r="B1138" s="442" t="s">
        <v>878</v>
      </c>
      <c r="C1138" s="1295">
        <f>NOx보정계수!S9</f>
        <v>0.66700000000000004</v>
      </c>
      <c r="D1138" s="1296">
        <f>NOx보정계수!T9</f>
        <v>0.88900000000000001</v>
      </c>
      <c r="E1138" s="1296">
        <f>NOx보정계수!U9</f>
        <v>1</v>
      </c>
      <c r="F1138" s="1296">
        <f>NOx보정계수!V9</f>
        <v>1.1479999999999999</v>
      </c>
      <c r="G1138" s="1296">
        <f>NOx보정계수!W9</f>
        <v>1.1850000000000001</v>
      </c>
      <c r="H1138" s="1296">
        <f>NOx보정계수!X9</f>
        <v>1.333</v>
      </c>
      <c r="I1138" s="1296">
        <f>NOx보정계수!Y9</f>
        <v>1.4810000000000001</v>
      </c>
      <c r="J1138" s="1297">
        <f>NOx보정계수!Z9</f>
        <v>1.9259999999999999</v>
      </c>
    </row>
    <row r="1139" spans="1:10" ht="17.100000000000001" customHeight="1">
      <c r="A1139" s="479"/>
      <c r="B1139" s="215" t="s">
        <v>879</v>
      </c>
      <c r="C1139" s="1295">
        <f>NOx보정계수!S10</f>
        <v>0.66700000000000004</v>
      </c>
      <c r="D1139" s="1296">
        <f>NOx보정계수!T10</f>
        <v>0.88900000000000001</v>
      </c>
      <c r="E1139" s="1296">
        <f>NOx보정계수!U10</f>
        <v>1</v>
      </c>
      <c r="F1139" s="1296">
        <f>NOx보정계수!V10</f>
        <v>1.1479999999999999</v>
      </c>
      <c r="G1139" s="1296">
        <f>NOx보정계수!W10</f>
        <v>1.1850000000000001</v>
      </c>
      <c r="H1139" s="1296">
        <f>NOx보정계수!X10</f>
        <v>1.333</v>
      </c>
      <c r="I1139" s="1296">
        <f>NOx보정계수!Y10</f>
        <v>1.4810000000000001</v>
      </c>
      <c r="J1139" s="1297">
        <f>NOx보정계수!Z10</f>
        <v>1.9259999999999999</v>
      </c>
    </row>
    <row r="1140" spans="1:10" ht="17.100000000000001" customHeight="1">
      <c r="A1140" s="1315"/>
      <c r="B1140" s="215" t="s">
        <v>881</v>
      </c>
      <c r="C1140" s="1295">
        <f>NOx보정계수!S11</f>
        <v>0.66700000000000004</v>
      </c>
      <c r="D1140" s="1296">
        <f>NOx보정계수!T11</f>
        <v>0.88900000000000001</v>
      </c>
      <c r="E1140" s="1296">
        <f>NOx보정계수!U11</f>
        <v>1</v>
      </c>
      <c r="F1140" s="1296">
        <f>NOx보정계수!V11</f>
        <v>1.1479999999999999</v>
      </c>
      <c r="G1140" s="1296">
        <f>NOx보정계수!W11</f>
        <v>1.1850000000000001</v>
      </c>
      <c r="H1140" s="1296">
        <f>NOx보정계수!X11</f>
        <v>1.333</v>
      </c>
      <c r="I1140" s="1298">
        <f>NOx보정계수!Y11</f>
        <v>1.4810000000000001</v>
      </c>
      <c r="J1140" s="1297">
        <f>NOx보정계수!Z11</f>
        <v>1.9259999999999999</v>
      </c>
    </row>
    <row r="1141" spans="1:10" ht="17.100000000000001" customHeight="1">
      <c r="A1141" s="479"/>
      <c r="B1141" s="442" t="s">
        <v>883</v>
      </c>
      <c r="C1141" s="1295">
        <f>NOx보정계수!S12</f>
        <v>0.66700000000000004</v>
      </c>
      <c r="D1141" s="1296">
        <f>NOx보정계수!T12</f>
        <v>0.88900000000000001</v>
      </c>
      <c r="E1141" s="1296">
        <f>NOx보정계수!U12</f>
        <v>1</v>
      </c>
      <c r="F1141" s="1296">
        <f>NOx보정계수!V12</f>
        <v>1.1479999999999999</v>
      </c>
      <c r="G1141" s="1296">
        <f>NOx보정계수!W12</f>
        <v>1.1850000000000001</v>
      </c>
      <c r="H1141" s="1296">
        <f>NOx보정계수!X12</f>
        <v>1.333</v>
      </c>
      <c r="I1141" s="1296">
        <f>NOx보정계수!Y12</f>
        <v>1.4810000000000001</v>
      </c>
      <c r="J1141" s="1297">
        <f>NOx보정계수!Z12</f>
        <v>1.9259999999999999</v>
      </c>
    </row>
    <row r="1142" spans="1:10" ht="17.100000000000001" customHeight="1">
      <c r="A1142" s="1315"/>
      <c r="B1142" s="215" t="s">
        <v>885</v>
      </c>
      <c r="C1142" s="1295">
        <f>NOx보정계수!S13</f>
        <v>0.66700000000000004</v>
      </c>
      <c r="D1142" s="1296">
        <f>NOx보정계수!T13</f>
        <v>0.88900000000000001</v>
      </c>
      <c r="E1142" s="1296">
        <f>NOx보정계수!U13</f>
        <v>1</v>
      </c>
      <c r="F1142" s="1296">
        <f>NOx보정계수!V13</f>
        <v>1.1479999999999999</v>
      </c>
      <c r="G1142" s="1296">
        <f>NOx보정계수!W13</f>
        <v>1.1850000000000001</v>
      </c>
      <c r="H1142" s="1296">
        <f>NOx보정계수!X13</f>
        <v>1.333</v>
      </c>
      <c r="I1142" s="1296">
        <f>NOx보정계수!Y13</f>
        <v>1.4810000000000001</v>
      </c>
      <c r="J1142" s="1297">
        <f>NOx보정계수!Z13</f>
        <v>1.9259999999999999</v>
      </c>
    </row>
    <row r="1143" spans="1:10" ht="17.100000000000001" customHeight="1">
      <c r="A1143" s="479"/>
      <c r="B1143" s="442" t="s">
        <v>887</v>
      </c>
      <c r="C1143" s="1295">
        <f>NOx보정계수!S14</f>
        <v>0.66700000000000004</v>
      </c>
      <c r="D1143" s="1296">
        <f>NOx보정계수!T14</f>
        <v>0.88900000000000001</v>
      </c>
      <c r="E1143" s="1296">
        <f>NOx보정계수!U14</f>
        <v>1</v>
      </c>
      <c r="F1143" s="1296">
        <f>NOx보정계수!V14</f>
        <v>1.1479999999999999</v>
      </c>
      <c r="G1143" s="1296">
        <f>NOx보정계수!W14</f>
        <v>1.1850000000000001</v>
      </c>
      <c r="H1143" s="1296">
        <f>NOx보정계수!X14</f>
        <v>1.333</v>
      </c>
      <c r="I1143" s="1296">
        <f>NOx보정계수!Y14</f>
        <v>1.4810000000000001</v>
      </c>
      <c r="J1143" s="1297">
        <f>NOx보정계수!Z14</f>
        <v>1.9259999999999999</v>
      </c>
    </row>
    <row r="1144" spans="1:10" ht="17.100000000000001" customHeight="1">
      <c r="A1144" s="479"/>
      <c r="B1144" s="215" t="s">
        <v>888</v>
      </c>
      <c r="C1144" s="1295">
        <f>NOx보정계수!S15</f>
        <v>0.66700000000000004</v>
      </c>
      <c r="D1144" s="1296">
        <f>NOx보정계수!T15</f>
        <v>0.88900000000000001</v>
      </c>
      <c r="E1144" s="1296">
        <f>NOx보정계수!U15</f>
        <v>1</v>
      </c>
      <c r="F1144" s="1296">
        <f>NOx보정계수!V15</f>
        <v>1.1479999999999999</v>
      </c>
      <c r="G1144" s="1296">
        <f>NOx보정계수!W15</f>
        <v>1.1850000000000001</v>
      </c>
      <c r="H1144" s="1296">
        <f>NOx보정계수!X15</f>
        <v>1.333</v>
      </c>
      <c r="I1144" s="1296">
        <f>NOx보정계수!Y15</f>
        <v>1.4810000000000001</v>
      </c>
      <c r="J1144" s="1297">
        <f>NOx보정계수!Z15</f>
        <v>1.9259999999999999</v>
      </c>
    </row>
    <row r="1145" spans="1:10" ht="17.100000000000001" customHeight="1">
      <c r="A1145" s="1311"/>
      <c r="B1145" s="215" t="s">
        <v>889</v>
      </c>
      <c r="C1145" s="1295">
        <f>NOx보정계수!S16</f>
        <v>0.66700000000000004</v>
      </c>
      <c r="D1145" s="1296">
        <f>NOx보정계수!T16</f>
        <v>0.88900000000000001</v>
      </c>
      <c r="E1145" s="1296">
        <f>NOx보정계수!U16</f>
        <v>1</v>
      </c>
      <c r="F1145" s="1296">
        <f>NOx보정계수!V16</f>
        <v>1.1479999999999999</v>
      </c>
      <c r="G1145" s="1296">
        <f>NOx보정계수!W16</f>
        <v>1.1850000000000001</v>
      </c>
      <c r="H1145" s="1296">
        <f>NOx보정계수!X16</f>
        <v>1.333</v>
      </c>
      <c r="I1145" s="1296">
        <f>NOx보정계수!Y16</f>
        <v>1.4810000000000001</v>
      </c>
      <c r="J1145" s="1297">
        <f>NOx보정계수!Z16</f>
        <v>1.9259999999999999</v>
      </c>
    </row>
    <row r="1146" spans="1:10" ht="17.100000000000001" customHeight="1">
      <c r="A1146" s="479" t="str">
        <f>A770</f>
        <v>마산</v>
      </c>
      <c r="B1146" s="1318" t="str">
        <f t="shared" ref="B1146:B1155" si="494">B1136</f>
        <v>1구간</v>
      </c>
      <c r="C1146" s="1299">
        <f>NOx보정계수!AD7</f>
        <v>0.76601200000000003</v>
      </c>
      <c r="D1146" s="1300">
        <f>NOx보정계수!AE7</f>
        <v>1.05402</v>
      </c>
      <c r="E1146" s="1300">
        <f>NOx보정계수!AF7</f>
        <v>1.231028</v>
      </c>
      <c r="F1146" s="1300">
        <f>NOx보정계수!AG7</f>
        <v>1.4789319999999999</v>
      </c>
      <c r="G1146" s="1300">
        <f>NOx보정계수!AH7</f>
        <v>1.5489359999999999</v>
      </c>
      <c r="H1146" s="1300">
        <f>NOx보정계수!AI7</f>
        <v>1.8289520000000001</v>
      </c>
      <c r="I1146" s="1301">
        <f>NOx보정계수!AJ7</f>
        <v>2.108968</v>
      </c>
      <c r="J1146" s="1302">
        <f>NOx보정계수!AK7</f>
        <v>2.6529799999999999</v>
      </c>
    </row>
    <row r="1147" spans="1:10" ht="17.100000000000001" customHeight="1">
      <c r="A1147" s="479" t="str">
        <f>A771</f>
        <v>방향</v>
      </c>
      <c r="B1147" s="215" t="str">
        <f t="shared" si="494"/>
        <v>2구간</v>
      </c>
      <c r="C1147" s="1292">
        <f>NOx보정계수!AD8</f>
        <v>0.66700000000000004</v>
      </c>
      <c r="D1147" s="1293">
        <f>NOx보정계수!AE8</f>
        <v>0.88900000000000001</v>
      </c>
      <c r="E1147" s="1293">
        <f>NOx보정계수!AF8</f>
        <v>1</v>
      </c>
      <c r="F1147" s="1293">
        <f>NOx보정계수!AG8</f>
        <v>1.1479999999999999</v>
      </c>
      <c r="G1147" s="1293">
        <f>NOx보정계수!AH8</f>
        <v>1.1850000000000001</v>
      </c>
      <c r="H1147" s="1293">
        <f>NOx보정계수!AI8</f>
        <v>1.333</v>
      </c>
      <c r="I1147" s="1303">
        <f>NOx보정계수!AJ8</f>
        <v>1.4810000000000001</v>
      </c>
      <c r="J1147" s="1294">
        <f>NOx보정계수!AK8</f>
        <v>1.9259999999999999</v>
      </c>
    </row>
    <row r="1148" spans="1:10" ht="17.100000000000001" customHeight="1">
      <c r="A1148" s="479"/>
      <c r="B1148" s="442" t="str">
        <f t="shared" si="494"/>
        <v>3구간</v>
      </c>
      <c r="C1148" s="1292">
        <f>NOx보정계수!AD9</f>
        <v>0.66700000000000004</v>
      </c>
      <c r="D1148" s="1293">
        <f>NOx보정계수!AE9</f>
        <v>0.88900000000000001</v>
      </c>
      <c r="E1148" s="1293">
        <f>NOx보정계수!AF9</f>
        <v>1</v>
      </c>
      <c r="F1148" s="1293">
        <f>NOx보정계수!AG9</f>
        <v>1.1479999999999999</v>
      </c>
      <c r="G1148" s="1293">
        <f>NOx보정계수!AH9</f>
        <v>1.1850000000000001</v>
      </c>
      <c r="H1148" s="1303">
        <f>NOx보정계수!AI9</f>
        <v>1.333</v>
      </c>
      <c r="I1148" s="1303">
        <f>NOx보정계수!AJ9</f>
        <v>1.4810000000000001</v>
      </c>
      <c r="J1148" s="1304">
        <f>NOx보정계수!AK9</f>
        <v>1.9259999999999999</v>
      </c>
    </row>
    <row r="1149" spans="1:10" ht="17.100000000000001" customHeight="1">
      <c r="A1149" s="479"/>
      <c r="B1149" s="215" t="str">
        <f t="shared" si="494"/>
        <v>4구간</v>
      </c>
      <c r="C1149" s="1292">
        <f>NOx보정계수!AD10</f>
        <v>0.66700000000000004</v>
      </c>
      <c r="D1149" s="1293">
        <f>NOx보정계수!AE10</f>
        <v>0.88900000000000001</v>
      </c>
      <c r="E1149" s="1293">
        <f>NOx보정계수!AF10</f>
        <v>1</v>
      </c>
      <c r="F1149" s="1293">
        <f>NOx보정계수!AG10</f>
        <v>1.1479999999999999</v>
      </c>
      <c r="G1149" s="1293">
        <f>NOx보정계수!AH10</f>
        <v>1.1850000000000001</v>
      </c>
      <c r="H1149" s="1293">
        <f>NOx보정계수!AI10</f>
        <v>1.333</v>
      </c>
      <c r="I1149" s="1303">
        <f>NOx보정계수!AJ10</f>
        <v>1.4810000000000001</v>
      </c>
      <c r="J1149" s="1294">
        <f>NOx보정계수!AK10</f>
        <v>1.9259999999999999</v>
      </c>
    </row>
    <row r="1150" spans="1:10" ht="17.100000000000001" customHeight="1">
      <c r="A1150" s="479"/>
      <c r="B1150" s="215" t="str">
        <f t="shared" si="494"/>
        <v>5구간</v>
      </c>
      <c r="C1150" s="1292">
        <f>NOx보정계수!AD11</f>
        <v>0.66700000000000004</v>
      </c>
      <c r="D1150" s="1293">
        <f>NOx보정계수!AE11</f>
        <v>0.88900000000000001</v>
      </c>
      <c r="E1150" s="1293">
        <f>NOx보정계수!AF11</f>
        <v>1</v>
      </c>
      <c r="F1150" s="1293">
        <f>NOx보정계수!AG11</f>
        <v>1.1479999999999999</v>
      </c>
      <c r="G1150" s="1293">
        <f>NOx보정계수!AH11</f>
        <v>1.1850000000000001</v>
      </c>
      <c r="H1150" s="1293">
        <f>NOx보정계수!AI11</f>
        <v>1.333</v>
      </c>
      <c r="I1150" s="1303">
        <f>NOx보정계수!AJ11</f>
        <v>1.4810000000000001</v>
      </c>
      <c r="J1150" s="1294">
        <f>NOx보정계수!AK11</f>
        <v>1.9259999999999999</v>
      </c>
    </row>
    <row r="1151" spans="1:10" ht="17.100000000000001" customHeight="1">
      <c r="A1151" s="479"/>
      <c r="B1151" s="442" t="str">
        <f t="shared" si="494"/>
        <v>6구간</v>
      </c>
      <c r="C1151" s="1292">
        <f>NOx보정계수!AD12</f>
        <v>0.66700000000000004</v>
      </c>
      <c r="D1151" s="1293">
        <f>NOx보정계수!AE12</f>
        <v>0.88900000000000001</v>
      </c>
      <c r="E1151" s="1293">
        <f>NOx보정계수!AF12</f>
        <v>1</v>
      </c>
      <c r="F1151" s="1293">
        <f>NOx보정계수!AG12</f>
        <v>1.1479999999999999</v>
      </c>
      <c r="G1151" s="1293">
        <f>NOx보정계수!AH12</f>
        <v>1.1850000000000001</v>
      </c>
      <c r="H1151" s="1293">
        <f>NOx보정계수!AI12</f>
        <v>1.333</v>
      </c>
      <c r="I1151" s="1303">
        <f>NOx보정계수!AJ12</f>
        <v>1.4810000000000001</v>
      </c>
      <c r="J1151" s="1294">
        <f>NOx보정계수!AK12</f>
        <v>1.9259999999999999</v>
      </c>
    </row>
    <row r="1152" spans="1:10" ht="17.100000000000001" customHeight="1">
      <c r="A1152" s="479"/>
      <c r="B1152" s="215" t="str">
        <f t="shared" si="494"/>
        <v>7구간</v>
      </c>
      <c r="C1152" s="1292">
        <f>NOx보정계수!AD13</f>
        <v>0.66700000000000004</v>
      </c>
      <c r="D1152" s="1293">
        <f>NOx보정계수!AE13</f>
        <v>0.88900000000000001</v>
      </c>
      <c r="E1152" s="1293">
        <f>NOx보정계수!AF13</f>
        <v>1</v>
      </c>
      <c r="F1152" s="1293">
        <f>NOx보정계수!AG13</f>
        <v>1.1479999999999999</v>
      </c>
      <c r="G1152" s="1293">
        <f>NOx보정계수!AH13</f>
        <v>1.1850000000000001</v>
      </c>
      <c r="H1152" s="1293">
        <f>NOx보정계수!AI13</f>
        <v>1.333</v>
      </c>
      <c r="I1152" s="1303">
        <f>NOx보정계수!AJ13</f>
        <v>1.4810000000000001</v>
      </c>
      <c r="J1152" s="1294">
        <f>NOx보정계수!AK13</f>
        <v>1.9259999999999999</v>
      </c>
    </row>
    <row r="1153" spans="1:10" ht="17.100000000000001" customHeight="1">
      <c r="A1153" s="479"/>
      <c r="B1153" s="442" t="str">
        <f t="shared" si="494"/>
        <v>8구간</v>
      </c>
      <c r="C1153" s="1292">
        <f>NOx보정계수!AD14</f>
        <v>0.66700000000000004</v>
      </c>
      <c r="D1153" s="1293">
        <f>NOx보정계수!AE14</f>
        <v>0.88900000000000001</v>
      </c>
      <c r="E1153" s="1293">
        <f>NOx보정계수!AF14</f>
        <v>1</v>
      </c>
      <c r="F1153" s="1293">
        <f>NOx보정계수!AG14</f>
        <v>1.1479999999999999</v>
      </c>
      <c r="G1153" s="1293">
        <f>NOx보정계수!AH14</f>
        <v>1.1850000000000001</v>
      </c>
      <c r="H1153" s="1303">
        <f>NOx보정계수!AI14</f>
        <v>1.333</v>
      </c>
      <c r="I1153" s="1303">
        <f>NOx보정계수!AJ14</f>
        <v>1.4810000000000001</v>
      </c>
      <c r="J1153" s="1304">
        <f>NOx보정계수!AK14</f>
        <v>1.9259999999999999</v>
      </c>
    </row>
    <row r="1154" spans="1:10" ht="17.100000000000001" customHeight="1">
      <c r="A1154" s="479"/>
      <c r="B1154" s="215" t="str">
        <f t="shared" si="494"/>
        <v>9구간</v>
      </c>
      <c r="C1154" s="1292">
        <f>NOx보정계수!AD15</f>
        <v>0.66700000000000004</v>
      </c>
      <c r="D1154" s="1293">
        <f>NOx보정계수!AE15</f>
        <v>0.88900000000000001</v>
      </c>
      <c r="E1154" s="1293">
        <f>NOx보정계수!AF15</f>
        <v>1</v>
      </c>
      <c r="F1154" s="1293">
        <f>NOx보정계수!AG15</f>
        <v>1.1479999999999999</v>
      </c>
      <c r="G1154" s="1293">
        <f>NOx보정계수!AH15</f>
        <v>1.1850000000000001</v>
      </c>
      <c r="H1154" s="1293">
        <f>NOx보정계수!AI15</f>
        <v>1.333</v>
      </c>
      <c r="I1154" s="1303">
        <f>NOx보정계수!AJ15</f>
        <v>1.4810000000000001</v>
      </c>
      <c r="J1154" s="1294">
        <f>NOx보정계수!AK15</f>
        <v>1.9259999999999999</v>
      </c>
    </row>
    <row r="1155" spans="1:10" ht="17.100000000000001" customHeight="1" thickBot="1">
      <c r="A1155" s="486"/>
      <c r="B1155" s="88" t="str">
        <f t="shared" si="494"/>
        <v>10구간</v>
      </c>
      <c r="C1155" s="1305">
        <f>NOx보정계수!AD16</f>
        <v>0.66700000000000004</v>
      </c>
      <c r="D1155" s="1306">
        <f>NOx보정계수!AE16</f>
        <v>0.88900000000000001</v>
      </c>
      <c r="E1155" s="1306">
        <f>NOx보정계수!AF16</f>
        <v>1</v>
      </c>
      <c r="F1155" s="1306">
        <f>NOx보정계수!AG16</f>
        <v>1.1479999999999999</v>
      </c>
      <c r="G1155" s="1306">
        <f>NOx보정계수!AH16</f>
        <v>1.1850000000000001</v>
      </c>
      <c r="H1155" s="1306">
        <f>NOx보정계수!AI16</f>
        <v>1.333</v>
      </c>
      <c r="I1155" s="531">
        <f>NOx보정계수!AJ16</f>
        <v>1.4810000000000001</v>
      </c>
      <c r="J1155" s="532">
        <f>NOx보정계수!AK16</f>
        <v>1.9259999999999999</v>
      </c>
    </row>
    <row r="1156" spans="1:10">
      <c r="A1156" s="475"/>
      <c r="B1156" s="89"/>
      <c r="C1156" s="433"/>
      <c r="D1156" s="433"/>
      <c r="E1156" s="433"/>
      <c r="F1156" s="433"/>
      <c r="G1156" s="433"/>
      <c r="H1156" s="433"/>
      <c r="I1156" s="433"/>
      <c r="J1156" s="433"/>
    </row>
    <row r="1157" spans="1:10" ht="14.25" thickBot="1">
      <c r="A1157" s="70" t="s">
        <v>961</v>
      </c>
      <c r="B1157" s="390"/>
      <c r="C1157" s="390"/>
      <c r="D1157" s="390"/>
      <c r="E1157" s="390"/>
      <c r="F1157" s="390"/>
      <c r="G1157" s="390"/>
      <c r="H1157" s="390"/>
      <c r="I1157" s="85"/>
      <c r="J1157" s="86"/>
    </row>
    <row r="1158" spans="1:10" ht="17.100000000000001" customHeight="1">
      <c r="A1158" s="1314" t="s">
        <v>189</v>
      </c>
      <c r="B1158" s="1313"/>
      <c r="C1158" s="1312">
        <v>10</v>
      </c>
      <c r="D1158" s="467">
        <v>20</v>
      </c>
      <c r="E1158" s="467">
        <v>30</v>
      </c>
      <c r="F1158" s="467">
        <v>40</v>
      </c>
      <c r="G1158" s="467">
        <v>50</v>
      </c>
      <c r="H1158" s="467">
        <v>60</v>
      </c>
      <c r="I1158" s="467">
        <v>70</v>
      </c>
      <c r="J1158" s="468">
        <v>80</v>
      </c>
    </row>
    <row r="1159" spans="1:10" ht="17.100000000000001" customHeight="1">
      <c r="A1159" s="479" t="str">
        <f>A1136</f>
        <v>진주</v>
      </c>
      <c r="B1159" s="442" t="str">
        <f>B1136</f>
        <v>1구간</v>
      </c>
      <c r="C1159" s="1292">
        <f>NOx보정계수!S21</f>
        <v>0.64200000000000002</v>
      </c>
      <c r="D1159" s="1293">
        <f>NOx보정계수!T21</f>
        <v>0.77400000000000002</v>
      </c>
      <c r="E1159" s="1293">
        <f>NOx보정계수!U21</f>
        <v>0.91100000000000003</v>
      </c>
      <c r="F1159" s="1293">
        <f>NOx보정계수!V21</f>
        <v>1</v>
      </c>
      <c r="G1159" s="1293">
        <f>NOx보정계수!W21</f>
        <v>1.0840000000000001</v>
      </c>
      <c r="H1159" s="1293">
        <f>NOx보정계수!X21</f>
        <v>1.258</v>
      </c>
      <c r="I1159" s="1293">
        <f>NOx보정계수!Y21</f>
        <v>1.5209999999999999</v>
      </c>
      <c r="J1159" s="1294">
        <f>NOx보정계수!Z21</f>
        <v>1.7889999999999999</v>
      </c>
    </row>
    <row r="1160" spans="1:10" ht="17.100000000000001" customHeight="1">
      <c r="A1160" s="1315" t="str">
        <f t="shared" ref="A1160:B1160" si="495">A1137</f>
        <v>방향</v>
      </c>
      <c r="B1160" s="215" t="str">
        <f t="shared" si="495"/>
        <v>2구간</v>
      </c>
      <c r="C1160" s="1295">
        <f>NOx보정계수!S22</f>
        <v>0.64200000000000002</v>
      </c>
      <c r="D1160" s="1296">
        <f>NOx보정계수!T22</f>
        <v>0.77400000000000002</v>
      </c>
      <c r="E1160" s="1296">
        <f>NOx보정계수!U22</f>
        <v>0.91100000000000003</v>
      </c>
      <c r="F1160" s="1296">
        <f>NOx보정계수!V22</f>
        <v>1</v>
      </c>
      <c r="G1160" s="1296">
        <f>NOx보정계수!W22</f>
        <v>1.0840000000000001</v>
      </c>
      <c r="H1160" s="1296">
        <f>NOx보정계수!X22</f>
        <v>1.258</v>
      </c>
      <c r="I1160" s="1296">
        <f>NOx보정계수!Y22</f>
        <v>1.5209999999999999</v>
      </c>
      <c r="J1160" s="1297">
        <f>NOx보정계수!Z22</f>
        <v>1.7889999999999999</v>
      </c>
    </row>
    <row r="1161" spans="1:10" ht="17.100000000000001" customHeight="1">
      <c r="A1161" s="479"/>
      <c r="B1161" s="442" t="str">
        <f t="shared" ref="B1161" si="496">B1138</f>
        <v>3구간</v>
      </c>
      <c r="C1161" s="1295">
        <f>NOx보정계수!S23</f>
        <v>0.64200000000000002</v>
      </c>
      <c r="D1161" s="1296">
        <f>NOx보정계수!T23</f>
        <v>0.77400000000000002</v>
      </c>
      <c r="E1161" s="1296">
        <f>NOx보정계수!U23</f>
        <v>0.91100000000000003</v>
      </c>
      <c r="F1161" s="1296">
        <f>NOx보정계수!V23</f>
        <v>1</v>
      </c>
      <c r="G1161" s="1296">
        <f>NOx보정계수!W23</f>
        <v>1.0840000000000001</v>
      </c>
      <c r="H1161" s="1296">
        <f>NOx보정계수!X23</f>
        <v>1.258</v>
      </c>
      <c r="I1161" s="1296">
        <f>NOx보정계수!Y23</f>
        <v>1.5209999999999999</v>
      </c>
      <c r="J1161" s="1297">
        <f>NOx보정계수!Z23</f>
        <v>1.7889999999999999</v>
      </c>
    </row>
    <row r="1162" spans="1:10" ht="17.100000000000001" customHeight="1">
      <c r="A1162" s="479"/>
      <c r="B1162" s="215" t="str">
        <f t="shared" ref="B1162" si="497">B1139</f>
        <v>4구간</v>
      </c>
      <c r="C1162" s="1295">
        <f>NOx보정계수!S24</f>
        <v>0.64200000000000002</v>
      </c>
      <c r="D1162" s="1296">
        <f>NOx보정계수!T24</f>
        <v>0.77400000000000002</v>
      </c>
      <c r="E1162" s="1296">
        <f>NOx보정계수!U24</f>
        <v>0.91100000000000003</v>
      </c>
      <c r="F1162" s="1296">
        <f>NOx보정계수!V24</f>
        <v>1</v>
      </c>
      <c r="G1162" s="1296">
        <f>NOx보정계수!W24</f>
        <v>1.0840000000000001</v>
      </c>
      <c r="H1162" s="1296">
        <f>NOx보정계수!X24</f>
        <v>1.258</v>
      </c>
      <c r="I1162" s="1296">
        <f>NOx보정계수!Y24</f>
        <v>1.5209999999999999</v>
      </c>
      <c r="J1162" s="1297">
        <f>NOx보정계수!Z24</f>
        <v>1.7889999999999999</v>
      </c>
    </row>
    <row r="1163" spans="1:10" ht="17.100000000000001" customHeight="1">
      <c r="A1163" s="1315"/>
      <c r="B1163" s="215" t="str">
        <f t="shared" ref="B1163" si="498">B1140</f>
        <v>5구간</v>
      </c>
      <c r="C1163" s="1295">
        <f>NOx보정계수!S25</f>
        <v>0.64200000000000002</v>
      </c>
      <c r="D1163" s="1296">
        <f>NOx보정계수!T25</f>
        <v>0.77400000000000002</v>
      </c>
      <c r="E1163" s="1296">
        <f>NOx보정계수!U25</f>
        <v>0.91100000000000003</v>
      </c>
      <c r="F1163" s="1296">
        <f>NOx보정계수!V25</f>
        <v>1</v>
      </c>
      <c r="G1163" s="1296">
        <f>NOx보정계수!W25</f>
        <v>1.0840000000000001</v>
      </c>
      <c r="H1163" s="1296">
        <f>NOx보정계수!X25</f>
        <v>1.258</v>
      </c>
      <c r="I1163" s="1298">
        <f>NOx보정계수!Y25</f>
        <v>1.5209999999999999</v>
      </c>
      <c r="J1163" s="1297">
        <f>NOx보정계수!Z25</f>
        <v>1.7889999999999999</v>
      </c>
    </row>
    <row r="1164" spans="1:10" ht="17.100000000000001" customHeight="1">
      <c r="A1164" s="479"/>
      <c r="B1164" s="442" t="str">
        <f t="shared" ref="B1164" si="499">B1141</f>
        <v>6구간</v>
      </c>
      <c r="C1164" s="1295">
        <f>NOx보정계수!S26</f>
        <v>0.64200000000000002</v>
      </c>
      <c r="D1164" s="1296">
        <f>NOx보정계수!T26</f>
        <v>0.77400000000000002</v>
      </c>
      <c r="E1164" s="1296">
        <f>NOx보정계수!U26</f>
        <v>0.91100000000000003</v>
      </c>
      <c r="F1164" s="1296">
        <f>NOx보정계수!V26</f>
        <v>1</v>
      </c>
      <c r="G1164" s="1296">
        <f>NOx보정계수!W26</f>
        <v>1.0840000000000001</v>
      </c>
      <c r="H1164" s="1296">
        <f>NOx보정계수!X26</f>
        <v>1.258</v>
      </c>
      <c r="I1164" s="1296">
        <f>NOx보정계수!Y26</f>
        <v>1.5209999999999999</v>
      </c>
      <c r="J1164" s="1297">
        <f>NOx보정계수!Z26</f>
        <v>1.7889999999999999</v>
      </c>
    </row>
    <row r="1165" spans="1:10" ht="17.100000000000001" customHeight="1">
      <c r="A1165" s="1315"/>
      <c r="B1165" s="215" t="str">
        <f t="shared" ref="B1165" si="500">B1142</f>
        <v>7구간</v>
      </c>
      <c r="C1165" s="1295">
        <f>NOx보정계수!S27</f>
        <v>0.64200000000000002</v>
      </c>
      <c r="D1165" s="1296">
        <f>NOx보정계수!T27</f>
        <v>0.77400000000000002</v>
      </c>
      <c r="E1165" s="1296">
        <f>NOx보정계수!U27</f>
        <v>0.91100000000000003</v>
      </c>
      <c r="F1165" s="1296">
        <f>NOx보정계수!V27</f>
        <v>1</v>
      </c>
      <c r="G1165" s="1296">
        <f>NOx보정계수!W27</f>
        <v>1.0840000000000001</v>
      </c>
      <c r="H1165" s="1296">
        <f>NOx보정계수!X27</f>
        <v>1.258</v>
      </c>
      <c r="I1165" s="1296">
        <f>NOx보정계수!Y27</f>
        <v>1.5209999999999999</v>
      </c>
      <c r="J1165" s="1297">
        <f>NOx보정계수!Z27</f>
        <v>1.7889999999999999</v>
      </c>
    </row>
    <row r="1166" spans="1:10" ht="17.100000000000001" customHeight="1">
      <c r="A1166" s="479"/>
      <c r="B1166" s="442" t="str">
        <f t="shared" ref="B1166" si="501">B1143</f>
        <v>8구간</v>
      </c>
      <c r="C1166" s="1295">
        <f>NOx보정계수!S28</f>
        <v>0.64200000000000002</v>
      </c>
      <c r="D1166" s="1296">
        <f>NOx보정계수!T28</f>
        <v>0.77400000000000002</v>
      </c>
      <c r="E1166" s="1296">
        <f>NOx보정계수!U28</f>
        <v>0.91100000000000003</v>
      </c>
      <c r="F1166" s="1296">
        <f>NOx보정계수!V28</f>
        <v>1</v>
      </c>
      <c r="G1166" s="1296">
        <f>NOx보정계수!W28</f>
        <v>1.0840000000000001</v>
      </c>
      <c r="H1166" s="1296">
        <f>NOx보정계수!X28</f>
        <v>1.258</v>
      </c>
      <c r="I1166" s="1296">
        <f>NOx보정계수!Y28</f>
        <v>1.5209999999999999</v>
      </c>
      <c r="J1166" s="1297">
        <f>NOx보정계수!Z28</f>
        <v>1.7889999999999999</v>
      </c>
    </row>
    <row r="1167" spans="1:10" ht="17.100000000000001" customHeight="1">
      <c r="A1167" s="479"/>
      <c r="B1167" s="215" t="str">
        <f t="shared" ref="B1167" si="502">B1144</f>
        <v>9구간</v>
      </c>
      <c r="C1167" s="1295">
        <f>NOx보정계수!S29</f>
        <v>0.64200000000000002</v>
      </c>
      <c r="D1167" s="1296">
        <f>NOx보정계수!T29</f>
        <v>0.77400000000000002</v>
      </c>
      <c r="E1167" s="1296">
        <f>NOx보정계수!U29</f>
        <v>0.91100000000000003</v>
      </c>
      <c r="F1167" s="1296">
        <f>NOx보정계수!V29</f>
        <v>1</v>
      </c>
      <c r="G1167" s="1296">
        <f>NOx보정계수!W29</f>
        <v>1.0840000000000001</v>
      </c>
      <c r="H1167" s="1296">
        <f>NOx보정계수!X29</f>
        <v>1.258</v>
      </c>
      <c r="I1167" s="1296">
        <f>NOx보정계수!Y29</f>
        <v>1.5209999999999999</v>
      </c>
      <c r="J1167" s="1297">
        <f>NOx보정계수!Z29</f>
        <v>1.7889999999999999</v>
      </c>
    </row>
    <row r="1168" spans="1:10" ht="17.100000000000001" customHeight="1">
      <c r="A1168" s="479"/>
      <c r="B1168" s="215" t="str">
        <f t="shared" ref="B1168" si="503">B1145</f>
        <v>10구간</v>
      </c>
      <c r="C1168" s="1295">
        <f>NOx보정계수!S30</f>
        <v>0.64200000000000002</v>
      </c>
      <c r="D1168" s="1296">
        <f>NOx보정계수!T30</f>
        <v>0.77400000000000002</v>
      </c>
      <c r="E1168" s="1296">
        <f>NOx보정계수!U30</f>
        <v>0.91100000000000003</v>
      </c>
      <c r="F1168" s="1296">
        <f>NOx보정계수!V30</f>
        <v>1</v>
      </c>
      <c r="G1168" s="1296">
        <f>NOx보정계수!W30</f>
        <v>1.0840000000000001</v>
      </c>
      <c r="H1168" s="1296">
        <f>NOx보정계수!X30</f>
        <v>1.258</v>
      </c>
      <c r="I1168" s="1296">
        <f>NOx보정계수!Y30</f>
        <v>1.5209999999999999</v>
      </c>
      <c r="J1168" s="1297">
        <f>NOx보정계수!Z30</f>
        <v>1.7889999999999999</v>
      </c>
    </row>
    <row r="1169" spans="1:10" ht="17.100000000000001" customHeight="1">
      <c r="A1169" s="1251" t="str">
        <f t="shared" ref="A1169:B1169" si="504">A1146</f>
        <v>마산</v>
      </c>
      <c r="B1169" s="1318" t="str">
        <f t="shared" si="504"/>
        <v>1구간</v>
      </c>
      <c r="C1169" s="1299">
        <f>NOx보정계수!AD21</f>
        <v>0.74993200000000004</v>
      </c>
      <c r="D1169" s="1300">
        <f>NOx보정계수!AE21</f>
        <v>0.947048</v>
      </c>
      <c r="E1169" s="1300">
        <f>NOx보정계수!AF21</f>
        <v>1.150056</v>
      </c>
      <c r="F1169" s="1300">
        <f>NOx보정계수!AG21</f>
        <v>1.3193360000000001</v>
      </c>
      <c r="G1169" s="1300">
        <f>NOx보정계수!AH21</f>
        <v>1.488076</v>
      </c>
      <c r="H1169" s="1300">
        <f>NOx보정계수!AI21</f>
        <v>1.78874</v>
      </c>
      <c r="I1169" s="1301">
        <f>NOx보정계수!AJ21</f>
        <v>2.211408</v>
      </c>
      <c r="J1169" s="1302">
        <f>NOx보정계수!AK21</f>
        <v>2.85494</v>
      </c>
    </row>
    <row r="1170" spans="1:10" ht="17.100000000000001" customHeight="1">
      <c r="A1170" s="479" t="str">
        <f t="shared" ref="A1170:B1170" si="505">A1147</f>
        <v>방향</v>
      </c>
      <c r="B1170" s="215" t="str">
        <f t="shared" si="505"/>
        <v>2구간</v>
      </c>
      <c r="C1170" s="1292">
        <f>NOx보정계수!AD22</f>
        <v>0.64200000000000002</v>
      </c>
      <c r="D1170" s="1293">
        <f>NOx보정계수!AE22</f>
        <v>0.77400000000000002</v>
      </c>
      <c r="E1170" s="1293">
        <f>NOx보정계수!AF22</f>
        <v>0.91100000000000003</v>
      </c>
      <c r="F1170" s="1293">
        <f>NOx보정계수!AG22</f>
        <v>1</v>
      </c>
      <c r="G1170" s="1293">
        <f>NOx보정계수!AH22</f>
        <v>1.0840000000000001</v>
      </c>
      <c r="H1170" s="1293">
        <f>NOx보정계수!AI22</f>
        <v>1.258</v>
      </c>
      <c r="I1170" s="1303">
        <f>NOx보정계수!AJ22</f>
        <v>1.5209999999999999</v>
      </c>
      <c r="J1170" s="1294">
        <f>NOx보정계수!AK22</f>
        <v>1.7889999999999999</v>
      </c>
    </row>
    <row r="1171" spans="1:10" ht="17.100000000000001" customHeight="1">
      <c r="A1171" s="479"/>
      <c r="B1171" s="442" t="str">
        <f t="shared" ref="B1171" si="506">B1148</f>
        <v>3구간</v>
      </c>
      <c r="C1171" s="1292">
        <f>NOx보정계수!AD23</f>
        <v>0.64200000000000002</v>
      </c>
      <c r="D1171" s="1293">
        <f>NOx보정계수!AE23</f>
        <v>0.77400000000000002</v>
      </c>
      <c r="E1171" s="1293">
        <f>NOx보정계수!AF23</f>
        <v>0.91100000000000003</v>
      </c>
      <c r="F1171" s="1293">
        <f>NOx보정계수!AG23</f>
        <v>1</v>
      </c>
      <c r="G1171" s="1293">
        <f>NOx보정계수!AH23</f>
        <v>1.0840000000000001</v>
      </c>
      <c r="H1171" s="1303">
        <f>NOx보정계수!AI23</f>
        <v>1.258</v>
      </c>
      <c r="I1171" s="1303">
        <f>NOx보정계수!AJ23</f>
        <v>1.5209999999999999</v>
      </c>
      <c r="J1171" s="1304">
        <f>NOx보정계수!AK23</f>
        <v>1.7889999999999999</v>
      </c>
    </row>
    <row r="1172" spans="1:10" ht="17.100000000000001" customHeight="1">
      <c r="A1172" s="479"/>
      <c r="B1172" s="215" t="str">
        <f t="shared" ref="B1172" si="507">B1149</f>
        <v>4구간</v>
      </c>
      <c r="C1172" s="1292">
        <f>NOx보정계수!AD24</f>
        <v>0.64200000000000002</v>
      </c>
      <c r="D1172" s="1293">
        <f>NOx보정계수!AE24</f>
        <v>0.77400000000000002</v>
      </c>
      <c r="E1172" s="1293">
        <f>NOx보정계수!AF24</f>
        <v>0.91100000000000003</v>
      </c>
      <c r="F1172" s="1293">
        <f>NOx보정계수!AG24</f>
        <v>1</v>
      </c>
      <c r="G1172" s="1293">
        <f>NOx보정계수!AH24</f>
        <v>1.0840000000000001</v>
      </c>
      <c r="H1172" s="1293">
        <f>NOx보정계수!AI24</f>
        <v>1.258</v>
      </c>
      <c r="I1172" s="1303">
        <f>NOx보정계수!AJ24</f>
        <v>1.5209999999999999</v>
      </c>
      <c r="J1172" s="1294">
        <f>NOx보정계수!AK24</f>
        <v>1.7889999999999999</v>
      </c>
    </row>
    <row r="1173" spans="1:10" ht="17.100000000000001" customHeight="1">
      <c r="A1173" s="479"/>
      <c r="B1173" s="215" t="str">
        <f t="shared" ref="B1173" si="508">B1150</f>
        <v>5구간</v>
      </c>
      <c r="C1173" s="1292">
        <f>NOx보정계수!AD25</f>
        <v>0.64200000000000002</v>
      </c>
      <c r="D1173" s="1293">
        <f>NOx보정계수!AE25</f>
        <v>0.77400000000000002</v>
      </c>
      <c r="E1173" s="1293">
        <f>NOx보정계수!AF25</f>
        <v>0.91100000000000003</v>
      </c>
      <c r="F1173" s="1293">
        <f>NOx보정계수!AG25</f>
        <v>1</v>
      </c>
      <c r="G1173" s="1293">
        <f>NOx보정계수!AH25</f>
        <v>1.0840000000000001</v>
      </c>
      <c r="H1173" s="1293">
        <f>NOx보정계수!AI25</f>
        <v>1.258</v>
      </c>
      <c r="I1173" s="1303">
        <f>NOx보정계수!AJ25</f>
        <v>1.5209999999999999</v>
      </c>
      <c r="J1173" s="1294">
        <f>NOx보정계수!AK25</f>
        <v>1.7889999999999999</v>
      </c>
    </row>
    <row r="1174" spans="1:10" ht="17.100000000000001" customHeight="1">
      <c r="A1174" s="479"/>
      <c r="B1174" s="442" t="str">
        <f t="shared" ref="B1174" si="509">B1151</f>
        <v>6구간</v>
      </c>
      <c r="C1174" s="1292">
        <f>NOx보정계수!AD26</f>
        <v>0.64200000000000002</v>
      </c>
      <c r="D1174" s="1293">
        <f>NOx보정계수!AE26</f>
        <v>0.77400000000000002</v>
      </c>
      <c r="E1174" s="1293">
        <f>NOx보정계수!AF26</f>
        <v>0.91100000000000003</v>
      </c>
      <c r="F1174" s="1293">
        <f>NOx보정계수!AG26</f>
        <v>1</v>
      </c>
      <c r="G1174" s="1293">
        <f>NOx보정계수!AH26</f>
        <v>1.0840000000000001</v>
      </c>
      <c r="H1174" s="1293">
        <f>NOx보정계수!AI26</f>
        <v>1.258</v>
      </c>
      <c r="I1174" s="1303">
        <f>NOx보정계수!AJ26</f>
        <v>1.5209999999999999</v>
      </c>
      <c r="J1174" s="1294">
        <f>NOx보정계수!AK26</f>
        <v>1.7889999999999999</v>
      </c>
    </row>
    <row r="1175" spans="1:10" ht="17.100000000000001" customHeight="1">
      <c r="A1175" s="479"/>
      <c r="B1175" s="215" t="str">
        <f t="shared" ref="B1175" si="510">B1152</f>
        <v>7구간</v>
      </c>
      <c r="C1175" s="1292">
        <f>NOx보정계수!AD27</f>
        <v>0.64200000000000002</v>
      </c>
      <c r="D1175" s="1293">
        <f>NOx보정계수!AE27</f>
        <v>0.77400000000000002</v>
      </c>
      <c r="E1175" s="1293">
        <f>NOx보정계수!AF27</f>
        <v>0.91100000000000003</v>
      </c>
      <c r="F1175" s="1293">
        <f>NOx보정계수!AG27</f>
        <v>1</v>
      </c>
      <c r="G1175" s="1293">
        <f>NOx보정계수!AH27</f>
        <v>1.0840000000000001</v>
      </c>
      <c r="H1175" s="1293">
        <f>NOx보정계수!AI27</f>
        <v>1.258</v>
      </c>
      <c r="I1175" s="1303">
        <f>NOx보정계수!AJ27</f>
        <v>1.5209999999999999</v>
      </c>
      <c r="J1175" s="1294">
        <f>NOx보정계수!AK27</f>
        <v>1.7889999999999999</v>
      </c>
    </row>
    <row r="1176" spans="1:10" ht="17.100000000000001" customHeight="1">
      <c r="A1176" s="479"/>
      <c r="B1176" s="442" t="str">
        <f t="shared" ref="B1176" si="511">B1153</f>
        <v>8구간</v>
      </c>
      <c r="C1176" s="1292">
        <f>NOx보정계수!AD28</f>
        <v>0.64200000000000002</v>
      </c>
      <c r="D1176" s="1293">
        <f>NOx보정계수!AE28</f>
        <v>0.77400000000000002</v>
      </c>
      <c r="E1176" s="1293">
        <f>NOx보정계수!AF28</f>
        <v>0.91100000000000003</v>
      </c>
      <c r="F1176" s="1293">
        <f>NOx보정계수!AG28</f>
        <v>1</v>
      </c>
      <c r="G1176" s="1293">
        <f>NOx보정계수!AH28</f>
        <v>1.0840000000000001</v>
      </c>
      <c r="H1176" s="1303">
        <f>NOx보정계수!AI28</f>
        <v>1.258</v>
      </c>
      <c r="I1176" s="1303">
        <f>NOx보정계수!AJ28</f>
        <v>1.5209999999999999</v>
      </c>
      <c r="J1176" s="1304">
        <f>NOx보정계수!AK28</f>
        <v>1.7889999999999999</v>
      </c>
    </row>
    <row r="1177" spans="1:10" ht="17.100000000000001" customHeight="1">
      <c r="A1177" s="479"/>
      <c r="B1177" s="215" t="str">
        <f t="shared" ref="B1177" si="512">B1154</f>
        <v>9구간</v>
      </c>
      <c r="C1177" s="1292">
        <f>NOx보정계수!AD29</f>
        <v>0.64200000000000002</v>
      </c>
      <c r="D1177" s="1293">
        <f>NOx보정계수!AE29</f>
        <v>0.77400000000000002</v>
      </c>
      <c r="E1177" s="1293">
        <f>NOx보정계수!AF29</f>
        <v>0.91100000000000003</v>
      </c>
      <c r="F1177" s="1293">
        <f>NOx보정계수!AG29</f>
        <v>1</v>
      </c>
      <c r="G1177" s="1293">
        <f>NOx보정계수!AH29</f>
        <v>1.0840000000000001</v>
      </c>
      <c r="H1177" s="1293">
        <f>NOx보정계수!AI29</f>
        <v>1.258</v>
      </c>
      <c r="I1177" s="1303">
        <f>NOx보정계수!AJ29</f>
        <v>1.5209999999999999</v>
      </c>
      <c r="J1177" s="1294">
        <f>NOx보정계수!AK29</f>
        <v>1.7889999999999999</v>
      </c>
    </row>
    <row r="1178" spans="1:10" ht="17.100000000000001" customHeight="1" thickBot="1">
      <c r="A1178" s="486"/>
      <c r="B1178" s="88" t="str">
        <f t="shared" ref="B1178" si="513">B1155</f>
        <v>10구간</v>
      </c>
      <c r="C1178" s="1305">
        <f>NOx보정계수!AD30</f>
        <v>0.64200000000000002</v>
      </c>
      <c r="D1178" s="1306">
        <f>NOx보정계수!AE30</f>
        <v>0.77400000000000002</v>
      </c>
      <c r="E1178" s="1306">
        <f>NOx보정계수!AF30</f>
        <v>0.91100000000000003</v>
      </c>
      <c r="F1178" s="1306">
        <f>NOx보정계수!AG30</f>
        <v>1</v>
      </c>
      <c r="G1178" s="1306">
        <f>NOx보정계수!AH30</f>
        <v>1.0840000000000001</v>
      </c>
      <c r="H1178" s="1306">
        <f>NOx보정계수!AI30</f>
        <v>1.258</v>
      </c>
      <c r="I1178" s="531">
        <f>NOx보정계수!AJ30</f>
        <v>1.5209999999999999</v>
      </c>
      <c r="J1178" s="532">
        <f>NOx보정계수!AK30</f>
        <v>1.7889999999999999</v>
      </c>
    </row>
    <row r="1179" spans="1:10">
      <c r="A1179" s="475"/>
      <c r="B1179" s="89"/>
      <c r="C1179" s="433"/>
      <c r="D1179" s="433"/>
      <c r="E1179" s="433"/>
      <c r="F1179" s="433"/>
      <c r="G1179" s="433"/>
      <c r="H1179" s="433"/>
      <c r="I1179" s="433"/>
      <c r="J1179" s="433"/>
    </row>
    <row r="1180" spans="1:10" ht="14.25" thickBot="1">
      <c r="A1180" s="70" t="s">
        <v>962</v>
      </c>
      <c r="B1180" s="390"/>
      <c r="C1180" s="390"/>
      <c r="D1180" s="390"/>
      <c r="E1180" s="390"/>
      <c r="F1180" s="390"/>
      <c r="G1180" s="390"/>
      <c r="H1180" s="390"/>
      <c r="I1180" s="85"/>
      <c r="J1180" s="86"/>
    </row>
    <row r="1181" spans="1:10" ht="17.100000000000001" customHeight="1">
      <c r="A1181" s="1314" t="s">
        <v>189</v>
      </c>
      <c r="B1181" s="1313"/>
      <c r="C1181" s="1312">
        <v>10</v>
      </c>
      <c r="D1181" s="467">
        <v>20</v>
      </c>
      <c r="E1181" s="467">
        <v>30</v>
      </c>
      <c r="F1181" s="467">
        <v>40</v>
      </c>
      <c r="G1181" s="467">
        <v>50</v>
      </c>
      <c r="H1181" s="467">
        <v>60</v>
      </c>
      <c r="I1181" s="467">
        <v>70</v>
      </c>
      <c r="J1181" s="468">
        <v>80</v>
      </c>
    </row>
    <row r="1182" spans="1:10" ht="17.100000000000001" customHeight="1">
      <c r="A1182" s="479" t="str">
        <f>A1159</f>
        <v>진주</v>
      </c>
      <c r="B1182" s="442" t="str">
        <f>B1159</f>
        <v>1구간</v>
      </c>
      <c r="C1182" s="1292">
        <f>NOx보정계수!S35</f>
        <v>0.57299999999999995</v>
      </c>
      <c r="D1182" s="1293">
        <f>NOx보정계수!T35</f>
        <v>0.745</v>
      </c>
      <c r="E1182" s="1293">
        <f>NOx보정계수!U35</f>
        <v>0.91700000000000004</v>
      </c>
      <c r="F1182" s="1293">
        <f>NOx보정계수!V35</f>
        <v>1</v>
      </c>
      <c r="G1182" s="1293">
        <f>NOx보정계수!W35</f>
        <v>1.089</v>
      </c>
      <c r="H1182" s="1293">
        <f>NOx보정계수!X35</f>
        <v>1.1779999999999999</v>
      </c>
      <c r="I1182" s="1293">
        <f>NOx보정계수!Y35</f>
        <v>1.885</v>
      </c>
      <c r="J1182" s="1294">
        <f>NOx보정계수!Z35</f>
        <v>2.7519999999999998</v>
      </c>
    </row>
    <row r="1183" spans="1:10" ht="17.100000000000001" customHeight="1">
      <c r="A1183" s="1315" t="str">
        <f t="shared" ref="A1183:B1191" si="514">A1160</f>
        <v>방향</v>
      </c>
      <c r="B1183" s="215" t="str">
        <f t="shared" si="514"/>
        <v>2구간</v>
      </c>
      <c r="C1183" s="1295">
        <f>NOx보정계수!S36</f>
        <v>0.57299999999999995</v>
      </c>
      <c r="D1183" s="1296">
        <f>NOx보정계수!T36</f>
        <v>0.745</v>
      </c>
      <c r="E1183" s="1296">
        <f>NOx보정계수!U36</f>
        <v>0.91700000000000004</v>
      </c>
      <c r="F1183" s="1296">
        <f>NOx보정계수!V36</f>
        <v>1</v>
      </c>
      <c r="G1183" s="1296">
        <f>NOx보정계수!W36</f>
        <v>1.089</v>
      </c>
      <c r="H1183" s="1296">
        <f>NOx보정계수!X36</f>
        <v>1.1779999999999999</v>
      </c>
      <c r="I1183" s="1296">
        <f>NOx보정계수!Y36</f>
        <v>1.885</v>
      </c>
      <c r="J1183" s="1297">
        <f>NOx보정계수!Z36</f>
        <v>2.7519999999999998</v>
      </c>
    </row>
    <row r="1184" spans="1:10" ht="17.100000000000001" customHeight="1">
      <c r="A1184" s="479"/>
      <c r="B1184" s="442" t="str">
        <f t="shared" si="514"/>
        <v>3구간</v>
      </c>
      <c r="C1184" s="1295">
        <f>NOx보정계수!S37</f>
        <v>0.57299999999999995</v>
      </c>
      <c r="D1184" s="1296">
        <f>NOx보정계수!T37</f>
        <v>0.745</v>
      </c>
      <c r="E1184" s="1296">
        <f>NOx보정계수!U37</f>
        <v>0.91700000000000004</v>
      </c>
      <c r="F1184" s="1296">
        <f>NOx보정계수!V37</f>
        <v>1</v>
      </c>
      <c r="G1184" s="1296">
        <f>NOx보정계수!W37</f>
        <v>1.089</v>
      </c>
      <c r="H1184" s="1296">
        <f>NOx보정계수!X37</f>
        <v>1.1779999999999999</v>
      </c>
      <c r="I1184" s="1296">
        <f>NOx보정계수!Y37</f>
        <v>1.885</v>
      </c>
      <c r="J1184" s="1297">
        <f>NOx보정계수!Z37</f>
        <v>2.7519999999999998</v>
      </c>
    </row>
    <row r="1185" spans="1:10" ht="17.100000000000001" customHeight="1">
      <c r="A1185" s="479"/>
      <c r="B1185" s="215" t="str">
        <f t="shared" si="514"/>
        <v>4구간</v>
      </c>
      <c r="C1185" s="1295">
        <f>NOx보정계수!S38</f>
        <v>0.57299999999999995</v>
      </c>
      <c r="D1185" s="1296">
        <f>NOx보정계수!T38</f>
        <v>0.745</v>
      </c>
      <c r="E1185" s="1296">
        <f>NOx보정계수!U38</f>
        <v>0.91700000000000004</v>
      </c>
      <c r="F1185" s="1296">
        <f>NOx보정계수!V38</f>
        <v>1</v>
      </c>
      <c r="G1185" s="1296">
        <f>NOx보정계수!W38</f>
        <v>1.089</v>
      </c>
      <c r="H1185" s="1296">
        <f>NOx보정계수!X38</f>
        <v>1.1779999999999999</v>
      </c>
      <c r="I1185" s="1296">
        <f>NOx보정계수!Y38</f>
        <v>1.885</v>
      </c>
      <c r="J1185" s="1297">
        <f>NOx보정계수!Z38</f>
        <v>2.7519999999999998</v>
      </c>
    </row>
    <row r="1186" spans="1:10" ht="17.100000000000001" customHeight="1">
      <c r="A1186" s="1315"/>
      <c r="B1186" s="215" t="str">
        <f t="shared" si="514"/>
        <v>5구간</v>
      </c>
      <c r="C1186" s="1295">
        <f>NOx보정계수!S39</f>
        <v>0.57299999999999995</v>
      </c>
      <c r="D1186" s="1296">
        <f>NOx보정계수!T39</f>
        <v>0.745</v>
      </c>
      <c r="E1186" s="1296">
        <f>NOx보정계수!U39</f>
        <v>0.91700000000000004</v>
      </c>
      <c r="F1186" s="1296">
        <f>NOx보정계수!V39</f>
        <v>1</v>
      </c>
      <c r="G1186" s="1296">
        <f>NOx보정계수!W39</f>
        <v>1.089</v>
      </c>
      <c r="H1186" s="1296">
        <f>NOx보정계수!X39</f>
        <v>1.1779999999999999</v>
      </c>
      <c r="I1186" s="1298">
        <f>NOx보정계수!Y39</f>
        <v>1.885</v>
      </c>
      <c r="J1186" s="1297">
        <f>NOx보정계수!Z39</f>
        <v>2.7519999999999998</v>
      </c>
    </row>
    <row r="1187" spans="1:10" ht="17.100000000000001" customHeight="1">
      <c r="A1187" s="479"/>
      <c r="B1187" s="442" t="str">
        <f t="shared" si="514"/>
        <v>6구간</v>
      </c>
      <c r="C1187" s="1295">
        <f>NOx보정계수!S40</f>
        <v>0.57299999999999995</v>
      </c>
      <c r="D1187" s="1296">
        <f>NOx보정계수!T40</f>
        <v>0.745</v>
      </c>
      <c r="E1187" s="1296">
        <f>NOx보정계수!U40</f>
        <v>0.91700000000000004</v>
      </c>
      <c r="F1187" s="1296">
        <f>NOx보정계수!V40</f>
        <v>1</v>
      </c>
      <c r="G1187" s="1296">
        <f>NOx보정계수!W40</f>
        <v>1.089</v>
      </c>
      <c r="H1187" s="1296">
        <f>NOx보정계수!X40</f>
        <v>1.1779999999999999</v>
      </c>
      <c r="I1187" s="1296">
        <f>NOx보정계수!Y40</f>
        <v>1.885</v>
      </c>
      <c r="J1187" s="1297">
        <f>NOx보정계수!Z40</f>
        <v>2.7519999999999998</v>
      </c>
    </row>
    <row r="1188" spans="1:10" ht="17.100000000000001" customHeight="1">
      <c r="A1188" s="1315"/>
      <c r="B1188" s="215" t="str">
        <f t="shared" si="514"/>
        <v>7구간</v>
      </c>
      <c r="C1188" s="1295">
        <f>NOx보정계수!S41</f>
        <v>0.57299999999999995</v>
      </c>
      <c r="D1188" s="1296">
        <f>NOx보정계수!T41</f>
        <v>0.745</v>
      </c>
      <c r="E1188" s="1296">
        <f>NOx보정계수!U41</f>
        <v>0.91700000000000004</v>
      </c>
      <c r="F1188" s="1296">
        <f>NOx보정계수!V41</f>
        <v>1</v>
      </c>
      <c r="G1188" s="1296">
        <f>NOx보정계수!W41</f>
        <v>1.089</v>
      </c>
      <c r="H1188" s="1296">
        <f>NOx보정계수!X41</f>
        <v>1.1779999999999999</v>
      </c>
      <c r="I1188" s="1296">
        <f>NOx보정계수!Y41</f>
        <v>1.885</v>
      </c>
      <c r="J1188" s="1297">
        <f>NOx보정계수!Z41</f>
        <v>2.7519999999999998</v>
      </c>
    </row>
    <row r="1189" spans="1:10" ht="17.100000000000001" customHeight="1">
      <c r="A1189" s="479"/>
      <c r="B1189" s="442" t="str">
        <f t="shared" si="514"/>
        <v>8구간</v>
      </c>
      <c r="C1189" s="1295">
        <f>NOx보정계수!S42</f>
        <v>0.57299999999999995</v>
      </c>
      <c r="D1189" s="1296">
        <f>NOx보정계수!T42</f>
        <v>0.745</v>
      </c>
      <c r="E1189" s="1296">
        <f>NOx보정계수!U42</f>
        <v>0.91700000000000004</v>
      </c>
      <c r="F1189" s="1296">
        <f>NOx보정계수!V42</f>
        <v>1</v>
      </c>
      <c r="G1189" s="1296">
        <f>NOx보정계수!W42</f>
        <v>1.089</v>
      </c>
      <c r="H1189" s="1296">
        <f>NOx보정계수!X42</f>
        <v>1.1779999999999999</v>
      </c>
      <c r="I1189" s="1296">
        <f>NOx보정계수!Y42</f>
        <v>1.885</v>
      </c>
      <c r="J1189" s="1297">
        <f>NOx보정계수!Z42</f>
        <v>2.7519999999999998</v>
      </c>
    </row>
    <row r="1190" spans="1:10" ht="17.100000000000001" customHeight="1">
      <c r="A1190" s="479"/>
      <c r="B1190" s="215" t="str">
        <f t="shared" si="514"/>
        <v>9구간</v>
      </c>
      <c r="C1190" s="1295">
        <f>NOx보정계수!S43</f>
        <v>0.57299999999999995</v>
      </c>
      <c r="D1190" s="1296">
        <f>NOx보정계수!T43</f>
        <v>0.745</v>
      </c>
      <c r="E1190" s="1296">
        <f>NOx보정계수!U43</f>
        <v>0.91700000000000004</v>
      </c>
      <c r="F1190" s="1296">
        <f>NOx보정계수!V43</f>
        <v>1</v>
      </c>
      <c r="G1190" s="1296">
        <f>NOx보정계수!W43</f>
        <v>1.089</v>
      </c>
      <c r="H1190" s="1296">
        <f>NOx보정계수!X43</f>
        <v>1.1779999999999999</v>
      </c>
      <c r="I1190" s="1296">
        <f>NOx보정계수!Y43</f>
        <v>1.885</v>
      </c>
      <c r="J1190" s="1297">
        <f>NOx보정계수!Z43</f>
        <v>2.7519999999999998</v>
      </c>
    </row>
    <row r="1191" spans="1:10" ht="17.100000000000001" customHeight="1">
      <c r="A1191" s="479"/>
      <c r="B1191" s="215" t="str">
        <f t="shared" si="514"/>
        <v>10구간</v>
      </c>
      <c r="C1191" s="1295">
        <f>NOx보정계수!S44</f>
        <v>0.57299999999999995</v>
      </c>
      <c r="D1191" s="1296">
        <f>NOx보정계수!T44</f>
        <v>0.745</v>
      </c>
      <c r="E1191" s="1296">
        <f>NOx보정계수!U44</f>
        <v>0.91700000000000004</v>
      </c>
      <c r="F1191" s="1296">
        <f>NOx보정계수!V44</f>
        <v>1</v>
      </c>
      <c r="G1191" s="1296">
        <f>NOx보정계수!W44</f>
        <v>1.089</v>
      </c>
      <c r="H1191" s="1296">
        <f>NOx보정계수!X44</f>
        <v>1.1779999999999999</v>
      </c>
      <c r="I1191" s="1296">
        <f>NOx보정계수!Y44</f>
        <v>1.885</v>
      </c>
      <c r="J1191" s="1297">
        <f>NOx보정계수!Z44</f>
        <v>2.7519999999999998</v>
      </c>
    </row>
    <row r="1192" spans="1:10" ht="17.100000000000001" customHeight="1">
      <c r="A1192" s="1251" t="str">
        <f t="shared" ref="A1192:B1192" si="515">A1169</f>
        <v>마산</v>
      </c>
      <c r="B1192" s="1318" t="str">
        <f t="shared" si="515"/>
        <v>1구간</v>
      </c>
      <c r="C1192" s="1299">
        <f>NOx보정계수!AD35</f>
        <v>0.70412399999999997</v>
      </c>
      <c r="D1192" s="1300">
        <f>NOx보정계수!AE35</f>
        <v>0.98405599999999993</v>
      </c>
      <c r="E1192" s="1300">
        <f>NOx보정계수!AF35</f>
        <v>1.257744</v>
      </c>
      <c r="F1192" s="1300">
        <f>NOx보정계수!AG35</f>
        <v>1.460272</v>
      </c>
      <c r="G1192" s="1300">
        <f>NOx보정계수!AH35</f>
        <v>1.6625559999999999</v>
      </c>
      <c r="H1192" s="1300">
        <f>NOx보정계수!AI35</f>
        <v>2.2805120000000003</v>
      </c>
      <c r="I1192" s="1301">
        <f>NOx보정계수!AJ35</f>
        <v>2.9652120000000002</v>
      </c>
      <c r="J1192" s="1302">
        <f>NOx보정계수!AK35</f>
        <v>4.5921960000000004</v>
      </c>
    </row>
    <row r="1193" spans="1:10" ht="17.100000000000001" customHeight="1">
      <c r="A1193" s="479" t="str">
        <f t="shared" ref="A1193:B1201" si="516">A1170</f>
        <v>방향</v>
      </c>
      <c r="B1193" s="215" t="str">
        <f t="shared" si="516"/>
        <v>2구간</v>
      </c>
      <c r="C1193" s="1292">
        <f>NOx보정계수!AD36</f>
        <v>0.57299999999999995</v>
      </c>
      <c r="D1193" s="1293">
        <f>NOx보정계수!AE36</f>
        <v>0.745</v>
      </c>
      <c r="E1193" s="1293">
        <f>NOx보정계수!AF36</f>
        <v>0.91700000000000004</v>
      </c>
      <c r="F1193" s="1293">
        <f>NOx보정계수!AG36</f>
        <v>1</v>
      </c>
      <c r="G1193" s="1293">
        <f>NOx보정계수!AH36</f>
        <v>1.089</v>
      </c>
      <c r="H1193" s="1293">
        <f>NOx보정계수!AI36</f>
        <v>1.1779999999999999</v>
      </c>
      <c r="I1193" s="1303">
        <f>NOx보정계수!AJ36</f>
        <v>1.885</v>
      </c>
      <c r="J1193" s="1294">
        <f>NOx보정계수!AK36</f>
        <v>2.7519999999999998</v>
      </c>
    </row>
    <row r="1194" spans="1:10" ht="17.100000000000001" customHeight="1">
      <c r="A1194" s="479"/>
      <c r="B1194" s="442" t="str">
        <f t="shared" si="516"/>
        <v>3구간</v>
      </c>
      <c r="C1194" s="1292">
        <f>NOx보정계수!AD37</f>
        <v>0.57299999999999995</v>
      </c>
      <c r="D1194" s="1293">
        <f>NOx보정계수!AE37</f>
        <v>0.745</v>
      </c>
      <c r="E1194" s="1293">
        <f>NOx보정계수!AF37</f>
        <v>0.91700000000000004</v>
      </c>
      <c r="F1194" s="1293">
        <f>NOx보정계수!AG37</f>
        <v>1</v>
      </c>
      <c r="G1194" s="1293">
        <f>NOx보정계수!AH37</f>
        <v>1.089</v>
      </c>
      <c r="H1194" s="1303">
        <f>NOx보정계수!AI37</f>
        <v>1.1779999999999999</v>
      </c>
      <c r="I1194" s="1303">
        <f>NOx보정계수!AJ37</f>
        <v>1.885</v>
      </c>
      <c r="J1194" s="1304">
        <f>NOx보정계수!AK37</f>
        <v>2.7519999999999998</v>
      </c>
    </row>
    <row r="1195" spans="1:10" ht="17.100000000000001" customHeight="1">
      <c r="A1195" s="479"/>
      <c r="B1195" s="215" t="str">
        <f t="shared" si="516"/>
        <v>4구간</v>
      </c>
      <c r="C1195" s="1292">
        <f>NOx보정계수!AD38</f>
        <v>0.57299999999999995</v>
      </c>
      <c r="D1195" s="1293">
        <f>NOx보정계수!AE38</f>
        <v>0.745</v>
      </c>
      <c r="E1195" s="1293">
        <f>NOx보정계수!AF38</f>
        <v>0.91700000000000004</v>
      </c>
      <c r="F1195" s="1293">
        <f>NOx보정계수!AG38</f>
        <v>1</v>
      </c>
      <c r="G1195" s="1293">
        <f>NOx보정계수!AH38</f>
        <v>1.089</v>
      </c>
      <c r="H1195" s="1293">
        <f>NOx보정계수!AI38</f>
        <v>1.1779999999999999</v>
      </c>
      <c r="I1195" s="1303">
        <f>NOx보정계수!AJ38</f>
        <v>1.885</v>
      </c>
      <c r="J1195" s="1294">
        <f>NOx보정계수!AK38</f>
        <v>2.7519999999999998</v>
      </c>
    </row>
    <row r="1196" spans="1:10" ht="17.100000000000001" customHeight="1">
      <c r="A1196" s="479"/>
      <c r="B1196" s="215" t="str">
        <f t="shared" si="516"/>
        <v>5구간</v>
      </c>
      <c r="C1196" s="1292">
        <f>NOx보정계수!AD39</f>
        <v>0.57299999999999995</v>
      </c>
      <c r="D1196" s="1293">
        <f>NOx보정계수!AE39</f>
        <v>0.745</v>
      </c>
      <c r="E1196" s="1293">
        <f>NOx보정계수!AF39</f>
        <v>0.91700000000000004</v>
      </c>
      <c r="F1196" s="1293">
        <f>NOx보정계수!AG39</f>
        <v>1</v>
      </c>
      <c r="G1196" s="1293">
        <f>NOx보정계수!AH39</f>
        <v>1.089</v>
      </c>
      <c r="H1196" s="1293">
        <f>NOx보정계수!AI39</f>
        <v>1.1779999999999999</v>
      </c>
      <c r="I1196" s="1303">
        <f>NOx보정계수!AJ39</f>
        <v>1.885</v>
      </c>
      <c r="J1196" s="1294">
        <f>NOx보정계수!AK39</f>
        <v>2.7519999999999998</v>
      </c>
    </row>
    <row r="1197" spans="1:10" ht="17.100000000000001" customHeight="1">
      <c r="A1197" s="479"/>
      <c r="B1197" s="442" t="str">
        <f t="shared" si="516"/>
        <v>6구간</v>
      </c>
      <c r="C1197" s="1292">
        <f>NOx보정계수!AD40</f>
        <v>0.57299999999999995</v>
      </c>
      <c r="D1197" s="1293">
        <f>NOx보정계수!AE40</f>
        <v>0.745</v>
      </c>
      <c r="E1197" s="1293">
        <f>NOx보정계수!AF40</f>
        <v>0.91700000000000004</v>
      </c>
      <c r="F1197" s="1293">
        <f>NOx보정계수!AG40</f>
        <v>1</v>
      </c>
      <c r="G1197" s="1293">
        <f>NOx보정계수!AH40</f>
        <v>1.089</v>
      </c>
      <c r="H1197" s="1293">
        <f>NOx보정계수!AI40</f>
        <v>1.1779999999999999</v>
      </c>
      <c r="I1197" s="1303">
        <f>NOx보정계수!AJ40</f>
        <v>1.885</v>
      </c>
      <c r="J1197" s="1294">
        <f>NOx보정계수!AK40</f>
        <v>2.7519999999999998</v>
      </c>
    </row>
    <row r="1198" spans="1:10" ht="17.100000000000001" customHeight="1">
      <c r="A1198" s="479"/>
      <c r="B1198" s="215" t="str">
        <f t="shared" si="516"/>
        <v>7구간</v>
      </c>
      <c r="C1198" s="1292">
        <f>NOx보정계수!AD41</f>
        <v>0.57299999999999995</v>
      </c>
      <c r="D1198" s="1293">
        <f>NOx보정계수!AE41</f>
        <v>0.745</v>
      </c>
      <c r="E1198" s="1293">
        <f>NOx보정계수!AF41</f>
        <v>0.91700000000000004</v>
      </c>
      <c r="F1198" s="1293">
        <f>NOx보정계수!AG41</f>
        <v>1</v>
      </c>
      <c r="G1198" s="1293">
        <f>NOx보정계수!AH41</f>
        <v>1.089</v>
      </c>
      <c r="H1198" s="1293">
        <f>NOx보정계수!AI41</f>
        <v>1.1779999999999999</v>
      </c>
      <c r="I1198" s="1303">
        <f>NOx보정계수!AJ41</f>
        <v>1.885</v>
      </c>
      <c r="J1198" s="1294">
        <f>NOx보정계수!AK41</f>
        <v>2.7519999999999998</v>
      </c>
    </row>
    <row r="1199" spans="1:10" ht="17.100000000000001" customHeight="1">
      <c r="A1199" s="479"/>
      <c r="B1199" s="442" t="str">
        <f t="shared" si="516"/>
        <v>8구간</v>
      </c>
      <c r="C1199" s="1292">
        <f>NOx보정계수!AD42</f>
        <v>0.57299999999999995</v>
      </c>
      <c r="D1199" s="1293">
        <f>NOx보정계수!AE42</f>
        <v>0.745</v>
      </c>
      <c r="E1199" s="1293">
        <f>NOx보정계수!AF42</f>
        <v>0.91700000000000004</v>
      </c>
      <c r="F1199" s="1293">
        <f>NOx보정계수!AG42</f>
        <v>1</v>
      </c>
      <c r="G1199" s="1293">
        <f>NOx보정계수!AH42</f>
        <v>1.089</v>
      </c>
      <c r="H1199" s="1303">
        <f>NOx보정계수!AI42</f>
        <v>1.1779999999999999</v>
      </c>
      <c r="I1199" s="1303">
        <f>NOx보정계수!AJ42</f>
        <v>1.885</v>
      </c>
      <c r="J1199" s="1304">
        <f>NOx보정계수!AK42</f>
        <v>2.7519999999999998</v>
      </c>
    </row>
    <row r="1200" spans="1:10" ht="17.100000000000001" customHeight="1">
      <c r="A1200" s="479"/>
      <c r="B1200" s="215" t="str">
        <f t="shared" si="516"/>
        <v>9구간</v>
      </c>
      <c r="C1200" s="1292">
        <f>NOx보정계수!AD43</f>
        <v>0.57299999999999995</v>
      </c>
      <c r="D1200" s="1293">
        <f>NOx보정계수!AE43</f>
        <v>0.745</v>
      </c>
      <c r="E1200" s="1293">
        <f>NOx보정계수!AF43</f>
        <v>0.91700000000000004</v>
      </c>
      <c r="F1200" s="1293">
        <f>NOx보정계수!AG43</f>
        <v>1</v>
      </c>
      <c r="G1200" s="1293">
        <f>NOx보정계수!AH43</f>
        <v>1.089</v>
      </c>
      <c r="H1200" s="1293">
        <f>NOx보정계수!AI43</f>
        <v>1.1779999999999999</v>
      </c>
      <c r="I1200" s="1303">
        <f>NOx보정계수!AJ43</f>
        <v>1.885</v>
      </c>
      <c r="J1200" s="1294">
        <f>NOx보정계수!AK43</f>
        <v>2.7519999999999998</v>
      </c>
    </row>
    <row r="1201" spans="1:10" ht="17.100000000000001" customHeight="1" thickBot="1">
      <c r="A1201" s="486"/>
      <c r="B1201" s="88" t="str">
        <f t="shared" si="516"/>
        <v>10구간</v>
      </c>
      <c r="C1201" s="1305">
        <f>NOx보정계수!AD44</f>
        <v>0.57299999999999995</v>
      </c>
      <c r="D1201" s="1306">
        <f>NOx보정계수!AE44</f>
        <v>0.745</v>
      </c>
      <c r="E1201" s="1306">
        <f>NOx보정계수!AF44</f>
        <v>0.91700000000000004</v>
      </c>
      <c r="F1201" s="1306">
        <f>NOx보정계수!AG44</f>
        <v>1</v>
      </c>
      <c r="G1201" s="1306">
        <f>NOx보정계수!AH44</f>
        <v>1.089</v>
      </c>
      <c r="H1201" s="1306">
        <f>NOx보정계수!AI44</f>
        <v>1.1779999999999999</v>
      </c>
      <c r="I1201" s="531">
        <f>NOx보정계수!AJ44</f>
        <v>1.885</v>
      </c>
      <c r="J1201" s="532">
        <f>NOx보정계수!AK44</f>
        <v>2.7519999999999998</v>
      </c>
    </row>
    <row r="1202" spans="1:10">
      <c r="A1202" s="475"/>
      <c r="B1202" s="89"/>
      <c r="C1202" s="433"/>
      <c r="D1202" s="433"/>
      <c r="E1202" s="433"/>
      <c r="F1202" s="433"/>
      <c r="G1202" s="433"/>
      <c r="H1202" s="433"/>
      <c r="I1202" s="433"/>
      <c r="J1202" s="433"/>
    </row>
    <row r="1203" spans="1:10" ht="14.25" thickBot="1">
      <c r="A1203" s="70" t="s">
        <v>963</v>
      </c>
      <c r="B1203" s="390"/>
      <c r="C1203" s="390"/>
      <c r="D1203" s="390"/>
      <c r="E1203" s="390"/>
      <c r="F1203" s="390"/>
      <c r="G1203" s="390"/>
      <c r="H1203" s="390"/>
      <c r="I1203" s="85"/>
      <c r="J1203" s="86"/>
    </row>
    <row r="1204" spans="1:10" ht="17.100000000000001" customHeight="1">
      <c r="A1204" s="1314" t="s">
        <v>189</v>
      </c>
      <c r="B1204" s="1313"/>
      <c r="C1204" s="1312">
        <v>10</v>
      </c>
      <c r="D1204" s="467">
        <v>20</v>
      </c>
      <c r="E1204" s="467">
        <v>30</v>
      </c>
      <c r="F1204" s="467">
        <v>40</v>
      </c>
      <c r="G1204" s="467">
        <v>50</v>
      </c>
      <c r="H1204" s="467">
        <v>60</v>
      </c>
      <c r="I1204" s="467">
        <v>70</v>
      </c>
      <c r="J1204" s="468">
        <v>80</v>
      </c>
    </row>
    <row r="1205" spans="1:10" ht="17.100000000000001" customHeight="1">
      <c r="A1205" s="479" t="str">
        <f>A1182</f>
        <v>진주</v>
      </c>
      <c r="B1205" s="442" t="str">
        <f>B1182</f>
        <v>1구간</v>
      </c>
      <c r="C1205" s="1292">
        <f>NOx보정계수!S49</f>
        <v>0.82099999999999995</v>
      </c>
      <c r="D1205" s="1293">
        <f>NOx보정계수!T49</f>
        <v>0.84199999999999997</v>
      </c>
      <c r="E1205" s="1293">
        <f>NOx보정계수!U49</f>
        <v>0.88</v>
      </c>
      <c r="F1205" s="1293">
        <f>NOx보정계수!V49</f>
        <v>1</v>
      </c>
      <c r="G1205" s="1293">
        <f>NOx보정계수!W49</f>
        <v>1.0620000000000001</v>
      </c>
      <c r="H1205" s="1293">
        <f>NOx보정계수!X49</f>
        <v>1.167</v>
      </c>
      <c r="I1205" s="1293">
        <f>NOx보정계수!Y49</f>
        <v>1.2729999999999999</v>
      </c>
      <c r="J1205" s="1294">
        <f>NOx보정계수!Z49</f>
        <v>1.3779999999999999</v>
      </c>
    </row>
    <row r="1206" spans="1:10" ht="17.100000000000001" customHeight="1">
      <c r="A1206" s="1315" t="str">
        <f t="shared" ref="A1206:B1206" si="517">A1183</f>
        <v>방향</v>
      </c>
      <c r="B1206" s="215" t="str">
        <f t="shared" si="517"/>
        <v>2구간</v>
      </c>
      <c r="C1206" s="1295">
        <f>NOx보정계수!S50</f>
        <v>0.82099999999999995</v>
      </c>
      <c r="D1206" s="1296">
        <f>NOx보정계수!T50</f>
        <v>0.84199999999999997</v>
      </c>
      <c r="E1206" s="1296">
        <f>NOx보정계수!U50</f>
        <v>0.88</v>
      </c>
      <c r="F1206" s="1296">
        <f>NOx보정계수!V50</f>
        <v>1</v>
      </c>
      <c r="G1206" s="1296">
        <f>NOx보정계수!W50</f>
        <v>1.0620000000000001</v>
      </c>
      <c r="H1206" s="1296">
        <f>NOx보정계수!X50</f>
        <v>1.167</v>
      </c>
      <c r="I1206" s="1296">
        <f>NOx보정계수!Y50</f>
        <v>1.2729999999999999</v>
      </c>
      <c r="J1206" s="1297">
        <f>NOx보정계수!Z50</f>
        <v>1.3779999999999999</v>
      </c>
    </row>
    <row r="1207" spans="1:10" ht="17.100000000000001" customHeight="1">
      <c r="A1207" s="479"/>
      <c r="B1207" s="442" t="str">
        <f t="shared" ref="B1207" si="518">B1184</f>
        <v>3구간</v>
      </c>
      <c r="C1207" s="1295">
        <f>NOx보정계수!S51</f>
        <v>0.82099999999999995</v>
      </c>
      <c r="D1207" s="1296">
        <f>NOx보정계수!T51</f>
        <v>0.84199999999999997</v>
      </c>
      <c r="E1207" s="1296">
        <f>NOx보정계수!U51</f>
        <v>0.88</v>
      </c>
      <c r="F1207" s="1296">
        <f>NOx보정계수!V51</f>
        <v>1</v>
      </c>
      <c r="G1207" s="1296">
        <f>NOx보정계수!W51</f>
        <v>1.0620000000000001</v>
      </c>
      <c r="H1207" s="1296">
        <f>NOx보정계수!X51</f>
        <v>1.167</v>
      </c>
      <c r="I1207" s="1296">
        <f>NOx보정계수!Y51</f>
        <v>1.2729999999999999</v>
      </c>
      <c r="J1207" s="1297">
        <f>NOx보정계수!Z51</f>
        <v>1.3779999999999999</v>
      </c>
    </row>
    <row r="1208" spans="1:10" ht="17.100000000000001" customHeight="1">
      <c r="A1208" s="479"/>
      <c r="B1208" s="215" t="str">
        <f t="shared" ref="B1208" si="519">B1185</f>
        <v>4구간</v>
      </c>
      <c r="C1208" s="1295">
        <f>NOx보정계수!S52</f>
        <v>0.82099999999999995</v>
      </c>
      <c r="D1208" s="1296">
        <f>NOx보정계수!T52</f>
        <v>0.84199999999999997</v>
      </c>
      <c r="E1208" s="1296">
        <f>NOx보정계수!U52</f>
        <v>0.88</v>
      </c>
      <c r="F1208" s="1296">
        <f>NOx보정계수!V52</f>
        <v>1</v>
      </c>
      <c r="G1208" s="1296">
        <f>NOx보정계수!W52</f>
        <v>1.0620000000000001</v>
      </c>
      <c r="H1208" s="1296">
        <f>NOx보정계수!X52</f>
        <v>1.167</v>
      </c>
      <c r="I1208" s="1296">
        <f>NOx보정계수!Y52</f>
        <v>1.2729999999999999</v>
      </c>
      <c r="J1208" s="1297">
        <f>NOx보정계수!Z52</f>
        <v>1.3779999999999999</v>
      </c>
    </row>
    <row r="1209" spans="1:10" ht="17.100000000000001" customHeight="1">
      <c r="A1209" s="1315"/>
      <c r="B1209" s="215" t="str">
        <f t="shared" ref="B1209" si="520">B1186</f>
        <v>5구간</v>
      </c>
      <c r="C1209" s="1295">
        <f>NOx보정계수!S53</f>
        <v>0.82099999999999995</v>
      </c>
      <c r="D1209" s="1296">
        <f>NOx보정계수!T53</f>
        <v>0.84199999999999997</v>
      </c>
      <c r="E1209" s="1296">
        <f>NOx보정계수!U53</f>
        <v>0.88</v>
      </c>
      <c r="F1209" s="1296">
        <f>NOx보정계수!V53</f>
        <v>1</v>
      </c>
      <c r="G1209" s="1296">
        <f>NOx보정계수!W53</f>
        <v>1.0620000000000001</v>
      </c>
      <c r="H1209" s="1296">
        <f>NOx보정계수!X53</f>
        <v>1.167</v>
      </c>
      <c r="I1209" s="1298">
        <f>NOx보정계수!Y53</f>
        <v>1.2729999999999999</v>
      </c>
      <c r="J1209" s="1297">
        <f>NOx보정계수!Z53</f>
        <v>1.3779999999999999</v>
      </c>
    </row>
    <row r="1210" spans="1:10" ht="17.100000000000001" customHeight="1">
      <c r="A1210" s="479"/>
      <c r="B1210" s="442" t="str">
        <f t="shared" ref="B1210" si="521">B1187</f>
        <v>6구간</v>
      </c>
      <c r="C1210" s="1295">
        <f>NOx보정계수!S54</f>
        <v>0.82099999999999995</v>
      </c>
      <c r="D1210" s="1296">
        <f>NOx보정계수!T54</f>
        <v>0.84199999999999997</v>
      </c>
      <c r="E1210" s="1296">
        <f>NOx보정계수!U54</f>
        <v>0.88</v>
      </c>
      <c r="F1210" s="1296">
        <f>NOx보정계수!V54</f>
        <v>1</v>
      </c>
      <c r="G1210" s="1296">
        <f>NOx보정계수!W54</f>
        <v>1.0620000000000001</v>
      </c>
      <c r="H1210" s="1296">
        <f>NOx보정계수!X54</f>
        <v>1.167</v>
      </c>
      <c r="I1210" s="1296">
        <f>NOx보정계수!Y54</f>
        <v>1.2729999999999999</v>
      </c>
      <c r="J1210" s="1297">
        <f>NOx보정계수!Z54</f>
        <v>1.3779999999999999</v>
      </c>
    </row>
    <row r="1211" spans="1:10" ht="17.100000000000001" customHeight="1">
      <c r="A1211" s="1315"/>
      <c r="B1211" s="215" t="str">
        <f t="shared" ref="B1211" si="522">B1188</f>
        <v>7구간</v>
      </c>
      <c r="C1211" s="1295">
        <f>NOx보정계수!S55</f>
        <v>0.82099999999999995</v>
      </c>
      <c r="D1211" s="1296">
        <f>NOx보정계수!T55</f>
        <v>0.84199999999999997</v>
      </c>
      <c r="E1211" s="1296">
        <f>NOx보정계수!U55</f>
        <v>0.88</v>
      </c>
      <c r="F1211" s="1296">
        <f>NOx보정계수!V55</f>
        <v>1</v>
      </c>
      <c r="G1211" s="1296">
        <f>NOx보정계수!W55</f>
        <v>1.0620000000000001</v>
      </c>
      <c r="H1211" s="1296">
        <f>NOx보정계수!X55</f>
        <v>1.167</v>
      </c>
      <c r="I1211" s="1296">
        <f>NOx보정계수!Y55</f>
        <v>1.2729999999999999</v>
      </c>
      <c r="J1211" s="1297">
        <f>NOx보정계수!Z55</f>
        <v>1.3779999999999999</v>
      </c>
    </row>
    <row r="1212" spans="1:10" ht="17.100000000000001" customHeight="1">
      <c r="A1212" s="479"/>
      <c r="B1212" s="442" t="str">
        <f t="shared" ref="B1212" si="523">B1189</f>
        <v>8구간</v>
      </c>
      <c r="C1212" s="1295">
        <f>NOx보정계수!S56</f>
        <v>0.82099999999999995</v>
      </c>
      <c r="D1212" s="1296">
        <f>NOx보정계수!T56</f>
        <v>0.84199999999999997</v>
      </c>
      <c r="E1212" s="1296">
        <f>NOx보정계수!U56</f>
        <v>0.88</v>
      </c>
      <c r="F1212" s="1296">
        <f>NOx보정계수!V56</f>
        <v>1</v>
      </c>
      <c r="G1212" s="1296">
        <f>NOx보정계수!W56</f>
        <v>1.0620000000000001</v>
      </c>
      <c r="H1212" s="1296">
        <f>NOx보정계수!X56</f>
        <v>1.167</v>
      </c>
      <c r="I1212" s="1296">
        <f>NOx보정계수!Y56</f>
        <v>1.2729999999999999</v>
      </c>
      <c r="J1212" s="1297">
        <f>NOx보정계수!Z56</f>
        <v>1.3779999999999999</v>
      </c>
    </row>
    <row r="1213" spans="1:10" ht="17.100000000000001" customHeight="1">
      <c r="A1213" s="479"/>
      <c r="B1213" s="215" t="str">
        <f t="shared" ref="B1213" si="524">B1190</f>
        <v>9구간</v>
      </c>
      <c r="C1213" s="1295">
        <f>NOx보정계수!S57</f>
        <v>0.82099999999999995</v>
      </c>
      <c r="D1213" s="1296">
        <f>NOx보정계수!T57</f>
        <v>0.84199999999999997</v>
      </c>
      <c r="E1213" s="1296">
        <f>NOx보정계수!U57</f>
        <v>0.88</v>
      </c>
      <c r="F1213" s="1296">
        <f>NOx보정계수!V57</f>
        <v>1</v>
      </c>
      <c r="G1213" s="1296">
        <f>NOx보정계수!W57</f>
        <v>1.0620000000000001</v>
      </c>
      <c r="H1213" s="1296">
        <f>NOx보정계수!X57</f>
        <v>1.167</v>
      </c>
      <c r="I1213" s="1296">
        <f>NOx보정계수!Y57</f>
        <v>1.2729999999999999</v>
      </c>
      <c r="J1213" s="1297">
        <f>NOx보정계수!Z57</f>
        <v>1.3779999999999999</v>
      </c>
    </row>
    <row r="1214" spans="1:10" ht="17.100000000000001" customHeight="1">
      <c r="A1214" s="479"/>
      <c r="B1214" s="215" t="str">
        <f t="shared" ref="B1214" si="525">B1191</f>
        <v>10구간</v>
      </c>
      <c r="C1214" s="1295">
        <f>NOx보정계수!S58</f>
        <v>0.82099999999999995</v>
      </c>
      <c r="D1214" s="1296">
        <f>NOx보정계수!T58</f>
        <v>0.84199999999999997</v>
      </c>
      <c r="E1214" s="1296">
        <f>NOx보정계수!U58</f>
        <v>0.88</v>
      </c>
      <c r="F1214" s="1296">
        <f>NOx보정계수!V58</f>
        <v>1</v>
      </c>
      <c r="G1214" s="1296">
        <f>NOx보정계수!W58</f>
        <v>1.0620000000000001</v>
      </c>
      <c r="H1214" s="1296">
        <f>NOx보정계수!X58</f>
        <v>1.167</v>
      </c>
      <c r="I1214" s="1296">
        <f>NOx보정계수!Y58</f>
        <v>1.2729999999999999</v>
      </c>
      <c r="J1214" s="1297">
        <f>NOx보정계수!Z58</f>
        <v>1.3779999999999999</v>
      </c>
    </row>
    <row r="1215" spans="1:10" ht="17.100000000000001" customHeight="1">
      <c r="A1215" s="1251" t="str">
        <f t="shared" ref="A1215:B1215" si="526">A1192</f>
        <v>마산</v>
      </c>
      <c r="B1215" s="1318" t="str">
        <f t="shared" si="526"/>
        <v>1구간</v>
      </c>
      <c r="C1215" s="1299">
        <f>NOx보정계수!AD49</f>
        <v>0.87362799999999996</v>
      </c>
      <c r="D1215" s="1300">
        <f>NOx보정계수!AE49</f>
        <v>0.9276319999999999</v>
      </c>
      <c r="E1215" s="1300">
        <f>NOx보정계수!AF49</f>
        <v>0.96830799999999995</v>
      </c>
      <c r="F1215" s="1300">
        <f>NOx보정계수!AG49</f>
        <v>1.1177439999999998</v>
      </c>
      <c r="G1215" s="1300">
        <f>NOx보정계수!AH49</f>
        <v>1.2145320000000002</v>
      </c>
      <c r="H1215" s="1300">
        <f>NOx보정계수!AI49</f>
        <v>1.6674120000000001</v>
      </c>
      <c r="I1215" s="1301">
        <f>NOx보정계수!AJ49</f>
        <v>2.1212920000000004</v>
      </c>
      <c r="J1215" s="1302">
        <f>NOx보정계수!AK49</f>
        <v>2.5759560000000001</v>
      </c>
    </row>
    <row r="1216" spans="1:10" ht="17.100000000000001" customHeight="1">
      <c r="A1216" s="479" t="str">
        <f t="shared" ref="A1216:B1216" si="527">A1193</f>
        <v>방향</v>
      </c>
      <c r="B1216" s="215" t="str">
        <f t="shared" si="527"/>
        <v>2구간</v>
      </c>
      <c r="C1216" s="1292">
        <f>NOx보정계수!AD50</f>
        <v>0.82099999999999995</v>
      </c>
      <c r="D1216" s="1293">
        <f>NOx보정계수!AE50</f>
        <v>0.84199999999999997</v>
      </c>
      <c r="E1216" s="1293">
        <f>NOx보정계수!AF50</f>
        <v>0.88</v>
      </c>
      <c r="F1216" s="1293">
        <f>NOx보정계수!AG50</f>
        <v>1</v>
      </c>
      <c r="G1216" s="1293">
        <f>NOx보정계수!AH50</f>
        <v>1.0620000000000001</v>
      </c>
      <c r="H1216" s="1293">
        <f>NOx보정계수!AI50</f>
        <v>1.167</v>
      </c>
      <c r="I1216" s="1303">
        <f>NOx보정계수!AJ50</f>
        <v>1.2729999999999999</v>
      </c>
      <c r="J1216" s="1294">
        <f>NOx보정계수!AK50</f>
        <v>1.3779999999999999</v>
      </c>
    </row>
    <row r="1217" spans="1:12" ht="17.100000000000001" customHeight="1">
      <c r="A1217" s="479"/>
      <c r="B1217" s="442" t="str">
        <f t="shared" ref="B1217" si="528">B1194</f>
        <v>3구간</v>
      </c>
      <c r="C1217" s="1292">
        <f>NOx보정계수!AD51</f>
        <v>0.82099999999999995</v>
      </c>
      <c r="D1217" s="1293">
        <f>NOx보정계수!AE51</f>
        <v>0.84199999999999997</v>
      </c>
      <c r="E1217" s="1293">
        <f>NOx보정계수!AF51</f>
        <v>0.88</v>
      </c>
      <c r="F1217" s="1293">
        <f>NOx보정계수!AG51</f>
        <v>1</v>
      </c>
      <c r="G1217" s="1293">
        <f>NOx보정계수!AH51</f>
        <v>1.0620000000000001</v>
      </c>
      <c r="H1217" s="1303">
        <f>NOx보정계수!AI51</f>
        <v>1.167</v>
      </c>
      <c r="I1217" s="1303">
        <f>NOx보정계수!AJ51</f>
        <v>1.2729999999999999</v>
      </c>
      <c r="J1217" s="1304">
        <f>NOx보정계수!AK51</f>
        <v>1.3779999999999999</v>
      </c>
    </row>
    <row r="1218" spans="1:12" ht="17.100000000000001" customHeight="1">
      <c r="A1218" s="479"/>
      <c r="B1218" s="215" t="str">
        <f t="shared" ref="B1218" si="529">B1195</f>
        <v>4구간</v>
      </c>
      <c r="C1218" s="1292">
        <f>NOx보정계수!AD52</f>
        <v>0.82099999999999995</v>
      </c>
      <c r="D1218" s="1293">
        <f>NOx보정계수!AE52</f>
        <v>0.84199999999999997</v>
      </c>
      <c r="E1218" s="1293">
        <f>NOx보정계수!AF52</f>
        <v>0.88</v>
      </c>
      <c r="F1218" s="1293">
        <f>NOx보정계수!AG52</f>
        <v>1</v>
      </c>
      <c r="G1218" s="1293">
        <f>NOx보정계수!AH52</f>
        <v>1.0620000000000001</v>
      </c>
      <c r="H1218" s="1293">
        <f>NOx보정계수!AI52</f>
        <v>1.167</v>
      </c>
      <c r="I1218" s="1303">
        <f>NOx보정계수!AJ52</f>
        <v>1.2729999999999999</v>
      </c>
      <c r="J1218" s="1294">
        <f>NOx보정계수!AK52</f>
        <v>1.3779999999999999</v>
      </c>
    </row>
    <row r="1219" spans="1:12" ht="17.100000000000001" customHeight="1">
      <c r="A1219" s="479"/>
      <c r="B1219" s="215" t="str">
        <f t="shared" ref="B1219" si="530">B1196</f>
        <v>5구간</v>
      </c>
      <c r="C1219" s="1292">
        <f>NOx보정계수!AD53</f>
        <v>0.82099999999999995</v>
      </c>
      <c r="D1219" s="1293">
        <f>NOx보정계수!AE53</f>
        <v>0.84199999999999997</v>
      </c>
      <c r="E1219" s="1293">
        <f>NOx보정계수!AF53</f>
        <v>0.88</v>
      </c>
      <c r="F1219" s="1293">
        <f>NOx보정계수!AG53</f>
        <v>1</v>
      </c>
      <c r="G1219" s="1293">
        <f>NOx보정계수!AH53</f>
        <v>1.0620000000000001</v>
      </c>
      <c r="H1219" s="1293">
        <f>NOx보정계수!AI53</f>
        <v>1.167</v>
      </c>
      <c r="I1219" s="1303">
        <f>NOx보정계수!AJ53</f>
        <v>1.2729999999999999</v>
      </c>
      <c r="J1219" s="1294">
        <f>NOx보정계수!AK53</f>
        <v>1.3779999999999999</v>
      </c>
    </row>
    <row r="1220" spans="1:12" ht="17.100000000000001" customHeight="1">
      <c r="A1220" s="479"/>
      <c r="B1220" s="442" t="str">
        <f t="shared" ref="B1220" si="531">B1197</f>
        <v>6구간</v>
      </c>
      <c r="C1220" s="1292">
        <f>NOx보정계수!AD54</f>
        <v>0.82099999999999995</v>
      </c>
      <c r="D1220" s="1293">
        <f>NOx보정계수!AE54</f>
        <v>0.84199999999999997</v>
      </c>
      <c r="E1220" s="1293">
        <f>NOx보정계수!AF54</f>
        <v>0.88</v>
      </c>
      <c r="F1220" s="1293">
        <f>NOx보정계수!AG54</f>
        <v>1</v>
      </c>
      <c r="G1220" s="1293">
        <f>NOx보정계수!AH54</f>
        <v>1.0620000000000001</v>
      </c>
      <c r="H1220" s="1293">
        <f>NOx보정계수!AI54</f>
        <v>1.167</v>
      </c>
      <c r="I1220" s="1303">
        <f>NOx보정계수!AJ54</f>
        <v>1.2729999999999999</v>
      </c>
      <c r="J1220" s="1294">
        <f>NOx보정계수!AK54</f>
        <v>1.3779999999999999</v>
      </c>
    </row>
    <row r="1221" spans="1:12" ht="17.100000000000001" customHeight="1">
      <c r="A1221" s="479"/>
      <c r="B1221" s="215" t="str">
        <f t="shared" ref="B1221" si="532">B1198</f>
        <v>7구간</v>
      </c>
      <c r="C1221" s="1292">
        <f>NOx보정계수!AD55</f>
        <v>0.82099999999999995</v>
      </c>
      <c r="D1221" s="1293">
        <f>NOx보정계수!AE55</f>
        <v>0.84199999999999997</v>
      </c>
      <c r="E1221" s="1293">
        <f>NOx보정계수!AF55</f>
        <v>0.88</v>
      </c>
      <c r="F1221" s="1293">
        <f>NOx보정계수!AG55</f>
        <v>1</v>
      </c>
      <c r="G1221" s="1293">
        <f>NOx보정계수!AH55</f>
        <v>1.0620000000000001</v>
      </c>
      <c r="H1221" s="1293">
        <f>NOx보정계수!AI55</f>
        <v>1.167</v>
      </c>
      <c r="I1221" s="1303">
        <f>NOx보정계수!AJ55</f>
        <v>1.2729999999999999</v>
      </c>
      <c r="J1221" s="1294">
        <f>NOx보정계수!AK55</f>
        <v>1.3779999999999999</v>
      </c>
    </row>
    <row r="1222" spans="1:12" ht="17.100000000000001" customHeight="1">
      <c r="A1222" s="479"/>
      <c r="B1222" s="442" t="str">
        <f t="shared" ref="B1222" si="533">B1199</f>
        <v>8구간</v>
      </c>
      <c r="C1222" s="1292">
        <f>NOx보정계수!AD56</f>
        <v>0.82099999999999995</v>
      </c>
      <c r="D1222" s="1293">
        <f>NOx보정계수!AE56</f>
        <v>0.84199999999999997</v>
      </c>
      <c r="E1222" s="1293">
        <f>NOx보정계수!AF56</f>
        <v>0.88</v>
      </c>
      <c r="F1222" s="1293">
        <f>NOx보정계수!AG56</f>
        <v>1</v>
      </c>
      <c r="G1222" s="1293">
        <f>NOx보정계수!AH56</f>
        <v>1.0620000000000001</v>
      </c>
      <c r="H1222" s="1303">
        <f>NOx보정계수!AI56</f>
        <v>1.167</v>
      </c>
      <c r="I1222" s="1303">
        <f>NOx보정계수!AJ56</f>
        <v>1.2729999999999999</v>
      </c>
      <c r="J1222" s="1304">
        <f>NOx보정계수!AK56</f>
        <v>1.3779999999999999</v>
      </c>
    </row>
    <row r="1223" spans="1:12" ht="17.100000000000001" customHeight="1">
      <c r="A1223" s="479"/>
      <c r="B1223" s="215" t="str">
        <f t="shared" ref="B1223" si="534">B1200</f>
        <v>9구간</v>
      </c>
      <c r="C1223" s="1292">
        <f>NOx보정계수!AD57</f>
        <v>0.82099999999999995</v>
      </c>
      <c r="D1223" s="1293">
        <f>NOx보정계수!AE57</f>
        <v>0.84199999999999997</v>
      </c>
      <c r="E1223" s="1293">
        <f>NOx보정계수!AF57</f>
        <v>0.88</v>
      </c>
      <c r="F1223" s="1293">
        <f>NOx보정계수!AG57</f>
        <v>1</v>
      </c>
      <c r="G1223" s="1293">
        <f>NOx보정계수!AH57</f>
        <v>1.0620000000000001</v>
      </c>
      <c r="H1223" s="1293">
        <f>NOx보정계수!AI57</f>
        <v>1.167</v>
      </c>
      <c r="I1223" s="1303">
        <f>NOx보정계수!AJ57</f>
        <v>1.2729999999999999</v>
      </c>
      <c r="J1223" s="1294">
        <f>NOx보정계수!AK57</f>
        <v>1.3779999999999999</v>
      </c>
    </row>
    <row r="1224" spans="1:12" ht="17.100000000000001" customHeight="1" thickBot="1">
      <c r="A1224" s="486"/>
      <c r="B1224" s="88" t="str">
        <f t="shared" ref="B1224" si="535">B1201</f>
        <v>10구간</v>
      </c>
      <c r="C1224" s="1305">
        <f>NOx보정계수!AD58</f>
        <v>0.82099999999999995</v>
      </c>
      <c r="D1224" s="1306">
        <f>NOx보정계수!AE58</f>
        <v>0.84199999999999997</v>
      </c>
      <c r="E1224" s="1306">
        <f>NOx보정계수!AF58</f>
        <v>0.88</v>
      </c>
      <c r="F1224" s="1306">
        <f>NOx보정계수!AG58</f>
        <v>1</v>
      </c>
      <c r="G1224" s="1306">
        <f>NOx보정계수!AH58</f>
        <v>1.0620000000000001</v>
      </c>
      <c r="H1224" s="1306">
        <f>NOx보정계수!AI58</f>
        <v>1.167</v>
      </c>
      <c r="I1224" s="531">
        <f>NOx보정계수!AJ58</f>
        <v>1.2729999999999999</v>
      </c>
      <c r="J1224" s="532">
        <f>NOx보정계수!AK58</f>
        <v>1.3779999999999999</v>
      </c>
    </row>
    <row r="1225" spans="1:12" ht="17.45" customHeight="1"/>
    <row r="1226" spans="1:12" ht="17.45" customHeight="1" thickBot="1">
      <c r="A1226" s="92" t="s">
        <v>80</v>
      </c>
      <c r="G1226" s="510"/>
      <c r="I1226" s="421"/>
    </row>
    <row r="1227" spans="1:12" ht="17.45" customHeight="1">
      <c r="A1227" s="1455" t="s">
        <v>321</v>
      </c>
      <c r="B1227" s="1453"/>
      <c r="C1227" s="729" t="str">
        <f>C851</f>
        <v>1구간</v>
      </c>
      <c r="D1227" s="729" t="str">
        <f>D851</f>
        <v>2구간</v>
      </c>
      <c r="E1227" s="729" t="str">
        <f>E851</f>
        <v>3구간</v>
      </c>
      <c r="F1227" s="729" t="str">
        <f>F851</f>
        <v>4구간</v>
      </c>
      <c r="G1227" s="729" t="str">
        <f>G851</f>
        <v>5구간</v>
      </c>
      <c r="H1227" s="659" t="s">
        <v>345</v>
      </c>
      <c r="I1227" s="729" t="s">
        <v>346</v>
      </c>
      <c r="J1227" s="729" t="s">
        <v>347</v>
      </c>
      <c r="K1227" s="729" t="s">
        <v>348</v>
      </c>
      <c r="L1227" s="724" t="s">
        <v>349</v>
      </c>
    </row>
    <row r="1228" spans="1:12" ht="17.45" customHeight="1">
      <c r="A1228" s="500" t="str">
        <f>E6</f>
        <v>진주</v>
      </c>
      <c r="B1228" s="501" t="str">
        <f>F6</f>
        <v>방향</v>
      </c>
      <c r="C1228" s="779">
        <v>1</v>
      </c>
      <c r="D1228" s="779">
        <v>1</v>
      </c>
      <c r="E1228" s="779">
        <v>1</v>
      </c>
      <c r="F1228" s="779">
        <v>1</v>
      </c>
      <c r="G1228" s="779">
        <v>1</v>
      </c>
      <c r="H1228" s="780">
        <v>1</v>
      </c>
      <c r="I1228" s="779">
        <v>1</v>
      </c>
      <c r="J1228" s="779">
        <v>1</v>
      </c>
      <c r="K1228" s="779">
        <v>1</v>
      </c>
      <c r="L1228" s="727">
        <v>1</v>
      </c>
    </row>
    <row r="1229" spans="1:12" ht="17.45" customHeight="1" thickBot="1">
      <c r="A1229" s="719" t="str">
        <f>J6</f>
        <v>마산</v>
      </c>
      <c r="B1229" s="507" t="str">
        <f>K6</f>
        <v>방향</v>
      </c>
      <c r="C1229" s="781">
        <v>1</v>
      </c>
      <c r="D1229" s="781">
        <v>1</v>
      </c>
      <c r="E1229" s="781">
        <v>1</v>
      </c>
      <c r="F1229" s="781">
        <v>1</v>
      </c>
      <c r="G1229" s="781">
        <v>1</v>
      </c>
      <c r="H1229" s="782">
        <v>1</v>
      </c>
      <c r="I1229" s="781">
        <v>1</v>
      </c>
      <c r="J1229" s="781">
        <v>1</v>
      </c>
      <c r="K1229" s="781">
        <v>1</v>
      </c>
      <c r="L1229" s="728">
        <v>1</v>
      </c>
    </row>
    <row r="1230" spans="1:12" ht="17.45" customHeight="1"/>
    <row r="1231" spans="1:12" ht="17.100000000000001" customHeight="1" thickBot="1">
      <c r="A1231" s="200" t="s">
        <v>975</v>
      </c>
      <c r="B1231" s="475"/>
      <c r="C1231" s="430"/>
      <c r="D1231" s="430"/>
      <c r="E1231" s="430"/>
      <c r="F1231" s="430"/>
      <c r="G1231" s="430"/>
      <c r="H1231" s="430"/>
      <c r="I1231" s="430"/>
      <c r="J1231" s="430"/>
    </row>
    <row r="1232" spans="1:12" ht="17.100000000000001" customHeight="1" thickBot="1">
      <c r="A1232" s="475"/>
      <c r="B1232" s="475"/>
      <c r="C1232" s="430"/>
      <c r="D1232" s="730"/>
      <c r="E1232" s="1510" t="s">
        <v>308</v>
      </c>
      <c r="F1232" s="1497"/>
      <c r="G1232" s="430"/>
      <c r="H1232" s="430"/>
      <c r="I1232" s="430"/>
      <c r="J1232" s="430"/>
    </row>
    <row r="1233" spans="1:17" s="649" customFormat="1" ht="17.100000000000001" customHeight="1">
      <c r="A1233" s="205" t="s">
        <v>282</v>
      </c>
      <c r="B1233" s="206" t="s">
        <v>283</v>
      </c>
      <c r="C1233" s="206" t="s">
        <v>284</v>
      </c>
      <c r="D1233" s="229" t="s">
        <v>302</v>
      </c>
      <c r="E1233" s="225" t="s">
        <v>306</v>
      </c>
      <c r="F1233" s="232" t="s">
        <v>307</v>
      </c>
      <c r="G1233" s="220"/>
      <c r="H1233" s="651"/>
      <c r="I1233" s="208"/>
      <c r="N1233" s="392"/>
      <c r="O1233" s="392"/>
      <c r="P1233" s="392"/>
      <c r="Q1233" s="392"/>
    </row>
    <row r="1234" spans="1:17" s="649" customFormat="1" ht="17.100000000000001" customHeight="1">
      <c r="A1234" s="226">
        <v>0</v>
      </c>
      <c r="B1234" s="375">
        <v>10</v>
      </c>
      <c r="C1234" s="376">
        <v>101.3</v>
      </c>
      <c r="D1234" s="819">
        <v>1.1319999999999999</v>
      </c>
      <c r="E1234" s="868">
        <f>ROUNDUP(B1234*C1234*D1234/10000,4)</f>
        <v>0.1147</v>
      </c>
      <c r="F1234" s="869">
        <f>B1234*C1234/10000</f>
        <v>0.1013</v>
      </c>
      <c r="G1234" s="204"/>
      <c r="H1234" s="651"/>
      <c r="I1234" s="208"/>
    </row>
    <row r="1235" spans="1:17" s="649" customFormat="1" ht="17.100000000000001" customHeight="1">
      <c r="A1235" s="226">
        <v>1</v>
      </c>
      <c r="B1235" s="375">
        <v>10</v>
      </c>
      <c r="C1235" s="376">
        <v>101.3</v>
      </c>
      <c r="D1235" s="819">
        <v>1.1319999999999999</v>
      </c>
      <c r="E1235" s="868">
        <f>ROUNDUP(B1235*C1235*D1235/10000,4)</f>
        <v>0.1147</v>
      </c>
      <c r="F1235" s="869">
        <f>B1235*C1235/10000</f>
        <v>0.1013</v>
      </c>
      <c r="G1235" s="204"/>
      <c r="H1235" s="651"/>
      <c r="I1235" s="208"/>
    </row>
    <row r="1236" spans="1:17" s="649" customFormat="1" ht="17.100000000000001" customHeight="1">
      <c r="A1236" s="226">
        <v>2</v>
      </c>
      <c r="B1236" s="375">
        <v>10</v>
      </c>
      <c r="C1236" s="376">
        <v>101.3</v>
      </c>
      <c r="D1236" s="819">
        <v>1.1319999999999999</v>
      </c>
      <c r="E1236" s="868">
        <f t="shared" ref="E1236:E1248" si="536">ROUNDUP(B1236*C1236*D1236/10000,4)</f>
        <v>0.1147</v>
      </c>
      <c r="F1236" s="869">
        <f>B1236*C1236/10000</f>
        <v>0.1013</v>
      </c>
      <c r="G1236" s="204"/>
      <c r="H1236" s="651"/>
      <c r="I1236" s="208"/>
    </row>
    <row r="1237" spans="1:17" s="649" customFormat="1" ht="17.100000000000001" customHeight="1">
      <c r="A1237" s="226">
        <v>3</v>
      </c>
      <c r="B1237" s="375">
        <v>10</v>
      </c>
      <c r="C1237" s="376">
        <v>101.3</v>
      </c>
      <c r="D1237" s="819">
        <v>1.1319999999999999</v>
      </c>
      <c r="E1237" s="868">
        <f t="shared" si="536"/>
        <v>0.1147</v>
      </c>
      <c r="F1237" s="869">
        <f>B1237*C1237/10000</f>
        <v>0.1013</v>
      </c>
      <c r="G1237" s="204"/>
      <c r="H1237" s="651"/>
      <c r="I1237" s="208"/>
    </row>
    <row r="1238" spans="1:17" s="649" customFormat="1" ht="17.100000000000001" customHeight="1">
      <c r="A1238" s="226">
        <v>4</v>
      </c>
      <c r="B1238" s="375">
        <v>10</v>
      </c>
      <c r="C1238" s="376">
        <v>101.3</v>
      </c>
      <c r="D1238" s="819">
        <v>1.1319999999999999</v>
      </c>
      <c r="E1238" s="868">
        <f t="shared" si="536"/>
        <v>0.1147</v>
      </c>
      <c r="F1238" s="869">
        <f>B1238*C1238/10000</f>
        <v>0.1013</v>
      </c>
      <c r="G1238" s="204"/>
      <c r="H1238" s="651"/>
      <c r="I1238" s="208"/>
    </row>
    <row r="1239" spans="1:17" s="649" customFormat="1" ht="17.100000000000001" customHeight="1">
      <c r="A1239" s="226">
        <v>5</v>
      </c>
      <c r="B1239" s="375">
        <v>7.5</v>
      </c>
      <c r="C1239" s="376">
        <v>101.3</v>
      </c>
      <c r="D1239" s="819">
        <v>1.669</v>
      </c>
      <c r="E1239" s="868">
        <f t="shared" si="536"/>
        <v>0.12689999999999999</v>
      </c>
      <c r="F1239" s="869">
        <f>ROUNDUP(B1239*C1239/10000,4)</f>
        <v>7.5999999999999998E-2</v>
      </c>
      <c r="G1239" s="204"/>
      <c r="H1239" s="651"/>
      <c r="I1239" s="208"/>
    </row>
    <row r="1240" spans="1:17" s="649" customFormat="1" ht="17.100000000000001" customHeight="1">
      <c r="A1240" s="226">
        <v>6</v>
      </c>
      <c r="B1240" s="375">
        <v>7.5</v>
      </c>
      <c r="C1240" s="376">
        <v>101.3</v>
      </c>
      <c r="D1240" s="819">
        <v>1.669</v>
      </c>
      <c r="E1240" s="868">
        <f t="shared" si="536"/>
        <v>0.12689999999999999</v>
      </c>
      <c r="F1240" s="869">
        <f t="shared" ref="F1240:F1248" si="537">ROUNDUP(B1240*C1240/10000,4)</f>
        <v>7.5999999999999998E-2</v>
      </c>
      <c r="G1240" s="204"/>
      <c r="H1240" s="651"/>
      <c r="I1240" s="208"/>
      <c r="K1240" s="649" t="s">
        <v>286</v>
      </c>
    </row>
    <row r="1241" spans="1:17" s="649" customFormat="1" ht="17.100000000000001" customHeight="1">
      <c r="A1241" s="226">
        <v>7</v>
      </c>
      <c r="B1241" s="375">
        <v>7.5</v>
      </c>
      <c r="C1241" s="376">
        <v>101.3</v>
      </c>
      <c r="D1241" s="819">
        <v>1.669</v>
      </c>
      <c r="E1241" s="868">
        <f t="shared" si="536"/>
        <v>0.12689999999999999</v>
      </c>
      <c r="F1241" s="869">
        <f t="shared" si="537"/>
        <v>7.5999999999999998E-2</v>
      </c>
      <c r="G1241" s="204"/>
      <c r="H1241" s="651"/>
      <c r="I1241" s="208"/>
    </row>
    <row r="1242" spans="1:17" s="649" customFormat="1" ht="17.100000000000001" customHeight="1">
      <c r="A1242" s="226">
        <v>8</v>
      </c>
      <c r="B1242" s="375">
        <v>7.5</v>
      </c>
      <c r="C1242" s="376">
        <v>101.3</v>
      </c>
      <c r="D1242" s="819">
        <v>1.669</v>
      </c>
      <c r="E1242" s="868">
        <f t="shared" si="536"/>
        <v>0.12689999999999999</v>
      </c>
      <c r="F1242" s="869">
        <f t="shared" si="537"/>
        <v>7.5999999999999998E-2</v>
      </c>
      <c r="G1242" s="204"/>
      <c r="H1242" s="651"/>
      <c r="I1242" s="208"/>
    </row>
    <row r="1243" spans="1:17" s="649" customFormat="1" ht="17.100000000000001" customHeight="1">
      <c r="A1243" s="226">
        <v>9</v>
      </c>
      <c r="B1243" s="375">
        <v>7.5</v>
      </c>
      <c r="C1243" s="376">
        <v>101.3</v>
      </c>
      <c r="D1243" s="819">
        <v>1.669</v>
      </c>
      <c r="E1243" s="868">
        <f t="shared" si="536"/>
        <v>0.12689999999999999</v>
      </c>
      <c r="F1243" s="869">
        <f t="shared" si="537"/>
        <v>7.5999999999999998E-2</v>
      </c>
      <c r="G1243" s="204"/>
      <c r="H1243" s="651"/>
      <c r="I1243" s="208"/>
    </row>
    <row r="1244" spans="1:17" s="649" customFormat="1" ht="17.100000000000001" customHeight="1">
      <c r="A1244" s="226">
        <v>10</v>
      </c>
      <c r="B1244" s="375">
        <v>2.5</v>
      </c>
      <c r="C1244" s="376">
        <v>97.4</v>
      </c>
      <c r="D1244" s="819">
        <v>2</v>
      </c>
      <c r="E1244" s="868">
        <f t="shared" si="536"/>
        <v>4.87E-2</v>
      </c>
      <c r="F1244" s="869">
        <f t="shared" si="537"/>
        <v>2.4399999999999998E-2</v>
      </c>
      <c r="G1244" s="204"/>
      <c r="H1244" s="651"/>
      <c r="I1244" s="208"/>
    </row>
    <row r="1245" spans="1:17" s="649" customFormat="1" ht="17.100000000000001" customHeight="1">
      <c r="A1245" s="226">
        <v>11</v>
      </c>
      <c r="B1245" s="375">
        <v>2.5</v>
      </c>
      <c r="C1245" s="376">
        <v>97.4</v>
      </c>
      <c r="D1245" s="819">
        <v>2</v>
      </c>
      <c r="E1245" s="868">
        <f t="shared" si="536"/>
        <v>4.87E-2</v>
      </c>
      <c r="F1245" s="869">
        <f t="shared" si="537"/>
        <v>2.4399999999999998E-2</v>
      </c>
      <c r="G1245" s="204"/>
      <c r="H1245" s="651"/>
      <c r="I1245" s="208"/>
    </row>
    <row r="1246" spans="1:17" s="649" customFormat="1" ht="17.100000000000001" customHeight="1">
      <c r="A1246" s="226">
        <v>12</v>
      </c>
      <c r="B1246" s="375">
        <v>2.5</v>
      </c>
      <c r="C1246" s="376">
        <v>97.4</v>
      </c>
      <c r="D1246" s="819">
        <v>2</v>
      </c>
      <c r="E1246" s="868">
        <f t="shared" si="536"/>
        <v>4.87E-2</v>
      </c>
      <c r="F1246" s="869">
        <f t="shared" si="537"/>
        <v>2.4399999999999998E-2</v>
      </c>
      <c r="G1246" s="204"/>
      <c r="H1246" s="651"/>
      <c r="I1246" s="208"/>
    </row>
    <row r="1247" spans="1:17" s="649" customFormat="1" ht="17.100000000000001" customHeight="1">
      <c r="A1247" s="226">
        <v>13</v>
      </c>
      <c r="B1247" s="375">
        <v>2.5</v>
      </c>
      <c r="C1247" s="376">
        <v>97.4</v>
      </c>
      <c r="D1247" s="819">
        <v>2</v>
      </c>
      <c r="E1247" s="868">
        <f t="shared" si="536"/>
        <v>4.87E-2</v>
      </c>
      <c r="F1247" s="869">
        <f t="shared" si="537"/>
        <v>2.4399999999999998E-2</v>
      </c>
      <c r="G1247" s="204"/>
      <c r="H1247" s="651"/>
      <c r="I1247" s="208"/>
    </row>
    <row r="1248" spans="1:17" s="649" customFormat="1" ht="17.100000000000001" customHeight="1">
      <c r="A1248" s="230">
        <v>14</v>
      </c>
      <c r="B1248" s="377">
        <v>2.5</v>
      </c>
      <c r="C1248" s="379">
        <v>97.4</v>
      </c>
      <c r="D1248" s="820">
        <v>2</v>
      </c>
      <c r="E1248" s="868">
        <f t="shared" si="536"/>
        <v>4.87E-2</v>
      </c>
      <c r="F1248" s="825">
        <f t="shared" si="537"/>
        <v>2.4399999999999998E-2</v>
      </c>
      <c r="G1248" s="204"/>
      <c r="H1248" s="651"/>
      <c r="I1248" s="208"/>
    </row>
    <row r="1249" spans="1:17" s="649" customFormat="1" ht="17.100000000000001" customHeight="1" thickBot="1">
      <c r="A1249" s="1456" t="s">
        <v>303</v>
      </c>
      <c r="B1249" s="1457"/>
      <c r="C1249" s="1457"/>
      <c r="D1249" s="1458"/>
      <c r="E1249" s="870">
        <f>SUM(E1234:E1248)</f>
        <v>1.4514999999999998</v>
      </c>
      <c r="F1249" s="871">
        <f>SUM(F1234:F1248)</f>
        <v>1.0084999999999997</v>
      </c>
      <c r="G1249" s="204"/>
      <c r="H1249" s="651"/>
      <c r="I1249" s="208"/>
    </row>
    <row r="1250" spans="1:17" ht="17.45" customHeight="1">
      <c r="A1250" s="510"/>
      <c r="B1250" s="421"/>
      <c r="F1250" s="421"/>
      <c r="G1250" s="421"/>
      <c r="H1250" s="421"/>
      <c r="I1250" s="421"/>
      <c r="N1250" s="649"/>
      <c r="O1250" s="649"/>
      <c r="P1250" s="649"/>
      <c r="Q1250" s="649"/>
    </row>
    <row r="1251" spans="1:17" ht="17.45" customHeight="1">
      <c r="A1251" s="510"/>
      <c r="B1251" s="421"/>
      <c r="F1251" s="421"/>
      <c r="G1251" s="421"/>
      <c r="H1251" s="421"/>
      <c r="I1251" s="421"/>
      <c r="N1251" s="649"/>
      <c r="O1251" s="649"/>
      <c r="P1251" s="649"/>
      <c r="Q1251" s="649"/>
    </row>
    <row r="1252" spans="1:17" ht="17.45" customHeight="1">
      <c r="A1252" s="510"/>
      <c r="B1252" s="421"/>
      <c r="F1252" s="421"/>
      <c r="G1252" s="421"/>
      <c r="H1252" s="421"/>
      <c r="I1252" s="421"/>
      <c r="N1252" s="649"/>
      <c r="O1252" s="649"/>
      <c r="P1252" s="649"/>
      <c r="Q1252" s="649"/>
    </row>
    <row r="1253" spans="1:17" ht="17.45" customHeight="1">
      <c r="A1253" s="510"/>
      <c r="B1253" s="421"/>
      <c r="F1253" s="421"/>
      <c r="G1253" s="421"/>
      <c r="H1253" s="421"/>
      <c r="I1253" s="421"/>
      <c r="N1253" s="649"/>
      <c r="O1253" s="649"/>
      <c r="P1253" s="649"/>
      <c r="Q1253" s="649"/>
    </row>
    <row r="1254" spans="1:17" ht="17.45" customHeight="1">
      <c r="A1254" s="92" t="s">
        <v>976</v>
      </c>
      <c r="E1254" s="392" t="s">
        <v>56</v>
      </c>
      <c r="F1254" s="95">
        <f>F876</f>
        <v>2222</v>
      </c>
      <c r="G1254" s="392" t="s">
        <v>57</v>
      </c>
    </row>
    <row r="1255" spans="1:17" ht="17.45" customHeight="1" thickBot="1">
      <c r="A1255" s="1308" t="str">
        <f>A1256</f>
        <v>진주</v>
      </c>
      <c r="B1255" s="1309" t="s">
        <v>974</v>
      </c>
      <c r="F1255" s="1252"/>
    </row>
    <row r="1256" spans="1:17" ht="17.45" customHeight="1">
      <c r="A1256" s="1449" t="str">
        <f>E6</f>
        <v>진주</v>
      </c>
      <c r="B1256" s="1478" t="s">
        <v>290</v>
      </c>
      <c r="C1256" s="1451" t="s">
        <v>276</v>
      </c>
      <c r="D1256" s="1453"/>
      <c r="E1256" s="1466" t="s">
        <v>300</v>
      </c>
      <c r="F1256" s="1468"/>
      <c r="G1256" s="1451" t="s">
        <v>301</v>
      </c>
      <c r="H1256" s="1452"/>
      <c r="I1256" s="1452"/>
      <c r="J1256" s="1453"/>
      <c r="K1256" s="1459" t="s">
        <v>72</v>
      </c>
    </row>
    <row r="1257" spans="1:17" ht="17.45" customHeight="1">
      <c r="A1257" s="1436"/>
      <c r="B1257" s="1479"/>
      <c r="C1257" s="660" t="s">
        <v>268</v>
      </c>
      <c r="D1257" s="492" t="s">
        <v>269</v>
      </c>
      <c r="E1257" s="493" t="s">
        <v>19</v>
      </c>
      <c r="F1257" s="661" t="s">
        <v>20</v>
      </c>
      <c r="G1257" s="493" t="s">
        <v>19</v>
      </c>
      <c r="H1257" s="661" t="s">
        <v>21</v>
      </c>
      <c r="I1257" s="661" t="s">
        <v>20</v>
      </c>
      <c r="J1257" s="662" t="s">
        <v>22</v>
      </c>
      <c r="K1257" s="1460"/>
    </row>
    <row r="1258" spans="1:17" ht="17.45" customHeight="1">
      <c r="A1258" s="499" t="s">
        <v>287</v>
      </c>
      <c r="B1258" s="1498"/>
      <c r="C1258" s="663">
        <f>F1117</f>
        <v>0</v>
      </c>
      <c r="D1258" s="451">
        <f>F1118</f>
        <v>1.6999999999999999E-3</v>
      </c>
      <c r="E1258" s="664">
        <f>F1119</f>
        <v>2.2000000000000001E-3</v>
      </c>
      <c r="F1258" s="451">
        <f>F1122</f>
        <v>3.8199999999999998E-2</v>
      </c>
      <c r="G1258" s="664">
        <f>F1120</f>
        <v>2.2000000000000001E-3</v>
      </c>
      <c r="H1258" s="402">
        <f>F1121</f>
        <v>1.8800000000000001E-2</v>
      </c>
      <c r="I1258" s="402">
        <f>F1123</f>
        <v>4.2299999999999997E-2</v>
      </c>
      <c r="J1258" s="492">
        <f>F1124</f>
        <v>5.4699999999999999E-2</v>
      </c>
      <c r="K1258" s="1461"/>
    </row>
    <row r="1259" spans="1:17" ht="17.45" customHeight="1">
      <c r="A1259" s="1434">
        <v>10</v>
      </c>
      <c r="B1259" s="665" t="s">
        <v>291</v>
      </c>
      <c r="C1259" s="666">
        <f t="shared" ref="C1259:C1268" si="538">ROUND(((($C$1258*$C$1228*C1136)*$E$1249)*$C255),2)</f>
        <v>0</v>
      </c>
      <c r="D1259" s="748">
        <f t="shared" ref="D1259:D1268" si="539">ROUND((((D$1258*$C$1228*C1159)*$F$1249)*$D255),2)</f>
        <v>0.04</v>
      </c>
      <c r="E1259" s="1383">
        <f t="shared" ref="E1259:E1268" si="540">ROUND((((E$1258*$C$1228*$C1182)*$F$1249)*$E255),2)</f>
        <v>0</v>
      </c>
      <c r="F1259" s="748">
        <f t="shared" ref="F1259:F1268" si="541">ROUND((((F$1258*$C$1228*$C1205)*$F$1249)*$F255),2)</f>
        <v>0.03</v>
      </c>
      <c r="G1259" s="783">
        <f t="shared" ref="G1259:G1268" si="542">ROUND((((G$1258*$C$1228*$C1182)*$F$1249)*$G255),2)</f>
        <v>0.02</v>
      </c>
      <c r="H1259" s="667">
        <f t="shared" ref="H1259:H1268" si="543">ROUND((((H$1258*$C$1228*$C1205)*$F$1249)*$H255),2)</f>
        <v>0.05</v>
      </c>
      <c r="I1259" s="667">
        <f t="shared" ref="I1259:I1268" si="544">ROUND((((I$1258*$C$1228*$C1205)*$F$1249)*$I255),2)</f>
        <v>0.01</v>
      </c>
      <c r="J1259" s="667">
        <f t="shared" ref="J1259:J1268" si="545">ROUND((((J$1258*$C$1228*$C1205)*$F$1249)*$J255),2)</f>
        <v>0.04</v>
      </c>
      <c r="K1259" s="668">
        <f t="shared" ref="K1259:K1333" si="546">SUM(C1259:J1259)</f>
        <v>0.19000000000000003</v>
      </c>
    </row>
    <row r="1260" spans="1:17" ht="17.45" customHeight="1">
      <c r="A1260" s="1435"/>
      <c r="B1260" s="669" t="s">
        <v>292</v>
      </c>
      <c r="C1260" s="677">
        <f t="shared" si="538"/>
        <v>0</v>
      </c>
      <c r="D1260" s="735">
        <f t="shared" si="539"/>
        <v>0</v>
      </c>
      <c r="E1260" s="683">
        <f t="shared" si="540"/>
        <v>0</v>
      </c>
      <c r="F1260" s="735">
        <f t="shared" si="541"/>
        <v>0</v>
      </c>
      <c r="G1260" s="683">
        <f t="shared" si="542"/>
        <v>0</v>
      </c>
      <c r="H1260" s="679">
        <f t="shared" si="543"/>
        <v>0</v>
      </c>
      <c r="I1260" s="679">
        <f t="shared" si="544"/>
        <v>0</v>
      </c>
      <c r="J1260" s="679">
        <f t="shared" si="545"/>
        <v>0</v>
      </c>
      <c r="K1260" s="673">
        <f t="shared" si="546"/>
        <v>0</v>
      </c>
    </row>
    <row r="1261" spans="1:17" ht="17.45" customHeight="1">
      <c r="A1261" s="1435"/>
      <c r="B1261" s="669" t="s">
        <v>297</v>
      </c>
      <c r="C1261" s="677">
        <f t="shared" si="538"/>
        <v>0</v>
      </c>
      <c r="D1261" s="735">
        <f t="shared" si="539"/>
        <v>0</v>
      </c>
      <c r="E1261" s="683">
        <f t="shared" si="540"/>
        <v>0</v>
      </c>
      <c r="F1261" s="735">
        <f t="shared" si="541"/>
        <v>0</v>
      </c>
      <c r="G1261" s="683">
        <f t="shared" si="542"/>
        <v>0</v>
      </c>
      <c r="H1261" s="679">
        <f t="shared" si="543"/>
        <v>0</v>
      </c>
      <c r="I1261" s="679">
        <f t="shared" si="544"/>
        <v>0</v>
      </c>
      <c r="J1261" s="736">
        <f t="shared" si="545"/>
        <v>0</v>
      </c>
      <c r="K1261" s="674">
        <f t="shared" si="546"/>
        <v>0</v>
      </c>
    </row>
    <row r="1262" spans="1:17" ht="17.45" customHeight="1">
      <c r="A1262" s="1435"/>
      <c r="B1262" s="669" t="s">
        <v>298</v>
      </c>
      <c r="C1262" s="677">
        <f t="shared" si="538"/>
        <v>0</v>
      </c>
      <c r="D1262" s="735">
        <f t="shared" si="539"/>
        <v>0</v>
      </c>
      <c r="E1262" s="683">
        <f t="shared" si="540"/>
        <v>0</v>
      </c>
      <c r="F1262" s="735">
        <f t="shared" si="541"/>
        <v>0</v>
      </c>
      <c r="G1262" s="683">
        <f t="shared" si="542"/>
        <v>0</v>
      </c>
      <c r="H1262" s="679">
        <f t="shared" si="543"/>
        <v>0</v>
      </c>
      <c r="I1262" s="679">
        <f t="shared" si="544"/>
        <v>0</v>
      </c>
      <c r="J1262" s="735">
        <f t="shared" si="545"/>
        <v>0</v>
      </c>
      <c r="K1262" s="674">
        <f t="shared" si="546"/>
        <v>0</v>
      </c>
    </row>
    <row r="1263" spans="1:17" ht="17.45" customHeight="1">
      <c r="A1263" s="1435"/>
      <c r="B1263" s="669" t="s">
        <v>299</v>
      </c>
      <c r="C1263" s="670">
        <f t="shared" si="538"/>
        <v>0</v>
      </c>
      <c r="D1263" s="736">
        <f t="shared" si="539"/>
        <v>0</v>
      </c>
      <c r="E1263" s="682">
        <f t="shared" si="540"/>
        <v>0</v>
      </c>
      <c r="F1263" s="736">
        <f t="shared" si="541"/>
        <v>0</v>
      </c>
      <c r="G1263" s="682">
        <f t="shared" si="542"/>
        <v>0</v>
      </c>
      <c r="H1263" s="672">
        <f t="shared" si="543"/>
        <v>0</v>
      </c>
      <c r="I1263" s="672">
        <f t="shared" si="544"/>
        <v>0</v>
      </c>
      <c r="J1263" s="736">
        <f t="shared" si="545"/>
        <v>0</v>
      </c>
      <c r="K1263" s="675">
        <f t="shared" si="546"/>
        <v>0</v>
      </c>
    </row>
    <row r="1264" spans="1:17" ht="17.45" customHeight="1">
      <c r="A1264" s="1435"/>
      <c r="B1264" s="676" t="s">
        <v>345</v>
      </c>
      <c r="C1264" s="677">
        <f t="shared" si="538"/>
        <v>0</v>
      </c>
      <c r="D1264" s="735">
        <f t="shared" si="539"/>
        <v>0</v>
      </c>
      <c r="E1264" s="683">
        <f t="shared" si="540"/>
        <v>0</v>
      </c>
      <c r="F1264" s="735">
        <f t="shared" si="541"/>
        <v>0</v>
      </c>
      <c r="G1264" s="683">
        <f t="shared" si="542"/>
        <v>0</v>
      </c>
      <c r="H1264" s="679">
        <f t="shared" si="543"/>
        <v>0</v>
      </c>
      <c r="I1264" s="679">
        <f t="shared" si="544"/>
        <v>0</v>
      </c>
      <c r="J1264" s="679">
        <f t="shared" si="545"/>
        <v>0</v>
      </c>
      <c r="K1264" s="673">
        <f>SUM(C1264:J1264)</f>
        <v>0</v>
      </c>
    </row>
    <row r="1265" spans="1:12" ht="17.45" customHeight="1">
      <c r="A1265" s="1435"/>
      <c r="B1265" s="669" t="s">
        <v>346</v>
      </c>
      <c r="C1265" s="677">
        <f t="shared" si="538"/>
        <v>0</v>
      </c>
      <c r="D1265" s="735">
        <f t="shared" si="539"/>
        <v>0</v>
      </c>
      <c r="E1265" s="683">
        <f t="shared" si="540"/>
        <v>0</v>
      </c>
      <c r="F1265" s="735">
        <f t="shared" si="541"/>
        <v>0</v>
      </c>
      <c r="G1265" s="683">
        <f t="shared" si="542"/>
        <v>0</v>
      </c>
      <c r="H1265" s="679">
        <f t="shared" si="543"/>
        <v>0</v>
      </c>
      <c r="I1265" s="679">
        <f t="shared" si="544"/>
        <v>0</v>
      </c>
      <c r="J1265" s="679">
        <f t="shared" si="545"/>
        <v>0</v>
      </c>
      <c r="K1265" s="673">
        <f>SUM(C1265:J1265)</f>
        <v>0</v>
      </c>
    </row>
    <row r="1266" spans="1:12" ht="17.45" customHeight="1">
      <c r="A1266" s="1435"/>
      <c r="B1266" s="669" t="s">
        <v>347</v>
      </c>
      <c r="C1266" s="677">
        <f t="shared" si="538"/>
        <v>0</v>
      </c>
      <c r="D1266" s="735">
        <f t="shared" si="539"/>
        <v>0</v>
      </c>
      <c r="E1266" s="683">
        <f t="shared" si="540"/>
        <v>0</v>
      </c>
      <c r="F1266" s="735">
        <f t="shared" si="541"/>
        <v>0</v>
      </c>
      <c r="G1266" s="683">
        <f t="shared" si="542"/>
        <v>0</v>
      </c>
      <c r="H1266" s="679">
        <f t="shared" si="543"/>
        <v>0</v>
      </c>
      <c r="I1266" s="679">
        <f t="shared" si="544"/>
        <v>0</v>
      </c>
      <c r="J1266" s="736">
        <f t="shared" si="545"/>
        <v>0</v>
      </c>
      <c r="K1266" s="674">
        <f>SUM(C1266:J1266)</f>
        <v>0</v>
      </c>
    </row>
    <row r="1267" spans="1:12" ht="17.45" customHeight="1">
      <c r="A1267" s="1435"/>
      <c r="B1267" s="669" t="s">
        <v>348</v>
      </c>
      <c r="C1267" s="677">
        <f t="shared" si="538"/>
        <v>0</v>
      </c>
      <c r="D1267" s="735">
        <f t="shared" si="539"/>
        <v>0</v>
      </c>
      <c r="E1267" s="683">
        <f t="shared" si="540"/>
        <v>0</v>
      </c>
      <c r="F1267" s="735">
        <f t="shared" si="541"/>
        <v>0</v>
      </c>
      <c r="G1267" s="683">
        <f t="shared" si="542"/>
        <v>0</v>
      </c>
      <c r="H1267" s="679">
        <f t="shared" si="543"/>
        <v>0</v>
      </c>
      <c r="I1267" s="679">
        <f t="shared" si="544"/>
        <v>0</v>
      </c>
      <c r="J1267" s="735">
        <f t="shared" si="545"/>
        <v>0</v>
      </c>
      <c r="K1267" s="674">
        <f>SUM(C1267:J1267)</f>
        <v>0</v>
      </c>
    </row>
    <row r="1268" spans="1:12" ht="17.45" customHeight="1">
      <c r="A1268" s="1436"/>
      <c r="B1268" s="680" t="s">
        <v>349</v>
      </c>
      <c r="C1268" s="737">
        <f t="shared" si="538"/>
        <v>0</v>
      </c>
      <c r="D1268" s="738">
        <f t="shared" si="539"/>
        <v>0</v>
      </c>
      <c r="E1268" s="745">
        <f t="shared" si="540"/>
        <v>0</v>
      </c>
      <c r="F1268" s="738">
        <f t="shared" si="541"/>
        <v>0</v>
      </c>
      <c r="G1268" s="745">
        <f t="shared" si="542"/>
        <v>0</v>
      </c>
      <c r="H1268" s="739">
        <f t="shared" si="543"/>
        <v>0</v>
      </c>
      <c r="I1268" s="739">
        <f t="shared" si="544"/>
        <v>0</v>
      </c>
      <c r="J1268" s="738">
        <f t="shared" si="545"/>
        <v>0</v>
      </c>
      <c r="K1268" s="674">
        <f>SUM(C1268:J1268)</f>
        <v>0</v>
      </c>
    </row>
    <row r="1269" spans="1:12" ht="17.45" customHeight="1">
      <c r="A1269" s="1434">
        <v>20</v>
      </c>
      <c r="B1269" s="676" t="str">
        <f t="shared" ref="B1269:B1300" si="547">B1259</f>
        <v>1구간</v>
      </c>
      <c r="C1269" s="677">
        <f t="shared" ref="C1269:C1278" si="548">ROUND(((($C$1258*$C$1228*$D1136)*$E$1249)*$C266),2)</f>
        <v>0</v>
      </c>
      <c r="D1269" s="735">
        <f t="shared" ref="D1269:D1278" si="549">ROUND((((D$1258*$C$1228*$D1159)*$F$1249)*$D266),2)</f>
        <v>0.03</v>
      </c>
      <c r="E1269" s="683">
        <f t="shared" ref="E1269:E1278" si="550">ROUND((((E$1258*$C$1228*$D1182)*$F$1249)*$E266),2)</f>
        <v>0</v>
      </c>
      <c r="F1269" s="735">
        <f t="shared" ref="F1269:F1278" si="551">ROUND((((F$1258*$C$1228*$D1205)*$F$1249)*$F266),2)</f>
        <v>0.02</v>
      </c>
      <c r="G1269" s="683">
        <f t="shared" ref="G1269:G1278" si="552">ROUND((((G$1258*$C$1228*$D1182)*$F$1249)*$G266),2)</f>
        <v>0.02</v>
      </c>
      <c r="H1269" s="679">
        <f t="shared" ref="H1269:H1278" si="553">ROUND((((H$1258*$C$1228*$D1205)*$F$1249)*$H266),2)</f>
        <v>0.04</v>
      </c>
      <c r="I1269" s="679">
        <f t="shared" ref="I1269:I1278" si="554">ROUND((((I$1258*$C$1228*$D1205)*$F$1249)*$I266),2)</f>
        <v>0.01</v>
      </c>
      <c r="J1269" s="735">
        <f t="shared" ref="J1269:J1278" si="555">ROUND((((J$1258*$C$1228*$D1205)*$F$1249)*$J266),2)</f>
        <v>0.03</v>
      </c>
      <c r="K1269" s="681">
        <f t="shared" si="546"/>
        <v>0.15000000000000002</v>
      </c>
    </row>
    <row r="1270" spans="1:12" ht="17.45" customHeight="1">
      <c r="A1270" s="1435"/>
      <c r="B1270" s="669" t="str">
        <f t="shared" si="547"/>
        <v>2구간</v>
      </c>
      <c r="C1270" s="677">
        <f t="shared" si="548"/>
        <v>0</v>
      </c>
      <c r="D1270" s="735">
        <f t="shared" si="549"/>
        <v>0</v>
      </c>
      <c r="E1270" s="683">
        <f t="shared" si="550"/>
        <v>0</v>
      </c>
      <c r="F1270" s="735">
        <f t="shared" si="551"/>
        <v>0</v>
      </c>
      <c r="G1270" s="683">
        <f t="shared" si="552"/>
        <v>0</v>
      </c>
      <c r="H1270" s="679">
        <f t="shared" si="553"/>
        <v>0</v>
      </c>
      <c r="I1270" s="679">
        <f t="shared" si="554"/>
        <v>0</v>
      </c>
      <c r="J1270" s="735">
        <f t="shared" si="555"/>
        <v>0</v>
      </c>
      <c r="K1270" s="674">
        <f t="shared" si="546"/>
        <v>0</v>
      </c>
    </row>
    <row r="1271" spans="1:12" ht="17.45" customHeight="1">
      <c r="A1271" s="1435"/>
      <c r="B1271" s="669" t="str">
        <f t="shared" si="547"/>
        <v>3구간</v>
      </c>
      <c r="C1271" s="677">
        <f t="shared" si="548"/>
        <v>0</v>
      </c>
      <c r="D1271" s="735">
        <f t="shared" si="549"/>
        <v>0</v>
      </c>
      <c r="E1271" s="683">
        <f t="shared" si="550"/>
        <v>0</v>
      </c>
      <c r="F1271" s="735">
        <f t="shared" si="551"/>
        <v>0</v>
      </c>
      <c r="G1271" s="683">
        <f t="shared" si="552"/>
        <v>0</v>
      </c>
      <c r="H1271" s="679">
        <f t="shared" si="553"/>
        <v>0</v>
      </c>
      <c r="I1271" s="679">
        <f t="shared" si="554"/>
        <v>0</v>
      </c>
      <c r="J1271" s="735">
        <f t="shared" si="555"/>
        <v>0</v>
      </c>
      <c r="K1271" s="674">
        <f t="shared" si="546"/>
        <v>0</v>
      </c>
    </row>
    <row r="1272" spans="1:12" ht="17.45" customHeight="1">
      <c r="A1272" s="1435"/>
      <c r="B1272" s="669" t="str">
        <f t="shared" si="547"/>
        <v>4구간</v>
      </c>
      <c r="C1272" s="677">
        <f t="shared" si="548"/>
        <v>0</v>
      </c>
      <c r="D1272" s="735">
        <f t="shared" si="549"/>
        <v>0</v>
      </c>
      <c r="E1272" s="683">
        <f t="shared" si="550"/>
        <v>0</v>
      </c>
      <c r="F1272" s="735">
        <f t="shared" si="551"/>
        <v>0</v>
      </c>
      <c r="G1272" s="683">
        <f t="shared" si="552"/>
        <v>0</v>
      </c>
      <c r="H1272" s="679">
        <f t="shared" si="553"/>
        <v>0</v>
      </c>
      <c r="I1272" s="679">
        <f t="shared" si="554"/>
        <v>0</v>
      </c>
      <c r="J1272" s="735">
        <f t="shared" si="555"/>
        <v>0</v>
      </c>
      <c r="K1272" s="674">
        <f t="shared" si="546"/>
        <v>0</v>
      </c>
    </row>
    <row r="1273" spans="1:12" ht="17.45" customHeight="1">
      <c r="A1273" s="1435"/>
      <c r="B1273" s="669" t="str">
        <f t="shared" si="547"/>
        <v>5구간</v>
      </c>
      <c r="C1273" s="670">
        <f t="shared" si="548"/>
        <v>0</v>
      </c>
      <c r="D1273" s="736">
        <f t="shared" si="549"/>
        <v>0</v>
      </c>
      <c r="E1273" s="682">
        <f t="shared" si="550"/>
        <v>0</v>
      </c>
      <c r="F1273" s="736">
        <f t="shared" si="551"/>
        <v>0</v>
      </c>
      <c r="G1273" s="682">
        <f t="shared" si="552"/>
        <v>0</v>
      </c>
      <c r="H1273" s="672">
        <f t="shared" si="553"/>
        <v>0</v>
      </c>
      <c r="I1273" s="672">
        <f t="shared" si="554"/>
        <v>0</v>
      </c>
      <c r="J1273" s="736">
        <f t="shared" si="555"/>
        <v>0</v>
      </c>
      <c r="K1273" s="675">
        <f t="shared" si="546"/>
        <v>0</v>
      </c>
      <c r="L1273" s="566"/>
    </row>
    <row r="1274" spans="1:12" ht="17.45" customHeight="1">
      <c r="A1274" s="1435"/>
      <c r="B1274" s="676" t="str">
        <f t="shared" si="547"/>
        <v>6구간</v>
      </c>
      <c r="C1274" s="677">
        <f t="shared" si="548"/>
        <v>0</v>
      </c>
      <c r="D1274" s="735">
        <f t="shared" si="549"/>
        <v>0</v>
      </c>
      <c r="E1274" s="683">
        <f t="shared" si="550"/>
        <v>0</v>
      </c>
      <c r="F1274" s="735">
        <f t="shared" si="551"/>
        <v>0</v>
      </c>
      <c r="G1274" s="683">
        <f t="shared" si="552"/>
        <v>0</v>
      </c>
      <c r="H1274" s="679">
        <f t="shared" si="553"/>
        <v>0</v>
      </c>
      <c r="I1274" s="679">
        <f t="shared" si="554"/>
        <v>0</v>
      </c>
      <c r="J1274" s="735">
        <f t="shared" si="555"/>
        <v>0</v>
      </c>
      <c r="K1274" s="674">
        <f>SUM(C1274:J1274)</f>
        <v>0</v>
      </c>
    </row>
    <row r="1275" spans="1:12" ht="17.45" customHeight="1">
      <c r="A1275" s="1435"/>
      <c r="B1275" s="669" t="str">
        <f t="shared" si="547"/>
        <v>7구간</v>
      </c>
      <c r="C1275" s="677">
        <f t="shared" si="548"/>
        <v>0</v>
      </c>
      <c r="D1275" s="735">
        <f t="shared" si="549"/>
        <v>0</v>
      </c>
      <c r="E1275" s="683">
        <f t="shared" si="550"/>
        <v>0</v>
      </c>
      <c r="F1275" s="735">
        <f t="shared" si="551"/>
        <v>0</v>
      </c>
      <c r="G1275" s="683">
        <f t="shared" si="552"/>
        <v>0</v>
      </c>
      <c r="H1275" s="679">
        <f t="shared" si="553"/>
        <v>0</v>
      </c>
      <c r="I1275" s="679">
        <f t="shared" si="554"/>
        <v>0</v>
      </c>
      <c r="J1275" s="735">
        <f t="shared" si="555"/>
        <v>0</v>
      </c>
      <c r="K1275" s="674">
        <f>SUM(C1275:J1275)</f>
        <v>0</v>
      </c>
    </row>
    <row r="1276" spans="1:12" ht="17.45" customHeight="1">
      <c r="A1276" s="1435"/>
      <c r="B1276" s="669" t="str">
        <f t="shared" si="547"/>
        <v>8구간</v>
      </c>
      <c r="C1276" s="677">
        <f t="shared" si="548"/>
        <v>0</v>
      </c>
      <c r="D1276" s="735">
        <f t="shared" si="549"/>
        <v>0</v>
      </c>
      <c r="E1276" s="683">
        <f t="shared" si="550"/>
        <v>0</v>
      </c>
      <c r="F1276" s="735">
        <f t="shared" si="551"/>
        <v>0</v>
      </c>
      <c r="G1276" s="683">
        <f t="shared" si="552"/>
        <v>0</v>
      </c>
      <c r="H1276" s="679">
        <f t="shared" si="553"/>
        <v>0</v>
      </c>
      <c r="I1276" s="679">
        <f t="shared" si="554"/>
        <v>0</v>
      </c>
      <c r="J1276" s="735">
        <f t="shared" si="555"/>
        <v>0</v>
      </c>
      <c r="K1276" s="674">
        <f>SUM(C1276:J1276)</f>
        <v>0</v>
      </c>
    </row>
    <row r="1277" spans="1:12" ht="17.45" customHeight="1">
      <c r="A1277" s="1435"/>
      <c r="B1277" s="669" t="str">
        <f t="shared" si="547"/>
        <v>9구간</v>
      </c>
      <c r="C1277" s="677">
        <f t="shared" si="548"/>
        <v>0</v>
      </c>
      <c r="D1277" s="735">
        <f t="shared" si="549"/>
        <v>0</v>
      </c>
      <c r="E1277" s="683">
        <f t="shared" si="550"/>
        <v>0</v>
      </c>
      <c r="F1277" s="735">
        <f t="shared" si="551"/>
        <v>0</v>
      </c>
      <c r="G1277" s="683">
        <f t="shared" si="552"/>
        <v>0</v>
      </c>
      <c r="H1277" s="679">
        <f t="shared" si="553"/>
        <v>0</v>
      </c>
      <c r="I1277" s="679">
        <f t="shared" si="554"/>
        <v>0</v>
      </c>
      <c r="J1277" s="735">
        <f t="shared" si="555"/>
        <v>0</v>
      </c>
      <c r="K1277" s="674">
        <f>SUM(C1277:J1277)</f>
        <v>0</v>
      </c>
    </row>
    <row r="1278" spans="1:12" ht="17.45" customHeight="1">
      <c r="A1278" s="1436"/>
      <c r="B1278" s="680" t="str">
        <f t="shared" si="547"/>
        <v>10구간</v>
      </c>
      <c r="C1278" s="737">
        <f t="shared" si="548"/>
        <v>0</v>
      </c>
      <c r="D1278" s="738">
        <f t="shared" si="549"/>
        <v>0</v>
      </c>
      <c r="E1278" s="745">
        <f t="shared" si="550"/>
        <v>0</v>
      </c>
      <c r="F1278" s="738">
        <f t="shared" si="551"/>
        <v>0</v>
      </c>
      <c r="G1278" s="745">
        <f t="shared" si="552"/>
        <v>0</v>
      </c>
      <c r="H1278" s="739">
        <f t="shared" si="553"/>
        <v>0</v>
      </c>
      <c r="I1278" s="739">
        <f t="shared" si="554"/>
        <v>0</v>
      </c>
      <c r="J1278" s="738">
        <f t="shared" si="555"/>
        <v>0</v>
      </c>
      <c r="K1278" s="674">
        <f>SUM(C1278:J1278)</f>
        <v>0</v>
      </c>
      <c r="L1278" s="566"/>
    </row>
    <row r="1279" spans="1:12" ht="17.45" customHeight="1">
      <c r="A1279" s="1434">
        <v>30</v>
      </c>
      <c r="B1279" s="676" t="str">
        <f t="shared" si="547"/>
        <v>1구간</v>
      </c>
      <c r="C1279" s="677">
        <f t="shared" ref="C1279:C1288" si="556">ROUND(((($C$1258*$C$1228*$E1136)*$E$1249)*$C277),2)</f>
        <v>0</v>
      </c>
      <c r="D1279" s="735">
        <f t="shared" ref="D1279:D1288" si="557">ROUND((((D$1258*$C$1228*$E1159)*$F$1249)*$D277),2)</f>
        <v>0.03</v>
      </c>
      <c r="E1279" s="683">
        <f t="shared" ref="E1279:E1288" si="558">ROUND((((E$1258*$C$1228*$E1182)*$F$1249)*$E277),2)</f>
        <v>0</v>
      </c>
      <c r="F1279" s="735">
        <f t="shared" ref="F1279:F1288" si="559">ROUND((((F$1258*$C$1228*$E1205)*$F$1249)*$F277),2)</f>
        <v>0.02</v>
      </c>
      <c r="G1279" s="683">
        <f t="shared" ref="G1279:G1288" si="560">ROUND((((G$1258*$C$1228*$E1182)*$F$1249)*$G277),2)</f>
        <v>0.02</v>
      </c>
      <c r="H1279" s="679">
        <f t="shared" ref="H1279:H1288" si="561">ROUND((((H$1258*$C$1228*$E1205)*$F$1249)*$H277),2)</f>
        <v>0.03</v>
      </c>
      <c r="I1279" s="679">
        <f t="shared" ref="I1279:I1288" si="562">ROUND((((I$1258*$C$1228*$E1205)*$F$1249)*$I277),2)</f>
        <v>0.01</v>
      </c>
      <c r="J1279" s="735">
        <f t="shared" ref="J1279:J1288" si="563">ROUND((((J$1258*$C$1228*$E1205)*$F$1249)*$J277),2)</f>
        <v>0.02</v>
      </c>
      <c r="K1279" s="681">
        <f t="shared" si="546"/>
        <v>0.13</v>
      </c>
    </row>
    <row r="1280" spans="1:12" ht="17.45" customHeight="1">
      <c r="A1280" s="1435"/>
      <c r="B1280" s="669" t="str">
        <f t="shared" si="547"/>
        <v>2구간</v>
      </c>
      <c r="C1280" s="677">
        <f t="shared" si="556"/>
        <v>0</v>
      </c>
      <c r="D1280" s="735">
        <f t="shared" si="557"/>
        <v>0</v>
      </c>
      <c r="E1280" s="683">
        <f t="shared" si="558"/>
        <v>0</v>
      </c>
      <c r="F1280" s="735">
        <f t="shared" si="559"/>
        <v>0</v>
      </c>
      <c r="G1280" s="683">
        <f t="shared" si="560"/>
        <v>0</v>
      </c>
      <c r="H1280" s="679">
        <f t="shared" si="561"/>
        <v>0</v>
      </c>
      <c r="I1280" s="679">
        <f t="shared" si="562"/>
        <v>0</v>
      </c>
      <c r="J1280" s="735">
        <f t="shared" si="563"/>
        <v>0</v>
      </c>
      <c r="K1280" s="674">
        <f t="shared" si="546"/>
        <v>0</v>
      </c>
    </row>
    <row r="1281" spans="1:11" ht="17.45" customHeight="1">
      <c r="A1281" s="1435"/>
      <c r="B1281" s="669" t="str">
        <f t="shared" si="547"/>
        <v>3구간</v>
      </c>
      <c r="C1281" s="677">
        <f t="shared" si="556"/>
        <v>0</v>
      </c>
      <c r="D1281" s="735">
        <f t="shared" si="557"/>
        <v>0</v>
      </c>
      <c r="E1281" s="683">
        <f t="shared" si="558"/>
        <v>0</v>
      </c>
      <c r="F1281" s="735">
        <f t="shared" si="559"/>
        <v>0</v>
      </c>
      <c r="G1281" s="683">
        <f t="shared" si="560"/>
        <v>0</v>
      </c>
      <c r="H1281" s="679">
        <f t="shared" si="561"/>
        <v>0</v>
      </c>
      <c r="I1281" s="679">
        <f t="shared" si="562"/>
        <v>0</v>
      </c>
      <c r="J1281" s="735">
        <f t="shared" si="563"/>
        <v>0</v>
      </c>
      <c r="K1281" s="674">
        <f t="shared" si="546"/>
        <v>0</v>
      </c>
    </row>
    <row r="1282" spans="1:11" ht="17.45" customHeight="1">
      <c r="A1282" s="1435"/>
      <c r="B1282" s="669" t="str">
        <f t="shared" si="547"/>
        <v>4구간</v>
      </c>
      <c r="C1282" s="677">
        <f t="shared" si="556"/>
        <v>0</v>
      </c>
      <c r="D1282" s="735">
        <f t="shared" si="557"/>
        <v>0</v>
      </c>
      <c r="E1282" s="683">
        <f t="shared" si="558"/>
        <v>0</v>
      </c>
      <c r="F1282" s="735">
        <f t="shared" si="559"/>
        <v>0</v>
      </c>
      <c r="G1282" s="683">
        <f t="shared" si="560"/>
        <v>0</v>
      </c>
      <c r="H1282" s="679">
        <f t="shared" si="561"/>
        <v>0</v>
      </c>
      <c r="I1282" s="679">
        <f t="shared" si="562"/>
        <v>0</v>
      </c>
      <c r="J1282" s="735">
        <f t="shared" si="563"/>
        <v>0</v>
      </c>
      <c r="K1282" s="674">
        <f t="shared" si="546"/>
        <v>0</v>
      </c>
    </row>
    <row r="1283" spans="1:11" ht="17.45" customHeight="1">
      <c r="A1283" s="1435"/>
      <c r="B1283" s="669" t="str">
        <f t="shared" si="547"/>
        <v>5구간</v>
      </c>
      <c r="C1283" s="670">
        <f t="shared" si="556"/>
        <v>0</v>
      </c>
      <c r="D1283" s="736">
        <f t="shared" si="557"/>
        <v>0</v>
      </c>
      <c r="E1283" s="682">
        <f t="shared" si="558"/>
        <v>0</v>
      </c>
      <c r="F1283" s="736">
        <f t="shared" si="559"/>
        <v>0</v>
      </c>
      <c r="G1283" s="682">
        <f t="shared" si="560"/>
        <v>0</v>
      </c>
      <c r="H1283" s="672">
        <f t="shared" si="561"/>
        <v>0</v>
      </c>
      <c r="I1283" s="672">
        <f t="shared" si="562"/>
        <v>0</v>
      </c>
      <c r="J1283" s="736">
        <f t="shared" si="563"/>
        <v>0</v>
      </c>
      <c r="K1283" s="675">
        <f t="shared" si="546"/>
        <v>0</v>
      </c>
    </row>
    <row r="1284" spans="1:11" ht="17.45" customHeight="1">
      <c r="A1284" s="1435"/>
      <c r="B1284" s="676" t="str">
        <f t="shared" si="547"/>
        <v>6구간</v>
      </c>
      <c r="C1284" s="677">
        <f t="shared" si="556"/>
        <v>0</v>
      </c>
      <c r="D1284" s="735">
        <f t="shared" si="557"/>
        <v>0</v>
      </c>
      <c r="E1284" s="683">
        <f t="shared" si="558"/>
        <v>0</v>
      </c>
      <c r="F1284" s="735">
        <f t="shared" si="559"/>
        <v>0</v>
      </c>
      <c r="G1284" s="683">
        <f t="shared" si="560"/>
        <v>0</v>
      </c>
      <c r="H1284" s="679">
        <f t="shared" si="561"/>
        <v>0</v>
      </c>
      <c r="I1284" s="679">
        <f t="shared" si="562"/>
        <v>0</v>
      </c>
      <c r="J1284" s="735">
        <f t="shared" si="563"/>
        <v>0</v>
      </c>
      <c r="K1284" s="674">
        <f>SUM(C1284:J1284)</f>
        <v>0</v>
      </c>
    </row>
    <row r="1285" spans="1:11" ht="17.45" customHeight="1">
      <c r="A1285" s="1435"/>
      <c r="B1285" s="669" t="str">
        <f t="shared" si="547"/>
        <v>7구간</v>
      </c>
      <c r="C1285" s="677">
        <f t="shared" si="556"/>
        <v>0</v>
      </c>
      <c r="D1285" s="735">
        <f t="shared" si="557"/>
        <v>0</v>
      </c>
      <c r="E1285" s="683">
        <f t="shared" si="558"/>
        <v>0</v>
      </c>
      <c r="F1285" s="735">
        <f t="shared" si="559"/>
        <v>0</v>
      </c>
      <c r="G1285" s="683">
        <f t="shared" si="560"/>
        <v>0</v>
      </c>
      <c r="H1285" s="679">
        <f t="shared" si="561"/>
        <v>0</v>
      </c>
      <c r="I1285" s="679">
        <f t="shared" si="562"/>
        <v>0</v>
      </c>
      <c r="J1285" s="735">
        <f t="shared" si="563"/>
        <v>0</v>
      </c>
      <c r="K1285" s="674">
        <f>SUM(C1285:J1285)</f>
        <v>0</v>
      </c>
    </row>
    <row r="1286" spans="1:11" ht="17.45" customHeight="1">
      <c r="A1286" s="1435"/>
      <c r="B1286" s="669" t="str">
        <f t="shared" si="547"/>
        <v>8구간</v>
      </c>
      <c r="C1286" s="677">
        <f t="shared" si="556"/>
        <v>0</v>
      </c>
      <c r="D1286" s="735">
        <f t="shared" si="557"/>
        <v>0</v>
      </c>
      <c r="E1286" s="683">
        <f t="shared" si="558"/>
        <v>0</v>
      </c>
      <c r="F1286" s="735">
        <f t="shared" si="559"/>
        <v>0</v>
      </c>
      <c r="G1286" s="683">
        <f t="shared" si="560"/>
        <v>0</v>
      </c>
      <c r="H1286" s="679">
        <f t="shared" si="561"/>
        <v>0</v>
      </c>
      <c r="I1286" s="679">
        <f t="shared" si="562"/>
        <v>0</v>
      </c>
      <c r="J1286" s="735">
        <f t="shared" si="563"/>
        <v>0</v>
      </c>
      <c r="K1286" s="674">
        <f>SUM(C1286:J1286)</f>
        <v>0</v>
      </c>
    </row>
    <row r="1287" spans="1:11" ht="17.45" customHeight="1">
      <c r="A1287" s="1435"/>
      <c r="B1287" s="669" t="str">
        <f t="shared" si="547"/>
        <v>9구간</v>
      </c>
      <c r="C1287" s="677">
        <f t="shared" si="556"/>
        <v>0</v>
      </c>
      <c r="D1287" s="735">
        <f t="shared" si="557"/>
        <v>0</v>
      </c>
      <c r="E1287" s="683">
        <f t="shared" si="558"/>
        <v>0</v>
      </c>
      <c r="F1287" s="735">
        <f t="shared" si="559"/>
        <v>0</v>
      </c>
      <c r="G1287" s="683">
        <f t="shared" si="560"/>
        <v>0</v>
      </c>
      <c r="H1287" s="679">
        <f t="shared" si="561"/>
        <v>0</v>
      </c>
      <c r="I1287" s="679">
        <f t="shared" si="562"/>
        <v>0</v>
      </c>
      <c r="J1287" s="735">
        <f t="shared" si="563"/>
        <v>0</v>
      </c>
      <c r="K1287" s="674">
        <f>SUM(C1287:J1287)</f>
        <v>0</v>
      </c>
    </row>
    <row r="1288" spans="1:11" ht="17.45" customHeight="1">
      <c r="A1288" s="1436"/>
      <c r="B1288" s="680" t="str">
        <f t="shared" si="547"/>
        <v>10구간</v>
      </c>
      <c r="C1288" s="737">
        <f t="shared" si="556"/>
        <v>0</v>
      </c>
      <c r="D1288" s="738">
        <f t="shared" si="557"/>
        <v>0</v>
      </c>
      <c r="E1288" s="745">
        <f t="shared" si="558"/>
        <v>0</v>
      </c>
      <c r="F1288" s="738">
        <f t="shared" si="559"/>
        <v>0</v>
      </c>
      <c r="G1288" s="745">
        <f t="shared" si="560"/>
        <v>0</v>
      </c>
      <c r="H1288" s="739">
        <f t="shared" si="561"/>
        <v>0</v>
      </c>
      <c r="I1288" s="739">
        <f t="shared" si="562"/>
        <v>0</v>
      </c>
      <c r="J1288" s="738">
        <f t="shared" si="563"/>
        <v>0</v>
      </c>
      <c r="K1288" s="674">
        <f>SUM(C1288:J1288)</f>
        <v>0</v>
      </c>
    </row>
    <row r="1289" spans="1:11" ht="17.45" customHeight="1">
      <c r="A1289" s="1434">
        <v>40</v>
      </c>
      <c r="B1289" s="676" t="str">
        <f t="shared" si="547"/>
        <v>1구간</v>
      </c>
      <c r="C1289" s="677">
        <f t="shared" ref="C1289:C1298" si="564">ROUND(((($C$1258*$C$1228*$F1136)*$E$1249)*$C288),2)</f>
        <v>0</v>
      </c>
      <c r="D1289" s="735">
        <f t="shared" ref="D1289:D1298" si="565">ROUND((((D$1258*$C$1228*$F1159)*$F$1249)*$D288),2)</f>
        <v>0.03</v>
      </c>
      <c r="E1289" s="683">
        <f t="shared" ref="E1289:E1298" si="566">ROUND((((E$1258*$C$1228*$F1182)*$F$1249)*$E288),2)</f>
        <v>0</v>
      </c>
      <c r="F1289" s="735">
        <f t="shared" ref="F1289:F1298" si="567">ROUND((((F$1258*$C$1228*$F1205)*$F$1249)*$F288),2)</f>
        <v>0.01</v>
      </c>
      <c r="G1289" s="683">
        <f t="shared" ref="G1289:G1298" si="568">ROUND((((G$1258*$C$1228*$F1182)*$F$1249)*$G288),2)</f>
        <v>0.01</v>
      </c>
      <c r="H1289" s="679">
        <f t="shared" ref="H1289:H1298" si="569">ROUND((((H$1258*$C$1228*$F1205)*$F$1249)*$H288),2)</f>
        <v>0.03</v>
      </c>
      <c r="I1289" s="679">
        <f t="shared" ref="I1289:I1298" si="570">ROUND((((I$1258*$C$1228*$F1205)*$F$1249)*$I288),2)</f>
        <v>0.01</v>
      </c>
      <c r="J1289" s="735">
        <f t="shared" ref="J1289:J1298" si="571">ROUND((((J$1258*$C$1228*$F1205)*$F$1249)*$J288),2)</f>
        <v>0.02</v>
      </c>
      <c r="K1289" s="681">
        <f t="shared" si="546"/>
        <v>0.11</v>
      </c>
    </row>
    <row r="1290" spans="1:11" ht="17.45" customHeight="1">
      <c r="A1290" s="1435"/>
      <c r="B1290" s="669" t="str">
        <f t="shared" si="547"/>
        <v>2구간</v>
      </c>
      <c r="C1290" s="677">
        <f t="shared" si="564"/>
        <v>0</v>
      </c>
      <c r="D1290" s="735">
        <f t="shared" si="565"/>
        <v>0</v>
      </c>
      <c r="E1290" s="683">
        <f t="shared" si="566"/>
        <v>0</v>
      </c>
      <c r="F1290" s="735">
        <f t="shared" si="567"/>
        <v>0</v>
      </c>
      <c r="G1290" s="683">
        <f t="shared" si="568"/>
        <v>0</v>
      </c>
      <c r="H1290" s="679">
        <f t="shared" si="569"/>
        <v>0</v>
      </c>
      <c r="I1290" s="679">
        <f t="shared" si="570"/>
        <v>0</v>
      </c>
      <c r="J1290" s="735">
        <f t="shared" si="571"/>
        <v>0</v>
      </c>
      <c r="K1290" s="674">
        <f t="shared" si="546"/>
        <v>0</v>
      </c>
    </row>
    <row r="1291" spans="1:11" ht="17.45" customHeight="1">
      <c r="A1291" s="1435"/>
      <c r="B1291" s="669" t="str">
        <f t="shared" si="547"/>
        <v>3구간</v>
      </c>
      <c r="C1291" s="677">
        <f t="shared" si="564"/>
        <v>0</v>
      </c>
      <c r="D1291" s="735">
        <f t="shared" si="565"/>
        <v>0</v>
      </c>
      <c r="E1291" s="683">
        <f t="shared" si="566"/>
        <v>0</v>
      </c>
      <c r="F1291" s="735">
        <f t="shared" si="567"/>
        <v>0</v>
      </c>
      <c r="G1291" s="683">
        <f t="shared" si="568"/>
        <v>0</v>
      </c>
      <c r="H1291" s="679">
        <f t="shared" si="569"/>
        <v>0</v>
      </c>
      <c r="I1291" s="679">
        <f t="shared" si="570"/>
        <v>0</v>
      </c>
      <c r="J1291" s="735">
        <f t="shared" si="571"/>
        <v>0</v>
      </c>
      <c r="K1291" s="674">
        <f t="shared" si="546"/>
        <v>0</v>
      </c>
    </row>
    <row r="1292" spans="1:11" ht="17.45" customHeight="1">
      <c r="A1292" s="1435"/>
      <c r="B1292" s="669" t="str">
        <f t="shared" si="547"/>
        <v>4구간</v>
      </c>
      <c r="C1292" s="677">
        <f t="shared" si="564"/>
        <v>0</v>
      </c>
      <c r="D1292" s="735">
        <f t="shared" si="565"/>
        <v>0</v>
      </c>
      <c r="E1292" s="683">
        <f t="shared" si="566"/>
        <v>0</v>
      </c>
      <c r="F1292" s="735">
        <f t="shared" si="567"/>
        <v>0</v>
      </c>
      <c r="G1292" s="683">
        <f t="shared" si="568"/>
        <v>0</v>
      </c>
      <c r="H1292" s="679">
        <f t="shared" si="569"/>
        <v>0</v>
      </c>
      <c r="I1292" s="679">
        <f t="shared" si="570"/>
        <v>0</v>
      </c>
      <c r="J1292" s="735">
        <f t="shared" si="571"/>
        <v>0</v>
      </c>
      <c r="K1292" s="674">
        <f t="shared" si="546"/>
        <v>0</v>
      </c>
    </row>
    <row r="1293" spans="1:11" ht="17.45" customHeight="1">
      <c r="A1293" s="1435"/>
      <c r="B1293" s="669" t="str">
        <f t="shared" si="547"/>
        <v>5구간</v>
      </c>
      <c r="C1293" s="670">
        <f t="shared" si="564"/>
        <v>0</v>
      </c>
      <c r="D1293" s="736">
        <f t="shared" si="565"/>
        <v>0</v>
      </c>
      <c r="E1293" s="682">
        <f t="shared" si="566"/>
        <v>0</v>
      </c>
      <c r="F1293" s="736">
        <f t="shared" si="567"/>
        <v>0</v>
      </c>
      <c r="G1293" s="682">
        <f t="shared" si="568"/>
        <v>0</v>
      </c>
      <c r="H1293" s="672">
        <f t="shared" si="569"/>
        <v>0</v>
      </c>
      <c r="I1293" s="672">
        <f t="shared" si="570"/>
        <v>0</v>
      </c>
      <c r="J1293" s="736">
        <f t="shared" si="571"/>
        <v>0</v>
      </c>
      <c r="K1293" s="675">
        <f t="shared" si="546"/>
        <v>0</v>
      </c>
    </row>
    <row r="1294" spans="1:11" ht="17.45" customHeight="1">
      <c r="A1294" s="1435"/>
      <c r="B1294" s="676" t="str">
        <f t="shared" si="547"/>
        <v>6구간</v>
      </c>
      <c r="C1294" s="677">
        <f t="shared" si="564"/>
        <v>0</v>
      </c>
      <c r="D1294" s="735">
        <f t="shared" si="565"/>
        <v>0</v>
      </c>
      <c r="E1294" s="683">
        <f t="shared" si="566"/>
        <v>0</v>
      </c>
      <c r="F1294" s="735">
        <f t="shared" si="567"/>
        <v>0</v>
      </c>
      <c r="G1294" s="683">
        <f t="shared" si="568"/>
        <v>0</v>
      </c>
      <c r="H1294" s="679">
        <f t="shared" si="569"/>
        <v>0</v>
      </c>
      <c r="I1294" s="679">
        <f t="shared" si="570"/>
        <v>0</v>
      </c>
      <c r="J1294" s="735">
        <f t="shared" si="571"/>
        <v>0</v>
      </c>
      <c r="K1294" s="674">
        <f>SUM(C1294:J1294)</f>
        <v>0</v>
      </c>
    </row>
    <row r="1295" spans="1:11" ht="17.45" customHeight="1">
      <c r="A1295" s="1435"/>
      <c r="B1295" s="669" t="str">
        <f t="shared" si="547"/>
        <v>7구간</v>
      </c>
      <c r="C1295" s="677">
        <f t="shared" si="564"/>
        <v>0</v>
      </c>
      <c r="D1295" s="735">
        <f t="shared" si="565"/>
        <v>0</v>
      </c>
      <c r="E1295" s="683">
        <f t="shared" si="566"/>
        <v>0</v>
      </c>
      <c r="F1295" s="735">
        <f t="shared" si="567"/>
        <v>0</v>
      </c>
      <c r="G1295" s="683">
        <f t="shared" si="568"/>
        <v>0</v>
      </c>
      <c r="H1295" s="679">
        <f t="shared" si="569"/>
        <v>0</v>
      </c>
      <c r="I1295" s="679">
        <f t="shared" si="570"/>
        <v>0</v>
      </c>
      <c r="J1295" s="735">
        <f t="shared" si="571"/>
        <v>0</v>
      </c>
      <c r="K1295" s="674">
        <f>SUM(C1295:J1295)</f>
        <v>0</v>
      </c>
    </row>
    <row r="1296" spans="1:11" ht="17.45" customHeight="1">
      <c r="A1296" s="1435"/>
      <c r="B1296" s="669" t="str">
        <f t="shared" si="547"/>
        <v>8구간</v>
      </c>
      <c r="C1296" s="677">
        <f t="shared" si="564"/>
        <v>0</v>
      </c>
      <c r="D1296" s="735">
        <f t="shared" si="565"/>
        <v>0</v>
      </c>
      <c r="E1296" s="683">
        <f t="shared" si="566"/>
        <v>0</v>
      </c>
      <c r="F1296" s="735">
        <f t="shared" si="567"/>
        <v>0</v>
      </c>
      <c r="G1296" s="683">
        <f t="shared" si="568"/>
        <v>0</v>
      </c>
      <c r="H1296" s="679">
        <f t="shared" si="569"/>
        <v>0</v>
      </c>
      <c r="I1296" s="679">
        <f t="shared" si="570"/>
        <v>0</v>
      </c>
      <c r="J1296" s="735">
        <f t="shared" si="571"/>
        <v>0</v>
      </c>
      <c r="K1296" s="674">
        <f>SUM(C1296:J1296)</f>
        <v>0</v>
      </c>
    </row>
    <row r="1297" spans="1:11" ht="17.45" customHeight="1">
      <c r="A1297" s="1435"/>
      <c r="B1297" s="669" t="str">
        <f t="shared" si="547"/>
        <v>9구간</v>
      </c>
      <c r="C1297" s="677">
        <f t="shared" si="564"/>
        <v>0</v>
      </c>
      <c r="D1297" s="735">
        <f t="shared" si="565"/>
        <v>0</v>
      </c>
      <c r="E1297" s="683">
        <f t="shared" si="566"/>
        <v>0</v>
      </c>
      <c r="F1297" s="735">
        <f t="shared" si="567"/>
        <v>0</v>
      </c>
      <c r="G1297" s="683">
        <f t="shared" si="568"/>
        <v>0</v>
      </c>
      <c r="H1297" s="679">
        <f t="shared" si="569"/>
        <v>0</v>
      </c>
      <c r="I1297" s="679">
        <f t="shared" si="570"/>
        <v>0</v>
      </c>
      <c r="J1297" s="735">
        <f t="shared" si="571"/>
        <v>0</v>
      </c>
      <c r="K1297" s="674">
        <f>SUM(C1297:J1297)</f>
        <v>0</v>
      </c>
    </row>
    <row r="1298" spans="1:11" ht="17.45" customHeight="1">
      <c r="A1298" s="1436"/>
      <c r="B1298" s="680" t="str">
        <f t="shared" si="547"/>
        <v>10구간</v>
      </c>
      <c r="C1298" s="737">
        <f t="shared" si="564"/>
        <v>0</v>
      </c>
      <c r="D1298" s="738">
        <f t="shared" si="565"/>
        <v>0</v>
      </c>
      <c r="E1298" s="745">
        <f t="shared" si="566"/>
        <v>0</v>
      </c>
      <c r="F1298" s="738">
        <f t="shared" si="567"/>
        <v>0</v>
      </c>
      <c r="G1298" s="745">
        <f t="shared" si="568"/>
        <v>0</v>
      </c>
      <c r="H1298" s="739">
        <f t="shared" si="569"/>
        <v>0</v>
      </c>
      <c r="I1298" s="739">
        <f t="shared" si="570"/>
        <v>0</v>
      </c>
      <c r="J1298" s="738">
        <f t="shared" si="571"/>
        <v>0</v>
      </c>
      <c r="K1298" s="674">
        <f>SUM(C1298:J1298)</f>
        <v>0</v>
      </c>
    </row>
    <row r="1299" spans="1:11" ht="17.45" customHeight="1">
      <c r="A1299" s="1434">
        <v>50</v>
      </c>
      <c r="B1299" s="676" t="str">
        <f t="shared" si="547"/>
        <v>1구간</v>
      </c>
      <c r="C1299" s="677">
        <f t="shared" ref="C1299:C1308" si="572">ROUND(((($C$1258*$C$1228*$G1136)*$E$1249)*$C299),2)</f>
        <v>0</v>
      </c>
      <c r="D1299" s="735">
        <f t="shared" ref="D1299:D1308" si="573">ROUND((((D$1258*$C$1228*$G1159)*$F$1249)*$D299),2)</f>
        <v>0.02</v>
      </c>
      <c r="E1299" s="683">
        <f t="shared" ref="E1299:E1308" si="574">ROUND((((E$1258*$C$1228*$G1182)*$F$1249)*$E299),2)</f>
        <v>0</v>
      </c>
      <c r="F1299" s="735">
        <f t="shared" ref="F1299:F1308" si="575">ROUND((((F$1258*$C$1228*$G1205)*$F$1249)*$F299),2)</f>
        <v>0.01</v>
      </c>
      <c r="G1299" s="683">
        <f t="shared" ref="G1299:G1308" si="576">ROUND((((G$1258*$C$1228*$G1182)*$F$1249)*$G299),2)</f>
        <v>0.01</v>
      </c>
      <c r="H1299" s="679">
        <f t="shared" ref="H1299:H1308" si="577">ROUND((((H$1258*$C$1228*$G1205)*$F$1249)*$H299),2)</f>
        <v>0.02</v>
      </c>
      <c r="I1299" s="679">
        <f t="shared" ref="I1299:I1308" si="578">ROUND((((I$1258*$C$1228*$G1205)*$F$1249)*$I299),2)</f>
        <v>0.01</v>
      </c>
      <c r="J1299" s="735">
        <f t="shared" ref="J1299:J1308" si="579">ROUND((((J$1258*$C$1228*$G1205)*$F$1249)*$J299),2)</f>
        <v>0.02</v>
      </c>
      <c r="K1299" s="681">
        <f t="shared" si="546"/>
        <v>0.09</v>
      </c>
    </row>
    <row r="1300" spans="1:11" ht="17.45" customHeight="1">
      <c r="A1300" s="1435"/>
      <c r="B1300" s="669" t="str">
        <f t="shared" si="547"/>
        <v>2구간</v>
      </c>
      <c r="C1300" s="677">
        <f t="shared" si="572"/>
        <v>0</v>
      </c>
      <c r="D1300" s="735">
        <f t="shared" si="573"/>
        <v>0</v>
      </c>
      <c r="E1300" s="683">
        <f t="shared" si="574"/>
        <v>0</v>
      </c>
      <c r="F1300" s="735">
        <f t="shared" si="575"/>
        <v>0</v>
      </c>
      <c r="G1300" s="683">
        <f t="shared" si="576"/>
        <v>0</v>
      </c>
      <c r="H1300" s="679">
        <f t="shared" si="577"/>
        <v>0</v>
      </c>
      <c r="I1300" s="679">
        <f t="shared" si="578"/>
        <v>0</v>
      </c>
      <c r="J1300" s="735">
        <f t="shared" si="579"/>
        <v>0</v>
      </c>
      <c r="K1300" s="674">
        <f t="shared" si="546"/>
        <v>0</v>
      </c>
    </row>
    <row r="1301" spans="1:11" ht="17.45" customHeight="1">
      <c r="A1301" s="1435"/>
      <c r="B1301" s="669" t="str">
        <f t="shared" ref="B1301:B1328" si="580">B1291</f>
        <v>3구간</v>
      </c>
      <c r="C1301" s="677">
        <f t="shared" si="572"/>
        <v>0</v>
      </c>
      <c r="D1301" s="735">
        <f t="shared" si="573"/>
        <v>0</v>
      </c>
      <c r="E1301" s="683">
        <f t="shared" si="574"/>
        <v>0</v>
      </c>
      <c r="F1301" s="735">
        <f t="shared" si="575"/>
        <v>0</v>
      </c>
      <c r="G1301" s="683">
        <f t="shared" si="576"/>
        <v>0</v>
      </c>
      <c r="H1301" s="679">
        <f t="shared" si="577"/>
        <v>0</v>
      </c>
      <c r="I1301" s="679">
        <f t="shared" si="578"/>
        <v>0</v>
      </c>
      <c r="J1301" s="735">
        <f t="shared" si="579"/>
        <v>0</v>
      </c>
      <c r="K1301" s="674">
        <f t="shared" si="546"/>
        <v>0</v>
      </c>
    </row>
    <row r="1302" spans="1:11" ht="17.45" customHeight="1">
      <c r="A1302" s="1435"/>
      <c r="B1302" s="669" t="str">
        <f t="shared" si="580"/>
        <v>4구간</v>
      </c>
      <c r="C1302" s="677">
        <f t="shared" si="572"/>
        <v>0</v>
      </c>
      <c r="D1302" s="735">
        <f t="shared" si="573"/>
        <v>0</v>
      </c>
      <c r="E1302" s="683">
        <f t="shared" si="574"/>
        <v>0</v>
      </c>
      <c r="F1302" s="735">
        <f t="shared" si="575"/>
        <v>0</v>
      </c>
      <c r="G1302" s="683">
        <f t="shared" si="576"/>
        <v>0</v>
      </c>
      <c r="H1302" s="679">
        <f t="shared" si="577"/>
        <v>0</v>
      </c>
      <c r="I1302" s="679">
        <f t="shared" si="578"/>
        <v>0</v>
      </c>
      <c r="J1302" s="735">
        <f t="shared" si="579"/>
        <v>0</v>
      </c>
      <c r="K1302" s="674">
        <f t="shared" si="546"/>
        <v>0</v>
      </c>
    </row>
    <row r="1303" spans="1:11" ht="17.45" customHeight="1">
      <c r="A1303" s="1435"/>
      <c r="B1303" s="669" t="str">
        <f t="shared" si="580"/>
        <v>5구간</v>
      </c>
      <c r="C1303" s="670">
        <f t="shared" si="572"/>
        <v>0</v>
      </c>
      <c r="D1303" s="736">
        <f t="shared" si="573"/>
        <v>0</v>
      </c>
      <c r="E1303" s="682">
        <f t="shared" si="574"/>
        <v>0</v>
      </c>
      <c r="F1303" s="736">
        <f t="shared" si="575"/>
        <v>0</v>
      </c>
      <c r="G1303" s="682">
        <f t="shared" si="576"/>
        <v>0</v>
      </c>
      <c r="H1303" s="672">
        <f t="shared" si="577"/>
        <v>0</v>
      </c>
      <c r="I1303" s="672">
        <f t="shared" si="578"/>
        <v>0</v>
      </c>
      <c r="J1303" s="736">
        <f t="shared" si="579"/>
        <v>0</v>
      </c>
      <c r="K1303" s="675">
        <f t="shared" si="546"/>
        <v>0</v>
      </c>
    </row>
    <row r="1304" spans="1:11" ht="17.45" customHeight="1">
      <c r="A1304" s="1435"/>
      <c r="B1304" s="676" t="str">
        <f t="shared" si="580"/>
        <v>6구간</v>
      </c>
      <c r="C1304" s="677">
        <f t="shared" si="572"/>
        <v>0</v>
      </c>
      <c r="D1304" s="735">
        <f t="shared" si="573"/>
        <v>0</v>
      </c>
      <c r="E1304" s="683">
        <f t="shared" si="574"/>
        <v>0</v>
      </c>
      <c r="F1304" s="735">
        <f t="shared" si="575"/>
        <v>0</v>
      </c>
      <c r="G1304" s="683">
        <f t="shared" si="576"/>
        <v>0</v>
      </c>
      <c r="H1304" s="679">
        <f t="shared" si="577"/>
        <v>0</v>
      </c>
      <c r="I1304" s="679">
        <f t="shared" si="578"/>
        <v>0</v>
      </c>
      <c r="J1304" s="735">
        <f t="shared" si="579"/>
        <v>0</v>
      </c>
      <c r="K1304" s="674">
        <f>SUM(C1304:J1304)</f>
        <v>0</v>
      </c>
    </row>
    <row r="1305" spans="1:11" ht="17.45" customHeight="1">
      <c r="A1305" s="1435"/>
      <c r="B1305" s="669" t="str">
        <f t="shared" si="580"/>
        <v>7구간</v>
      </c>
      <c r="C1305" s="677">
        <f t="shared" si="572"/>
        <v>0</v>
      </c>
      <c r="D1305" s="735">
        <f t="shared" si="573"/>
        <v>0</v>
      </c>
      <c r="E1305" s="683">
        <f t="shared" si="574"/>
        <v>0</v>
      </c>
      <c r="F1305" s="735">
        <f t="shared" si="575"/>
        <v>0</v>
      </c>
      <c r="G1305" s="683">
        <f t="shared" si="576"/>
        <v>0</v>
      </c>
      <c r="H1305" s="679">
        <f t="shared" si="577"/>
        <v>0</v>
      </c>
      <c r="I1305" s="679">
        <f t="shared" si="578"/>
        <v>0</v>
      </c>
      <c r="J1305" s="735">
        <f t="shared" si="579"/>
        <v>0</v>
      </c>
      <c r="K1305" s="674">
        <f>SUM(C1305:J1305)</f>
        <v>0</v>
      </c>
    </row>
    <row r="1306" spans="1:11" ht="17.45" customHeight="1">
      <c r="A1306" s="1435"/>
      <c r="B1306" s="669" t="str">
        <f t="shared" si="580"/>
        <v>8구간</v>
      </c>
      <c r="C1306" s="677">
        <f t="shared" si="572"/>
        <v>0</v>
      </c>
      <c r="D1306" s="735">
        <f t="shared" si="573"/>
        <v>0</v>
      </c>
      <c r="E1306" s="683">
        <f t="shared" si="574"/>
        <v>0</v>
      </c>
      <c r="F1306" s="735">
        <f t="shared" si="575"/>
        <v>0</v>
      </c>
      <c r="G1306" s="683">
        <f t="shared" si="576"/>
        <v>0</v>
      </c>
      <c r="H1306" s="679">
        <f t="shared" si="577"/>
        <v>0</v>
      </c>
      <c r="I1306" s="679">
        <f t="shared" si="578"/>
        <v>0</v>
      </c>
      <c r="J1306" s="735">
        <f t="shared" si="579"/>
        <v>0</v>
      </c>
      <c r="K1306" s="674">
        <f>SUM(C1306:J1306)</f>
        <v>0</v>
      </c>
    </row>
    <row r="1307" spans="1:11" ht="17.45" customHeight="1">
      <c r="A1307" s="1435"/>
      <c r="B1307" s="669" t="str">
        <f t="shared" si="580"/>
        <v>9구간</v>
      </c>
      <c r="C1307" s="677">
        <f t="shared" si="572"/>
        <v>0</v>
      </c>
      <c r="D1307" s="735">
        <f t="shared" si="573"/>
        <v>0</v>
      </c>
      <c r="E1307" s="683">
        <f t="shared" si="574"/>
        <v>0</v>
      </c>
      <c r="F1307" s="735">
        <f t="shared" si="575"/>
        <v>0</v>
      </c>
      <c r="G1307" s="683">
        <f t="shared" si="576"/>
        <v>0</v>
      </c>
      <c r="H1307" s="679">
        <f t="shared" si="577"/>
        <v>0</v>
      </c>
      <c r="I1307" s="679">
        <f t="shared" si="578"/>
        <v>0</v>
      </c>
      <c r="J1307" s="735">
        <f t="shared" si="579"/>
        <v>0</v>
      </c>
      <c r="K1307" s="674">
        <f>SUM(C1307:J1307)</f>
        <v>0</v>
      </c>
    </row>
    <row r="1308" spans="1:11" ht="17.45" customHeight="1">
      <c r="A1308" s="1436"/>
      <c r="B1308" s="680" t="str">
        <f t="shared" si="580"/>
        <v>10구간</v>
      </c>
      <c r="C1308" s="737">
        <f t="shared" si="572"/>
        <v>0</v>
      </c>
      <c r="D1308" s="738">
        <f t="shared" si="573"/>
        <v>0</v>
      </c>
      <c r="E1308" s="745">
        <f t="shared" si="574"/>
        <v>0</v>
      </c>
      <c r="F1308" s="738">
        <f t="shared" si="575"/>
        <v>0</v>
      </c>
      <c r="G1308" s="745">
        <f t="shared" si="576"/>
        <v>0</v>
      </c>
      <c r="H1308" s="739">
        <f t="shared" si="577"/>
        <v>0</v>
      </c>
      <c r="I1308" s="739">
        <f t="shared" si="578"/>
        <v>0</v>
      </c>
      <c r="J1308" s="738">
        <f t="shared" si="579"/>
        <v>0</v>
      </c>
      <c r="K1308" s="674">
        <f>SUM(C1308:J1308)</f>
        <v>0</v>
      </c>
    </row>
    <row r="1309" spans="1:11" ht="17.45" customHeight="1">
      <c r="A1309" s="1434">
        <v>60</v>
      </c>
      <c r="B1309" s="676" t="str">
        <f t="shared" si="580"/>
        <v>1구간</v>
      </c>
      <c r="C1309" s="677">
        <f t="shared" ref="C1309:C1318" si="581">ROUND(((($C$1258*$C$1228*$H1136)*$E$1249)*$C310),2)</f>
        <v>0</v>
      </c>
      <c r="D1309" s="735">
        <f t="shared" ref="D1309:D1318" si="582">ROUND((((D$1258*$C$1228*$H1159)*$F$1249)*$D310),2)</f>
        <v>0.02</v>
      </c>
      <c r="E1309" s="683">
        <f t="shared" ref="E1309:E1318" si="583">ROUND((((E$1258*$C$1228*$H1182)*$F$1249)*$E310),2)</f>
        <v>0</v>
      </c>
      <c r="F1309" s="735">
        <f t="shared" ref="F1309:F1318" si="584">ROUND((((F$1258*$C$1228*$H1205)*$F$1249)*$F310),2)</f>
        <v>0.01</v>
      </c>
      <c r="G1309" s="683">
        <f t="shared" ref="G1309:G1318" si="585">ROUND((((G$1258*$C$1228*$H1182)*$F$1249)*$G310),2)</f>
        <v>0.01</v>
      </c>
      <c r="H1309" s="679">
        <f t="shared" ref="H1309:H1318" si="586">ROUND((((H$1258*$C$1228*$H1205)*$F$1249)*$H310),2)</f>
        <v>0.02</v>
      </c>
      <c r="I1309" s="679">
        <f t="shared" ref="I1309:I1318" si="587">ROUND((((I$1258*$C$1228*$H1205)*$F$1249)*$I310),2)</f>
        <v>0</v>
      </c>
      <c r="J1309" s="735">
        <f t="shared" ref="J1309:J1318" si="588">ROUND((((J$1258*$C$1228*$H1205)*$F$1249)*$J310),2)</f>
        <v>0.02</v>
      </c>
      <c r="K1309" s="681">
        <f t="shared" si="546"/>
        <v>0.08</v>
      </c>
    </row>
    <row r="1310" spans="1:11" ht="17.45" customHeight="1">
      <c r="A1310" s="1435"/>
      <c r="B1310" s="669" t="str">
        <f t="shared" si="580"/>
        <v>2구간</v>
      </c>
      <c r="C1310" s="677">
        <f t="shared" si="581"/>
        <v>0</v>
      </c>
      <c r="D1310" s="735">
        <f t="shared" si="582"/>
        <v>0</v>
      </c>
      <c r="E1310" s="683">
        <f t="shared" si="583"/>
        <v>0</v>
      </c>
      <c r="F1310" s="735">
        <f t="shared" si="584"/>
        <v>0</v>
      </c>
      <c r="G1310" s="683">
        <f t="shared" si="585"/>
        <v>0</v>
      </c>
      <c r="H1310" s="679">
        <f t="shared" si="586"/>
        <v>0</v>
      </c>
      <c r="I1310" s="679">
        <f t="shared" si="587"/>
        <v>0</v>
      </c>
      <c r="J1310" s="735">
        <f t="shared" si="588"/>
        <v>0</v>
      </c>
      <c r="K1310" s="674">
        <f t="shared" si="546"/>
        <v>0</v>
      </c>
    </row>
    <row r="1311" spans="1:11" ht="17.45" customHeight="1">
      <c r="A1311" s="1435"/>
      <c r="B1311" s="669" t="str">
        <f t="shared" si="580"/>
        <v>3구간</v>
      </c>
      <c r="C1311" s="677">
        <f t="shared" si="581"/>
        <v>0</v>
      </c>
      <c r="D1311" s="735">
        <f t="shared" si="582"/>
        <v>0</v>
      </c>
      <c r="E1311" s="683">
        <f t="shared" si="583"/>
        <v>0</v>
      </c>
      <c r="F1311" s="736">
        <f t="shared" si="584"/>
        <v>0</v>
      </c>
      <c r="G1311" s="683">
        <f t="shared" si="585"/>
        <v>0</v>
      </c>
      <c r="H1311" s="679">
        <f t="shared" si="586"/>
        <v>0</v>
      </c>
      <c r="I1311" s="679">
        <f t="shared" si="587"/>
        <v>0</v>
      </c>
      <c r="J1311" s="735">
        <f t="shared" si="588"/>
        <v>0</v>
      </c>
      <c r="K1311" s="674">
        <f t="shared" si="546"/>
        <v>0</v>
      </c>
    </row>
    <row r="1312" spans="1:11" ht="17.45" customHeight="1">
      <c r="A1312" s="1435"/>
      <c r="B1312" s="669" t="str">
        <f t="shared" si="580"/>
        <v>4구간</v>
      </c>
      <c r="C1312" s="677">
        <f t="shared" si="581"/>
        <v>0</v>
      </c>
      <c r="D1312" s="736">
        <f t="shared" si="582"/>
        <v>0</v>
      </c>
      <c r="E1312" s="683">
        <f t="shared" si="583"/>
        <v>0</v>
      </c>
      <c r="F1312" s="735">
        <f t="shared" si="584"/>
        <v>0</v>
      </c>
      <c r="G1312" s="683">
        <f t="shared" si="585"/>
        <v>0</v>
      </c>
      <c r="H1312" s="679">
        <f t="shared" si="586"/>
        <v>0</v>
      </c>
      <c r="I1312" s="679">
        <f t="shared" si="587"/>
        <v>0</v>
      </c>
      <c r="J1312" s="735">
        <f t="shared" si="588"/>
        <v>0</v>
      </c>
      <c r="K1312" s="674">
        <f t="shared" si="546"/>
        <v>0</v>
      </c>
    </row>
    <row r="1313" spans="1:11" ht="17.45" customHeight="1">
      <c r="A1313" s="1435"/>
      <c r="B1313" s="669" t="str">
        <f t="shared" si="580"/>
        <v>5구간</v>
      </c>
      <c r="C1313" s="670">
        <f t="shared" si="581"/>
        <v>0</v>
      </c>
      <c r="D1313" s="736">
        <f t="shared" si="582"/>
        <v>0</v>
      </c>
      <c r="E1313" s="682">
        <f t="shared" si="583"/>
        <v>0</v>
      </c>
      <c r="F1313" s="736">
        <f t="shared" si="584"/>
        <v>0</v>
      </c>
      <c r="G1313" s="682">
        <f t="shared" si="585"/>
        <v>0</v>
      </c>
      <c r="H1313" s="672">
        <f t="shared" si="586"/>
        <v>0</v>
      </c>
      <c r="I1313" s="672">
        <f t="shared" si="587"/>
        <v>0</v>
      </c>
      <c r="J1313" s="736">
        <f t="shared" si="588"/>
        <v>0</v>
      </c>
      <c r="K1313" s="675">
        <f t="shared" si="546"/>
        <v>0</v>
      </c>
    </row>
    <row r="1314" spans="1:11" ht="17.45" customHeight="1">
      <c r="A1314" s="1435"/>
      <c r="B1314" s="676" t="str">
        <f t="shared" si="580"/>
        <v>6구간</v>
      </c>
      <c r="C1314" s="677">
        <f t="shared" si="581"/>
        <v>0</v>
      </c>
      <c r="D1314" s="735">
        <f t="shared" si="582"/>
        <v>0</v>
      </c>
      <c r="E1314" s="683">
        <f t="shared" si="583"/>
        <v>0</v>
      </c>
      <c r="F1314" s="735">
        <f t="shared" si="584"/>
        <v>0</v>
      </c>
      <c r="G1314" s="683">
        <f t="shared" si="585"/>
        <v>0</v>
      </c>
      <c r="H1314" s="679">
        <f t="shared" si="586"/>
        <v>0</v>
      </c>
      <c r="I1314" s="679">
        <f t="shared" si="587"/>
        <v>0</v>
      </c>
      <c r="J1314" s="735">
        <f t="shared" si="588"/>
        <v>0</v>
      </c>
      <c r="K1314" s="674">
        <f>SUM(C1314:J1314)</f>
        <v>0</v>
      </c>
    </row>
    <row r="1315" spans="1:11" ht="17.45" customHeight="1">
      <c r="A1315" s="1435"/>
      <c r="B1315" s="669" t="str">
        <f t="shared" si="580"/>
        <v>7구간</v>
      </c>
      <c r="C1315" s="677">
        <f t="shared" si="581"/>
        <v>0</v>
      </c>
      <c r="D1315" s="735">
        <f t="shared" si="582"/>
        <v>0</v>
      </c>
      <c r="E1315" s="683">
        <f t="shared" si="583"/>
        <v>0</v>
      </c>
      <c r="F1315" s="735">
        <f t="shared" si="584"/>
        <v>0</v>
      </c>
      <c r="G1315" s="683">
        <f t="shared" si="585"/>
        <v>0</v>
      </c>
      <c r="H1315" s="679">
        <f t="shared" si="586"/>
        <v>0</v>
      </c>
      <c r="I1315" s="679">
        <f t="shared" si="587"/>
        <v>0</v>
      </c>
      <c r="J1315" s="735">
        <f t="shared" si="588"/>
        <v>0</v>
      </c>
      <c r="K1315" s="674">
        <f>SUM(C1315:J1315)</f>
        <v>0</v>
      </c>
    </row>
    <row r="1316" spans="1:11" ht="17.45" customHeight="1">
      <c r="A1316" s="1435"/>
      <c r="B1316" s="669" t="str">
        <f t="shared" si="580"/>
        <v>8구간</v>
      </c>
      <c r="C1316" s="677">
        <f t="shared" si="581"/>
        <v>0</v>
      </c>
      <c r="D1316" s="735">
        <f t="shared" si="582"/>
        <v>0</v>
      </c>
      <c r="E1316" s="683">
        <f t="shared" si="583"/>
        <v>0</v>
      </c>
      <c r="F1316" s="736">
        <f t="shared" si="584"/>
        <v>0</v>
      </c>
      <c r="G1316" s="683">
        <f t="shared" si="585"/>
        <v>0</v>
      </c>
      <c r="H1316" s="679">
        <f t="shared" si="586"/>
        <v>0</v>
      </c>
      <c r="I1316" s="679">
        <f t="shared" si="587"/>
        <v>0</v>
      </c>
      <c r="J1316" s="735">
        <f t="shared" si="588"/>
        <v>0</v>
      </c>
      <c r="K1316" s="674">
        <f>SUM(C1316:J1316)</f>
        <v>0</v>
      </c>
    </row>
    <row r="1317" spans="1:11" ht="17.45" customHeight="1">
      <c r="A1317" s="1435"/>
      <c r="B1317" s="669" t="str">
        <f t="shared" si="580"/>
        <v>9구간</v>
      </c>
      <c r="C1317" s="677">
        <f t="shared" si="581"/>
        <v>0</v>
      </c>
      <c r="D1317" s="736">
        <f t="shared" si="582"/>
        <v>0</v>
      </c>
      <c r="E1317" s="683">
        <f t="shared" si="583"/>
        <v>0</v>
      </c>
      <c r="F1317" s="735">
        <f t="shared" si="584"/>
        <v>0</v>
      </c>
      <c r="G1317" s="683">
        <f t="shared" si="585"/>
        <v>0</v>
      </c>
      <c r="H1317" s="679">
        <f t="shared" si="586"/>
        <v>0</v>
      </c>
      <c r="I1317" s="679">
        <f t="shared" si="587"/>
        <v>0</v>
      </c>
      <c r="J1317" s="735">
        <f t="shared" si="588"/>
        <v>0</v>
      </c>
      <c r="K1317" s="674">
        <f>SUM(C1317:J1317)</f>
        <v>0</v>
      </c>
    </row>
    <row r="1318" spans="1:11" ht="17.45" customHeight="1">
      <c r="A1318" s="1436"/>
      <c r="B1318" s="784" t="str">
        <f t="shared" si="580"/>
        <v>10구간</v>
      </c>
      <c r="C1318" s="737">
        <f t="shared" si="581"/>
        <v>0</v>
      </c>
      <c r="D1318" s="738">
        <f t="shared" si="582"/>
        <v>0</v>
      </c>
      <c r="E1318" s="745">
        <f t="shared" si="583"/>
        <v>0</v>
      </c>
      <c r="F1318" s="738">
        <f t="shared" si="584"/>
        <v>0</v>
      </c>
      <c r="G1318" s="745">
        <f t="shared" si="585"/>
        <v>0</v>
      </c>
      <c r="H1318" s="739">
        <f t="shared" si="586"/>
        <v>0</v>
      </c>
      <c r="I1318" s="739">
        <f t="shared" si="587"/>
        <v>0</v>
      </c>
      <c r="J1318" s="738">
        <f t="shared" si="588"/>
        <v>0</v>
      </c>
      <c r="K1318" s="674">
        <f>SUM(C1318:J1318)</f>
        <v>0</v>
      </c>
    </row>
    <row r="1319" spans="1:11" ht="17.45" customHeight="1">
      <c r="A1319" s="1434">
        <v>70</v>
      </c>
      <c r="B1319" s="676" t="str">
        <f t="shared" si="580"/>
        <v>1구간</v>
      </c>
      <c r="C1319" s="677">
        <f t="shared" ref="C1319:C1328" si="589">ROUND(((($C$1258*$C$1228*$I1136)*$E$1249)*$C321),2)</f>
        <v>0</v>
      </c>
      <c r="D1319" s="735">
        <f t="shared" ref="D1319:D1328" si="590">ROUND((((D$1258*$C$1228*$I1159)*$F$1249)*$D321),2)</f>
        <v>0.02</v>
      </c>
      <c r="E1319" s="683">
        <f t="shared" ref="E1319:E1328" si="591">ROUND((((E$1258*$C$1228*$I1182)*$F$1249)*$E321),2)</f>
        <v>0</v>
      </c>
      <c r="F1319" s="735">
        <f t="shared" ref="F1319:F1328" si="592">ROUND((((F$1258*$C$1228*$I1205)*$F$1249)*$F321),2)</f>
        <v>0.01</v>
      </c>
      <c r="G1319" s="683">
        <f t="shared" ref="G1319:G1328" si="593">ROUND((((G$1258*$C$1228*$I1182)*$F$1249)*$G321),2)</f>
        <v>0.02</v>
      </c>
      <c r="H1319" s="679">
        <f t="shared" ref="H1319:H1328" si="594">ROUND((((H$1258*$C$1228*$I1205)*$F$1249)*$H321),2)</f>
        <v>0.02</v>
      </c>
      <c r="I1319" s="679">
        <f t="shared" ref="I1319:I1328" si="595">ROUND((((I$1258*$C$1228*$I1205)*$F$1249)*$I321),2)</f>
        <v>0</v>
      </c>
      <c r="J1319" s="748">
        <f t="shared" ref="J1319:J1328" si="596">ROUND((((J$1258*$C$1228*$I1205)*$F$1249)*$J321),2)</f>
        <v>0.02</v>
      </c>
      <c r="K1319" s="681">
        <f t="shared" si="546"/>
        <v>9.0000000000000011E-2</v>
      </c>
    </row>
    <row r="1320" spans="1:11" ht="17.45" customHeight="1">
      <c r="A1320" s="1435"/>
      <c r="B1320" s="669" t="str">
        <f t="shared" si="580"/>
        <v>2구간</v>
      </c>
      <c r="C1320" s="677">
        <f t="shared" si="589"/>
        <v>0</v>
      </c>
      <c r="D1320" s="735">
        <f t="shared" si="590"/>
        <v>0</v>
      </c>
      <c r="E1320" s="683">
        <f t="shared" si="591"/>
        <v>0</v>
      </c>
      <c r="F1320" s="735">
        <f t="shared" si="592"/>
        <v>0</v>
      </c>
      <c r="G1320" s="683">
        <f t="shared" si="593"/>
        <v>0</v>
      </c>
      <c r="H1320" s="679">
        <f t="shared" si="594"/>
        <v>0</v>
      </c>
      <c r="I1320" s="679">
        <f t="shared" si="595"/>
        <v>0</v>
      </c>
      <c r="J1320" s="735">
        <f t="shared" si="596"/>
        <v>0</v>
      </c>
      <c r="K1320" s="674">
        <f t="shared" si="546"/>
        <v>0</v>
      </c>
    </row>
    <row r="1321" spans="1:11" ht="17.45" customHeight="1">
      <c r="A1321" s="1435"/>
      <c r="B1321" s="669" t="str">
        <f t="shared" si="580"/>
        <v>3구간</v>
      </c>
      <c r="C1321" s="677">
        <f t="shared" si="589"/>
        <v>0</v>
      </c>
      <c r="D1321" s="735">
        <f t="shared" si="590"/>
        <v>0</v>
      </c>
      <c r="E1321" s="683">
        <f t="shared" si="591"/>
        <v>0</v>
      </c>
      <c r="F1321" s="735">
        <f t="shared" si="592"/>
        <v>0</v>
      </c>
      <c r="G1321" s="683">
        <f t="shared" si="593"/>
        <v>0</v>
      </c>
      <c r="H1321" s="679">
        <f t="shared" si="594"/>
        <v>0</v>
      </c>
      <c r="I1321" s="679">
        <f t="shared" si="595"/>
        <v>0</v>
      </c>
      <c r="J1321" s="735">
        <f t="shared" si="596"/>
        <v>0</v>
      </c>
      <c r="K1321" s="674">
        <f t="shared" si="546"/>
        <v>0</v>
      </c>
    </row>
    <row r="1322" spans="1:11" ht="17.45" customHeight="1">
      <c r="A1322" s="1435"/>
      <c r="B1322" s="669" t="str">
        <f t="shared" si="580"/>
        <v>4구간</v>
      </c>
      <c r="C1322" s="677">
        <f t="shared" si="589"/>
        <v>0</v>
      </c>
      <c r="D1322" s="735">
        <f t="shared" si="590"/>
        <v>0</v>
      </c>
      <c r="E1322" s="683">
        <f t="shared" si="591"/>
        <v>0</v>
      </c>
      <c r="F1322" s="735">
        <f t="shared" si="592"/>
        <v>0</v>
      </c>
      <c r="G1322" s="683">
        <f t="shared" si="593"/>
        <v>0</v>
      </c>
      <c r="H1322" s="679">
        <f t="shared" si="594"/>
        <v>0</v>
      </c>
      <c r="I1322" s="679">
        <f t="shared" si="595"/>
        <v>0</v>
      </c>
      <c r="J1322" s="735">
        <f t="shared" si="596"/>
        <v>0</v>
      </c>
      <c r="K1322" s="674">
        <f t="shared" si="546"/>
        <v>0</v>
      </c>
    </row>
    <row r="1323" spans="1:11" ht="17.45" customHeight="1">
      <c r="A1323" s="1435"/>
      <c r="B1323" s="669" t="str">
        <f t="shared" si="580"/>
        <v>5구간</v>
      </c>
      <c r="C1323" s="670">
        <f t="shared" si="589"/>
        <v>0</v>
      </c>
      <c r="D1323" s="736">
        <f t="shared" si="590"/>
        <v>0</v>
      </c>
      <c r="E1323" s="682">
        <f t="shared" si="591"/>
        <v>0</v>
      </c>
      <c r="F1323" s="736">
        <f t="shared" si="592"/>
        <v>0</v>
      </c>
      <c r="G1323" s="682">
        <f t="shared" si="593"/>
        <v>0</v>
      </c>
      <c r="H1323" s="672">
        <f t="shared" si="594"/>
        <v>0</v>
      </c>
      <c r="I1323" s="672">
        <f t="shared" si="595"/>
        <v>0</v>
      </c>
      <c r="J1323" s="736">
        <f t="shared" si="596"/>
        <v>0</v>
      </c>
      <c r="K1323" s="675">
        <f t="shared" si="546"/>
        <v>0</v>
      </c>
    </row>
    <row r="1324" spans="1:11" ht="17.45" customHeight="1">
      <c r="A1324" s="1435"/>
      <c r="B1324" s="676" t="str">
        <f t="shared" si="580"/>
        <v>6구간</v>
      </c>
      <c r="C1324" s="677">
        <f t="shared" si="589"/>
        <v>0</v>
      </c>
      <c r="D1324" s="735">
        <f t="shared" si="590"/>
        <v>0</v>
      </c>
      <c r="E1324" s="683">
        <f t="shared" si="591"/>
        <v>0</v>
      </c>
      <c r="F1324" s="735">
        <f t="shared" si="592"/>
        <v>0</v>
      </c>
      <c r="G1324" s="683">
        <f t="shared" si="593"/>
        <v>0</v>
      </c>
      <c r="H1324" s="679">
        <f t="shared" si="594"/>
        <v>0</v>
      </c>
      <c r="I1324" s="679">
        <f t="shared" si="595"/>
        <v>0</v>
      </c>
      <c r="J1324" s="735">
        <f t="shared" si="596"/>
        <v>0</v>
      </c>
      <c r="K1324" s="674">
        <f>SUM(C1324:J1324)</f>
        <v>0</v>
      </c>
    </row>
    <row r="1325" spans="1:11" ht="17.45" customHeight="1">
      <c r="A1325" s="1435"/>
      <c r="B1325" s="669" t="str">
        <f t="shared" si="580"/>
        <v>7구간</v>
      </c>
      <c r="C1325" s="677">
        <f t="shared" si="589"/>
        <v>0</v>
      </c>
      <c r="D1325" s="735">
        <f t="shared" si="590"/>
        <v>0</v>
      </c>
      <c r="E1325" s="683">
        <f t="shared" si="591"/>
        <v>0</v>
      </c>
      <c r="F1325" s="735">
        <f t="shared" si="592"/>
        <v>0</v>
      </c>
      <c r="G1325" s="683">
        <f t="shared" si="593"/>
        <v>0</v>
      </c>
      <c r="H1325" s="679">
        <f t="shared" si="594"/>
        <v>0</v>
      </c>
      <c r="I1325" s="679">
        <f t="shared" si="595"/>
        <v>0</v>
      </c>
      <c r="J1325" s="735">
        <f t="shared" si="596"/>
        <v>0</v>
      </c>
      <c r="K1325" s="674">
        <f>SUM(C1325:J1325)</f>
        <v>0</v>
      </c>
    </row>
    <row r="1326" spans="1:11" ht="17.45" customHeight="1">
      <c r="A1326" s="1435"/>
      <c r="B1326" s="669" t="str">
        <f t="shared" si="580"/>
        <v>8구간</v>
      </c>
      <c r="C1326" s="677">
        <f t="shared" si="589"/>
        <v>0</v>
      </c>
      <c r="D1326" s="735">
        <f t="shared" si="590"/>
        <v>0</v>
      </c>
      <c r="E1326" s="683">
        <f t="shared" si="591"/>
        <v>0</v>
      </c>
      <c r="F1326" s="735">
        <f t="shared" si="592"/>
        <v>0</v>
      </c>
      <c r="G1326" s="683">
        <f t="shared" si="593"/>
        <v>0</v>
      </c>
      <c r="H1326" s="679">
        <f t="shared" si="594"/>
        <v>0</v>
      </c>
      <c r="I1326" s="679">
        <f t="shared" si="595"/>
        <v>0</v>
      </c>
      <c r="J1326" s="735">
        <f t="shared" si="596"/>
        <v>0</v>
      </c>
      <c r="K1326" s="674">
        <f>SUM(C1326:J1326)</f>
        <v>0</v>
      </c>
    </row>
    <row r="1327" spans="1:11" ht="17.45" customHeight="1">
      <c r="A1327" s="1435"/>
      <c r="B1327" s="669" t="str">
        <f t="shared" si="580"/>
        <v>9구간</v>
      </c>
      <c r="C1327" s="677">
        <f t="shared" si="589"/>
        <v>0</v>
      </c>
      <c r="D1327" s="735">
        <f t="shared" si="590"/>
        <v>0</v>
      </c>
      <c r="E1327" s="683">
        <f t="shared" si="591"/>
        <v>0</v>
      </c>
      <c r="F1327" s="735">
        <f t="shared" si="592"/>
        <v>0</v>
      </c>
      <c r="G1327" s="683">
        <f t="shared" si="593"/>
        <v>0</v>
      </c>
      <c r="H1327" s="679">
        <f t="shared" si="594"/>
        <v>0</v>
      </c>
      <c r="I1327" s="679">
        <f t="shared" si="595"/>
        <v>0</v>
      </c>
      <c r="J1327" s="735">
        <f t="shared" si="596"/>
        <v>0</v>
      </c>
      <c r="K1327" s="674">
        <f>SUM(C1327:J1327)</f>
        <v>0</v>
      </c>
    </row>
    <row r="1328" spans="1:11" ht="17.45" customHeight="1">
      <c r="A1328" s="1436"/>
      <c r="B1328" s="680" t="str">
        <f t="shared" si="580"/>
        <v>10구간</v>
      </c>
      <c r="C1328" s="737">
        <f t="shared" si="589"/>
        <v>0</v>
      </c>
      <c r="D1328" s="738">
        <f t="shared" si="590"/>
        <v>0</v>
      </c>
      <c r="E1328" s="745">
        <f t="shared" si="591"/>
        <v>0</v>
      </c>
      <c r="F1328" s="738">
        <f t="shared" si="592"/>
        <v>0</v>
      </c>
      <c r="G1328" s="745">
        <f t="shared" si="593"/>
        <v>0</v>
      </c>
      <c r="H1328" s="739">
        <f t="shared" si="594"/>
        <v>0</v>
      </c>
      <c r="I1328" s="739">
        <f t="shared" si="595"/>
        <v>0</v>
      </c>
      <c r="J1328" s="738">
        <f t="shared" si="596"/>
        <v>0</v>
      </c>
      <c r="K1328" s="674">
        <f>SUM(C1328:J1328)</f>
        <v>0</v>
      </c>
    </row>
    <row r="1329" spans="1:11" ht="17.45" customHeight="1">
      <c r="A1329" s="1434">
        <v>80</v>
      </c>
      <c r="B1329" s="676" t="str">
        <f t="shared" ref="B1329:B1338" si="597">B1319</f>
        <v>1구간</v>
      </c>
      <c r="C1329" s="677">
        <f t="shared" ref="C1329:C1338" si="598">ROUND(((($C$1258*$C$1228*$J1136)*$E$1249)*$C332),2)</f>
        <v>0</v>
      </c>
      <c r="D1329" s="735">
        <f t="shared" ref="D1329:D1338" si="599">ROUND((((D$1258*$C$1228*$J1159)*$F$1249)*$D332),2)</f>
        <v>0.02</v>
      </c>
      <c r="E1329" s="683">
        <f t="shared" ref="E1329:E1338" si="600">ROUND((((E$1258*$C$1228*$J1182)*$F$1249)*$E332),2)</f>
        <v>0</v>
      </c>
      <c r="F1329" s="735">
        <f t="shared" ref="F1329:F1338" si="601">ROUND((((F$1258*$C$1228*$J1205)*$F$1249)*$F332),2)</f>
        <v>0.01</v>
      </c>
      <c r="G1329" s="683">
        <f t="shared" ref="G1329:G1338" si="602">ROUND((((G$1258*$C$1228*$J1182)*$F$1249)*$G332),2)</f>
        <v>0.02</v>
      </c>
      <c r="H1329" s="679">
        <f t="shared" ref="H1329:H1338" si="603">ROUND((((H$1258*$C$1228*$J1205)*$F$1249)*$H332),2)</f>
        <v>0.02</v>
      </c>
      <c r="I1329" s="679">
        <f t="shared" ref="I1329:I1338" si="604">ROUND((((I$1258*$C$1228*$J1205)*$F$1249)*$I332),2)</f>
        <v>0</v>
      </c>
      <c r="J1329" s="735">
        <f t="shared" ref="J1329:J1338" si="605">ROUND((((J$1258*$C$1228*$J1205)*$F$1249)*$J332),2)</f>
        <v>0.02</v>
      </c>
      <c r="K1329" s="681">
        <f t="shared" si="546"/>
        <v>9.0000000000000011E-2</v>
      </c>
    </row>
    <row r="1330" spans="1:11" ht="17.45" customHeight="1">
      <c r="A1330" s="1435"/>
      <c r="B1330" s="669" t="str">
        <f t="shared" si="597"/>
        <v>2구간</v>
      </c>
      <c r="C1330" s="677">
        <f t="shared" si="598"/>
        <v>0</v>
      </c>
      <c r="D1330" s="735">
        <f t="shared" si="599"/>
        <v>0</v>
      </c>
      <c r="E1330" s="683">
        <f t="shared" si="600"/>
        <v>0</v>
      </c>
      <c r="F1330" s="735">
        <f t="shared" si="601"/>
        <v>0</v>
      </c>
      <c r="G1330" s="683">
        <f t="shared" si="602"/>
        <v>0</v>
      </c>
      <c r="H1330" s="679">
        <f t="shared" si="603"/>
        <v>0</v>
      </c>
      <c r="I1330" s="679">
        <f t="shared" si="604"/>
        <v>0</v>
      </c>
      <c r="J1330" s="736">
        <f t="shared" si="605"/>
        <v>0</v>
      </c>
      <c r="K1330" s="675">
        <f t="shared" si="546"/>
        <v>0</v>
      </c>
    </row>
    <row r="1331" spans="1:11" ht="17.45" customHeight="1">
      <c r="A1331" s="1435"/>
      <c r="B1331" s="669" t="str">
        <f t="shared" si="597"/>
        <v>3구간</v>
      </c>
      <c r="C1331" s="677">
        <f t="shared" si="598"/>
        <v>0</v>
      </c>
      <c r="D1331" s="735">
        <f t="shared" si="599"/>
        <v>0</v>
      </c>
      <c r="E1331" s="683">
        <f t="shared" si="600"/>
        <v>0</v>
      </c>
      <c r="F1331" s="735">
        <f t="shared" si="601"/>
        <v>0</v>
      </c>
      <c r="G1331" s="683">
        <f t="shared" si="602"/>
        <v>0</v>
      </c>
      <c r="H1331" s="679">
        <f t="shared" si="603"/>
        <v>0</v>
      </c>
      <c r="I1331" s="679">
        <f t="shared" si="604"/>
        <v>0</v>
      </c>
      <c r="J1331" s="735">
        <f t="shared" si="605"/>
        <v>0</v>
      </c>
      <c r="K1331" s="674">
        <f t="shared" si="546"/>
        <v>0</v>
      </c>
    </row>
    <row r="1332" spans="1:11" ht="17.45" customHeight="1">
      <c r="A1332" s="1435"/>
      <c r="B1332" s="669" t="str">
        <f t="shared" si="597"/>
        <v>4구간</v>
      </c>
      <c r="C1332" s="677">
        <f t="shared" si="598"/>
        <v>0</v>
      </c>
      <c r="D1332" s="735">
        <f t="shared" si="599"/>
        <v>0</v>
      </c>
      <c r="E1332" s="683">
        <f t="shared" si="600"/>
        <v>0</v>
      </c>
      <c r="F1332" s="735">
        <f t="shared" si="601"/>
        <v>0</v>
      </c>
      <c r="G1332" s="683">
        <f t="shared" si="602"/>
        <v>0</v>
      </c>
      <c r="H1332" s="679">
        <f t="shared" si="603"/>
        <v>0</v>
      </c>
      <c r="I1332" s="679">
        <f t="shared" si="604"/>
        <v>0</v>
      </c>
      <c r="J1332" s="735">
        <f t="shared" si="605"/>
        <v>0</v>
      </c>
      <c r="K1332" s="674">
        <f t="shared" si="546"/>
        <v>0</v>
      </c>
    </row>
    <row r="1333" spans="1:11" ht="17.45" customHeight="1">
      <c r="A1333" s="1435"/>
      <c r="B1333" s="669" t="str">
        <f t="shared" si="597"/>
        <v>5구간</v>
      </c>
      <c r="C1333" s="670">
        <f t="shared" si="598"/>
        <v>0</v>
      </c>
      <c r="D1333" s="736">
        <f t="shared" si="599"/>
        <v>0</v>
      </c>
      <c r="E1333" s="682">
        <f t="shared" si="600"/>
        <v>0</v>
      </c>
      <c r="F1333" s="736">
        <f t="shared" si="601"/>
        <v>0</v>
      </c>
      <c r="G1333" s="682">
        <f t="shared" si="602"/>
        <v>0</v>
      </c>
      <c r="H1333" s="672">
        <f t="shared" si="603"/>
        <v>0</v>
      </c>
      <c r="I1333" s="672">
        <f t="shared" si="604"/>
        <v>0</v>
      </c>
      <c r="J1333" s="736">
        <f t="shared" si="605"/>
        <v>0</v>
      </c>
      <c r="K1333" s="675">
        <f t="shared" si="546"/>
        <v>0</v>
      </c>
    </row>
    <row r="1334" spans="1:11" ht="17.45" customHeight="1">
      <c r="A1334" s="1435"/>
      <c r="B1334" s="676" t="str">
        <f t="shared" si="597"/>
        <v>6구간</v>
      </c>
      <c r="C1334" s="677">
        <f t="shared" si="598"/>
        <v>0</v>
      </c>
      <c r="D1334" s="735">
        <f t="shared" si="599"/>
        <v>0</v>
      </c>
      <c r="E1334" s="683">
        <f t="shared" si="600"/>
        <v>0</v>
      </c>
      <c r="F1334" s="735">
        <f t="shared" si="601"/>
        <v>0</v>
      </c>
      <c r="G1334" s="683">
        <f t="shared" si="602"/>
        <v>0</v>
      </c>
      <c r="H1334" s="679">
        <f t="shared" si="603"/>
        <v>0</v>
      </c>
      <c r="I1334" s="679">
        <f t="shared" si="604"/>
        <v>0</v>
      </c>
      <c r="J1334" s="735">
        <f t="shared" si="605"/>
        <v>0</v>
      </c>
      <c r="K1334" s="674">
        <f>SUM(C1334:J1334)</f>
        <v>0</v>
      </c>
    </row>
    <row r="1335" spans="1:11" ht="17.45" customHeight="1">
      <c r="A1335" s="1435"/>
      <c r="B1335" s="669" t="str">
        <f t="shared" si="597"/>
        <v>7구간</v>
      </c>
      <c r="C1335" s="677">
        <f t="shared" si="598"/>
        <v>0</v>
      </c>
      <c r="D1335" s="735">
        <f t="shared" si="599"/>
        <v>0</v>
      </c>
      <c r="E1335" s="683">
        <f t="shared" si="600"/>
        <v>0</v>
      </c>
      <c r="F1335" s="735">
        <f t="shared" si="601"/>
        <v>0</v>
      </c>
      <c r="G1335" s="683">
        <f t="shared" si="602"/>
        <v>0</v>
      </c>
      <c r="H1335" s="679">
        <f t="shared" si="603"/>
        <v>0</v>
      </c>
      <c r="I1335" s="679">
        <f t="shared" si="604"/>
        <v>0</v>
      </c>
      <c r="J1335" s="736">
        <f t="shared" si="605"/>
        <v>0</v>
      </c>
      <c r="K1335" s="675">
        <f>SUM(C1335:J1335)</f>
        <v>0</v>
      </c>
    </row>
    <row r="1336" spans="1:11" ht="17.45" customHeight="1">
      <c r="A1336" s="1435"/>
      <c r="B1336" s="669" t="str">
        <f t="shared" si="597"/>
        <v>8구간</v>
      </c>
      <c r="C1336" s="677">
        <f t="shared" si="598"/>
        <v>0</v>
      </c>
      <c r="D1336" s="735">
        <f t="shared" si="599"/>
        <v>0</v>
      </c>
      <c r="E1336" s="683">
        <f t="shared" si="600"/>
        <v>0</v>
      </c>
      <c r="F1336" s="735">
        <f t="shared" si="601"/>
        <v>0</v>
      </c>
      <c r="G1336" s="683">
        <f t="shared" si="602"/>
        <v>0</v>
      </c>
      <c r="H1336" s="679">
        <f t="shared" si="603"/>
        <v>0</v>
      </c>
      <c r="I1336" s="679">
        <f t="shared" si="604"/>
        <v>0</v>
      </c>
      <c r="J1336" s="735">
        <f t="shared" si="605"/>
        <v>0</v>
      </c>
      <c r="K1336" s="674">
        <f>SUM(C1336:J1336)</f>
        <v>0</v>
      </c>
    </row>
    <row r="1337" spans="1:11" ht="17.45" customHeight="1">
      <c r="A1337" s="1435"/>
      <c r="B1337" s="669" t="str">
        <f t="shared" si="597"/>
        <v>9구간</v>
      </c>
      <c r="C1337" s="677">
        <f t="shared" si="598"/>
        <v>0</v>
      </c>
      <c r="D1337" s="735">
        <f t="shared" si="599"/>
        <v>0</v>
      </c>
      <c r="E1337" s="683">
        <f t="shared" si="600"/>
        <v>0</v>
      </c>
      <c r="F1337" s="735">
        <f t="shared" si="601"/>
        <v>0</v>
      </c>
      <c r="G1337" s="683">
        <f t="shared" si="602"/>
        <v>0</v>
      </c>
      <c r="H1337" s="679">
        <f t="shared" si="603"/>
        <v>0</v>
      </c>
      <c r="I1337" s="679">
        <f t="shared" si="604"/>
        <v>0</v>
      </c>
      <c r="J1337" s="735">
        <f t="shared" si="605"/>
        <v>0</v>
      </c>
      <c r="K1337" s="674">
        <f>SUM(C1337:J1337)</f>
        <v>0</v>
      </c>
    </row>
    <row r="1338" spans="1:11" ht="17.45" customHeight="1" thickBot="1">
      <c r="A1338" s="1450"/>
      <c r="B1338" s="692" t="str">
        <f t="shared" si="597"/>
        <v>10구간</v>
      </c>
      <c r="C1338" s="686">
        <f t="shared" si="598"/>
        <v>0</v>
      </c>
      <c r="D1338" s="740">
        <f t="shared" si="599"/>
        <v>0</v>
      </c>
      <c r="E1338" s="749">
        <f t="shared" si="600"/>
        <v>0</v>
      </c>
      <c r="F1338" s="740">
        <f t="shared" si="601"/>
        <v>0</v>
      </c>
      <c r="G1338" s="749">
        <f t="shared" si="602"/>
        <v>0</v>
      </c>
      <c r="H1338" s="687">
        <f t="shared" si="603"/>
        <v>0</v>
      </c>
      <c r="I1338" s="687">
        <f t="shared" si="604"/>
        <v>0</v>
      </c>
      <c r="J1338" s="740">
        <f t="shared" si="605"/>
        <v>0</v>
      </c>
      <c r="K1338" s="693">
        <f>SUM(C1338:J1338)</f>
        <v>0</v>
      </c>
    </row>
    <row r="1339" spans="1:11" ht="17.45" customHeight="1">
      <c r="A1339" s="510"/>
      <c r="B1339" s="510"/>
      <c r="C1339" s="421"/>
      <c r="D1339" s="421"/>
      <c r="E1339" s="421"/>
      <c r="F1339" s="421"/>
      <c r="G1339" s="421"/>
      <c r="H1339" s="421"/>
      <c r="I1339" s="421"/>
      <c r="J1339" s="421"/>
      <c r="K1339" s="431"/>
    </row>
    <row r="1340" spans="1:11" ht="17.45" customHeight="1" thickBot="1">
      <c r="A1340" s="1308" t="str">
        <f>A1341</f>
        <v>마산</v>
      </c>
      <c r="B1340" s="1309" t="s">
        <v>974</v>
      </c>
      <c r="C1340" s="421"/>
      <c r="D1340" s="421"/>
      <c r="E1340" s="421"/>
      <c r="F1340" s="421"/>
      <c r="G1340" s="421"/>
      <c r="H1340" s="421"/>
      <c r="I1340" s="421"/>
      <c r="J1340" s="421"/>
      <c r="K1340" s="431"/>
    </row>
    <row r="1341" spans="1:11" ht="17.45" customHeight="1">
      <c r="A1341" s="1449" t="str">
        <f>J6</f>
        <v>마산</v>
      </c>
      <c r="B1341" s="1478" t="s">
        <v>290</v>
      </c>
      <c r="C1341" s="1451" t="s">
        <v>276</v>
      </c>
      <c r="D1341" s="1453"/>
      <c r="E1341" s="1466" t="s">
        <v>300</v>
      </c>
      <c r="F1341" s="1468"/>
      <c r="G1341" s="1451" t="s">
        <v>301</v>
      </c>
      <c r="H1341" s="1452"/>
      <c r="I1341" s="1452"/>
      <c r="J1341" s="1453"/>
      <c r="K1341" s="1459" t="s">
        <v>72</v>
      </c>
    </row>
    <row r="1342" spans="1:11" ht="17.45" customHeight="1">
      <c r="A1342" s="1436"/>
      <c r="B1342" s="1479"/>
      <c r="C1342" s="660" t="s">
        <v>268</v>
      </c>
      <c r="D1342" s="492" t="s">
        <v>269</v>
      </c>
      <c r="E1342" s="493" t="s">
        <v>19</v>
      </c>
      <c r="F1342" s="661" t="s">
        <v>20</v>
      </c>
      <c r="G1342" s="689" t="s">
        <v>19</v>
      </c>
      <c r="H1342" s="402" t="s">
        <v>21</v>
      </c>
      <c r="I1342" s="661" t="s">
        <v>20</v>
      </c>
      <c r="J1342" s="662" t="s">
        <v>22</v>
      </c>
      <c r="K1342" s="1460"/>
    </row>
    <row r="1343" spans="1:11" ht="17.45" customHeight="1">
      <c r="A1343" s="499" t="s">
        <v>287</v>
      </c>
      <c r="B1343" s="1498"/>
      <c r="C1343" s="732">
        <f t="shared" ref="C1343:J1343" si="606">C1258</f>
        <v>0</v>
      </c>
      <c r="D1343" s="690">
        <f t="shared" si="606"/>
        <v>1.6999999999999999E-3</v>
      </c>
      <c r="E1343" s="493">
        <f t="shared" si="606"/>
        <v>2.2000000000000001E-3</v>
      </c>
      <c r="F1343" s="451">
        <f t="shared" si="606"/>
        <v>3.8199999999999998E-2</v>
      </c>
      <c r="G1343" s="493">
        <f t="shared" si="606"/>
        <v>2.2000000000000001E-3</v>
      </c>
      <c r="H1343" s="691">
        <f t="shared" si="606"/>
        <v>1.8800000000000001E-2</v>
      </c>
      <c r="I1343" s="402">
        <f t="shared" si="606"/>
        <v>4.2299999999999997E-2</v>
      </c>
      <c r="J1343" s="690">
        <f t="shared" si="606"/>
        <v>5.4699999999999999E-2</v>
      </c>
      <c r="K1343" s="1461"/>
    </row>
    <row r="1344" spans="1:11" ht="17.45" customHeight="1">
      <c r="A1344" s="1434">
        <v>10</v>
      </c>
      <c r="B1344" s="665" t="s">
        <v>291</v>
      </c>
      <c r="C1344" s="666">
        <f t="shared" ref="C1344:C1353" si="607">ROUND(((($C$1343*$C$1229*C1146)*$E$1249)*$C392),2)</f>
        <v>0</v>
      </c>
      <c r="D1344" s="683">
        <f t="shared" ref="D1344:D1353" si="608">ROUND((((D$1343*$C$1229*C1169)*$F$1249)*$D392),2)</f>
        <v>0.08</v>
      </c>
      <c r="E1344" s="666">
        <f t="shared" ref="E1344:E1353" si="609">ROUND((((E$1343*$C$1229*C1192)*$F$1249)*$E392),2)</f>
        <v>0</v>
      </c>
      <c r="F1344" s="683">
        <f t="shared" ref="F1344:F1353" si="610">ROUND((((F$1343*$C$1229*C1215)*$F$1249)*$F392),2)</f>
        <v>0.05</v>
      </c>
      <c r="G1344" s="666">
        <f t="shared" ref="G1344:G1353" si="611">ROUND((((G$1343*$C$1229*$C1192)*$F$1249)*$G392),2)</f>
        <v>0.04</v>
      </c>
      <c r="H1344" s="667">
        <f t="shared" ref="H1344:H1353" si="612">ROUND((((H$1343*$C$1229*$C1215)*$F$1249)*$H392),2)</f>
        <v>0.09</v>
      </c>
      <c r="I1344" s="667">
        <f t="shared" ref="I1344:I1353" si="613">ROUND((((I$1343*$C$1229*$C1215)*$F$1249)*$I392),2)</f>
        <v>0.02</v>
      </c>
      <c r="J1344" s="683">
        <f t="shared" ref="J1344:J1353" si="614">ROUND((((J$1343*$C$1229*$C1215)*$F$1249)*$J392),2)</f>
        <v>0.08</v>
      </c>
      <c r="K1344" s="668">
        <f t="shared" ref="K1344:K1418" si="615">SUM(C1344:J1344)</f>
        <v>0.36000000000000004</v>
      </c>
    </row>
    <row r="1345" spans="1:11" ht="17.45" customHeight="1">
      <c r="A1345" s="1435"/>
      <c r="B1345" s="669" t="s">
        <v>292</v>
      </c>
      <c r="C1345" s="677">
        <f t="shared" si="607"/>
        <v>0</v>
      </c>
      <c r="D1345" s="683">
        <f t="shared" si="608"/>
        <v>0</v>
      </c>
      <c r="E1345" s="677">
        <f t="shared" si="609"/>
        <v>0</v>
      </c>
      <c r="F1345" s="683">
        <f t="shared" si="610"/>
        <v>0</v>
      </c>
      <c r="G1345" s="677">
        <f t="shared" si="611"/>
        <v>0</v>
      </c>
      <c r="H1345" s="679">
        <f t="shared" si="612"/>
        <v>0</v>
      </c>
      <c r="I1345" s="679">
        <f t="shared" si="613"/>
        <v>0</v>
      </c>
      <c r="J1345" s="683">
        <f t="shared" si="614"/>
        <v>0</v>
      </c>
      <c r="K1345" s="673">
        <f t="shared" si="615"/>
        <v>0</v>
      </c>
    </row>
    <row r="1346" spans="1:11" ht="17.45" customHeight="1">
      <c r="A1346" s="1435"/>
      <c r="B1346" s="669" t="s">
        <v>297</v>
      </c>
      <c r="C1346" s="677">
        <f t="shared" si="607"/>
        <v>0</v>
      </c>
      <c r="D1346" s="683">
        <f t="shared" si="608"/>
        <v>0</v>
      </c>
      <c r="E1346" s="677">
        <f t="shared" si="609"/>
        <v>0</v>
      </c>
      <c r="F1346" s="683">
        <f t="shared" si="610"/>
        <v>0</v>
      </c>
      <c r="G1346" s="677">
        <f t="shared" si="611"/>
        <v>0</v>
      </c>
      <c r="H1346" s="679">
        <f t="shared" si="612"/>
        <v>0</v>
      </c>
      <c r="I1346" s="679">
        <f t="shared" si="613"/>
        <v>0</v>
      </c>
      <c r="J1346" s="736">
        <f t="shared" si="614"/>
        <v>0</v>
      </c>
      <c r="K1346" s="674">
        <f t="shared" si="615"/>
        <v>0</v>
      </c>
    </row>
    <row r="1347" spans="1:11" ht="17.45" customHeight="1">
      <c r="A1347" s="1435"/>
      <c r="B1347" s="669" t="s">
        <v>298</v>
      </c>
      <c r="C1347" s="677">
        <f t="shared" si="607"/>
        <v>0</v>
      </c>
      <c r="D1347" s="683">
        <f t="shared" si="608"/>
        <v>0</v>
      </c>
      <c r="E1347" s="677">
        <f t="shared" si="609"/>
        <v>0</v>
      </c>
      <c r="F1347" s="683">
        <f t="shared" si="610"/>
        <v>0</v>
      </c>
      <c r="G1347" s="677">
        <f t="shared" si="611"/>
        <v>0</v>
      </c>
      <c r="H1347" s="679">
        <f t="shared" si="612"/>
        <v>0</v>
      </c>
      <c r="I1347" s="679">
        <f t="shared" si="613"/>
        <v>0</v>
      </c>
      <c r="J1347" s="735">
        <f t="shared" si="614"/>
        <v>0</v>
      </c>
      <c r="K1347" s="674">
        <f t="shared" si="615"/>
        <v>0</v>
      </c>
    </row>
    <row r="1348" spans="1:11" ht="17.45" customHeight="1">
      <c r="A1348" s="1435"/>
      <c r="B1348" s="669" t="s">
        <v>299</v>
      </c>
      <c r="C1348" s="670">
        <f t="shared" si="607"/>
        <v>0</v>
      </c>
      <c r="D1348" s="672">
        <f t="shared" si="608"/>
        <v>0</v>
      </c>
      <c r="E1348" s="670">
        <f t="shared" si="609"/>
        <v>0</v>
      </c>
      <c r="F1348" s="671">
        <f t="shared" si="610"/>
        <v>0</v>
      </c>
      <c r="G1348" s="670">
        <f t="shared" si="611"/>
        <v>0</v>
      </c>
      <c r="H1348" s="672">
        <f t="shared" si="612"/>
        <v>0</v>
      </c>
      <c r="I1348" s="672">
        <f t="shared" si="613"/>
        <v>0</v>
      </c>
      <c r="J1348" s="736">
        <f t="shared" si="614"/>
        <v>0</v>
      </c>
      <c r="K1348" s="675">
        <f t="shared" si="615"/>
        <v>0</v>
      </c>
    </row>
    <row r="1349" spans="1:11" ht="17.45" customHeight="1">
      <c r="A1349" s="1435"/>
      <c r="B1349" s="676" t="s">
        <v>350</v>
      </c>
      <c r="C1349" s="677">
        <f t="shared" si="607"/>
        <v>0</v>
      </c>
      <c r="D1349" s="683">
        <f t="shared" si="608"/>
        <v>0</v>
      </c>
      <c r="E1349" s="677">
        <f t="shared" si="609"/>
        <v>0</v>
      </c>
      <c r="F1349" s="683">
        <f t="shared" si="610"/>
        <v>0</v>
      </c>
      <c r="G1349" s="677">
        <f t="shared" si="611"/>
        <v>0</v>
      </c>
      <c r="H1349" s="679">
        <f t="shared" si="612"/>
        <v>0</v>
      </c>
      <c r="I1349" s="679">
        <f t="shared" si="613"/>
        <v>0</v>
      </c>
      <c r="J1349" s="683">
        <f t="shared" si="614"/>
        <v>0</v>
      </c>
      <c r="K1349" s="673">
        <f>SUM(C1349:J1349)</f>
        <v>0</v>
      </c>
    </row>
    <row r="1350" spans="1:11" ht="17.45" customHeight="1">
      <c r="A1350" s="1435"/>
      <c r="B1350" s="669" t="s">
        <v>351</v>
      </c>
      <c r="C1350" s="677">
        <f t="shared" si="607"/>
        <v>0</v>
      </c>
      <c r="D1350" s="683">
        <f t="shared" si="608"/>
        <v>0</v>
      </c>
      <c r="E1350" s="677">
        <f t="shared" si="609"/>
        <v>0</v>
      </c>
      <c r="F1350" s="683">
        <f t="shared" si="610"/>
        <v>0</v>
      </c>
      <c r="G1350" s="677">
        <f t="shared" si="611"/>
        <v>0</v>
      </c>
      <c r="H1350" s="679">
        <f t="shared" si="612"/>
        <v>0</v>
      </c>
      <c r="I1350" s="679">
        <f t="shared" si="613"/>
        <v>0</v>
      </c>
      <c r="J1350" s="683">
        <f t="shared" si="614"/>
        <v>0</v>
      </c>
      <c r="K1350" s="673">
        <f>SUM(C1350:J1350)</f>
        <v>0</v>
      </c>
    </row>
    <row r="1351" spans="1:11" ht="17.45" customHeight="1">
      <c r="A1351" s="1435"/>
      <c r="B1351" s="669" t="s">
        <v>352</v>
      </c>
      <c r="C1351" s="677">
        <f t="shared" si="607"/>
        <v>0</v>
      </c>
      <c r="D1351" s="683">
        <f t="shared" si="608"/>
        <v>0</v>
      </c>
      <c r="E1351" s="677">
        <f t="shared" si="609"/>
        <v>0</v>
      </c>
      <c r="F1351" s="683">
        <f t="shared" si="610"/>
        <v>0</v>
      </c>
      <c r="G1351" s="677">
        <f t="shared" si="611"/>
        <v>0</v>
      </c>
      <c r="H1351" s="679">
        <f t="shared" si="612"/>
        <v>0</v>
      </c>
      <c r="I1351" s="679">
        <f t="shared" si="613"/>
        <v>0</v>
      </c>
      <c r="J1351" s="736">
        <f t="shared" si="614"/>
        <v>0</v>
      </c>
      <c r="K1351" s="674">
        <f>SUM(C1351:J1351)</f>
        <v>0</v>
      </c>
    </row>
    <row r="1352" spans="1:11" ht="17.45" customHeight="1">
      <c r="A1352" s="1435"/>
      <c r="B1352" s="669" t="s">
        <v>353</v>
      </c>
      <c r="C1352" s="677">
        <f t="shared" si="607"/>
        <v>0</v>
      </c>
      <c r="D1352" s="683">
        <f t="shared" si="608"/>
        <v>0</v>
      </c>
      <c r="E1352" s="677">
        <f t="shared" si="609"/>
        <v>0</v>
      </c>
      <c r="F1352" s="683">
        <f t="shared" si="610"/>
        <v>0</v>
      </c>
      <c r="G1352" s="677">
        <f t="shared" si="611"/>
        <v>0</v>
      </c>
      <c r="H1352" s="679">
        <f t="shared" si="612"/>
        <v>0</v>
      </c>
      <c r="I1352" s="679">
        <f t="shared" si="613"/>
        <v>0</v>
      </c>
      <c r="J1352" s="735">
        <f t="shared" si="614"/>
        <v>0</v>
      </c>
      <c r="K1352" s="674">
        <f>SUM(C1352:J1352)</f>
        <v>0</v>
      </c>
    </row>
    <row r="1353" spans="1:11" ht="17.45" customHeight="1">
      <c r="A1353" s="1436"/>
      <c r="B1353" s="680" t="s">
        <v>354</v>
      </c>
      <c r="C1353" s="744">
        <f t="shared" si="607"/>
        <v>0</v>
      </c>
      <c r="D1353" s="739">
        <f t="shared" si="608"/>
        <v>0</v>
      </c>
      <c r="E1353" s="737">
        <f t="shared" si="609"/>
        <v>0</v>
      </c>
      <c r="F1353" s="785">
        <f t="shared" si="610"/>
        <v>0</v>
      </c>
      <c r="G1353" s="744">
        <f t="shared" si="611"/>
        <v>0</v>
      </c>
      <c r="H1353" s="746">
        <f t="shared" si="612"/>
        <v>0</v>
      </c>
      <c r="I1353" s="746">
        <f t="shared" si="613"/>
        <v>0</v>
      </c>
      <c r="J1353" s="747">
        <f t="shared" si="614"/>
        <v>0</v>
      </c>
      <c r="K1353" s="674">
        <f>SUM(C1353:J1353)</f>
        <v>0</v>
      </c>
    </row>
    <row r="1354" spans="1:11" ht="17.45" customHeight="1">
      <c r="A1354" s="1434">
        <v>20</v>
      </c>
      <c r="B1354" s="676" t="str">
        <f t="shared" ref="B1354:B1385" si="616">B1344</f>
        <v>1구간</v>
      </c>
      <c r="C1354" s="666">
        <f t="shared" ref="C1354:C1363" si="617">ROUND(((($C$1343*$C$1229*$D1146)*$E$1249)*$C403),2)</f>
        <v>0</v>
      </c>
      <c r="D1354" s="683">
        <f t="shared" ref="D1354:D1363" si="618">ROUND((((D$1343*$C$1229*$D1169)*$F$1249)*$D403),2)</f>
        <v>7.0000000000000007E-2</v>
      </c>
      <c r="E1354" s="677">
        <f t="shared" ref="E1354:E1363" si="619">ROUND((((E$1343*$C$1229*$D1192)*$F$1249)*$E403),2)</f>
        <v>0</v>
      </c>
      <c r="F1354" s="683">
        <f t="shared" ref="F1354:F1363" si="620">ROUND((((F$1343*$C$1229*$D1215)*$F$1249)*$F403),2)</f>
        <v>0.04</v>
      </c>
      <c r="G1354" s="666">
        <f t="shared" ref="G1354:G1363" si="621">ROUND((((G$1343*$C$1229*$D1192)*$F$1249)*$G403),2)</f>
        <v>0.04</v>
      </c>
      <c r="H1354" s="667">
        <f t="shared" ref="H1354:H1363" si="622">ROUND((((H$1343*$C$1229*$D1215)*$F$1249)*$H403),2)</f>
        <v>7.0000000000000007E-2</v>
      </c>
      <c r="I1354" s="667">
        <f t="shared" ref="I1354:I1363" si="623">ROUND((((I$1343*$C$1229*$D1215)*$F$1249)*$I403),2)</f>
        <v>0.02</v>
      </c>
      <c r="J1354" s="748">
        <f t="shared" ref="J1354:J1363" si="624">ROUND((((J$1343*$C$1229*$D1215)*$F$1249)*$J403),2)</f>
        <v>0.06</v>
      </c>
      <c r="K1354" s="681">
        <f t="shared" si="615"/>
        <v>0.30000000000000004</v>
      </c>
    </row>
    <row r="1355" spans="1:11" ht="17.45" customHeight="1">
      <c r="A1355" s="1435"/>
      <c r="B1355" s="669" t="str">
        <f t="shared" si="616"/>
        <v>2구간</v>
      </c>
      <c r="C1355" s="677">
        <f t="shared" si="617"/>
        <v>0</v>
      </c>
      <c r="D1355" s="683">
        <f t="shared" si="618"/>
        <v>0</v>
      </c>
      <c r="E1355" s="677">
        <f t="shared" si="619"/>
        <v>0</v>
      </c>
      <c r="F1355" s="683">
        <f t="shared" si="620"/>
        <v>0</v>
      </c>
      <c r="G1355" s="677">
        <f t="shared" si="621"/>
        <v>0</v>
      </c>
      <c r="H1355" s="679">
        <f t="shared" si="622"/>
        <v>0</v>
      </c>
      <c r="I1355" s="679">
        <f t="shared" si="623"/>
        <v>0</v>
      </c>
      <c r="J1355" s="735">
        <f t="shared" si="624"/>
        <v>0</v>
      </c>
      <c r="K1355" s="674">
        <f t="shared" si="615"/>
        <v>0</v>
      </c>
    </row>
    <row r="1356" spans="1:11" ht="17.45" customHeight="1">
      <c r="A1356" s="1435"/>
      <c r="B1356" s="669" t="str">
        <f t="shared" si="616"/>
        <v>3구간</v>
      </c>
      <c r="C1356" s="677">
        <f t="shared" si="617"/>
        <v>0</v>
      </c>
      <c r="D1356" s="683">
        <f t="shared" si="618"/>
        <v>0</v>
      </c>
      <c r="E1356" s="677">
        <f t="shared" si="619"/>
        <v>0</v>
      </c>
      <c r="F1356" s="683">
        <f t="shared" si="620"/>
        <v>0</v>
      </c>
      <c r="G1356" s="677">
        <f t="shared" si="621"/>
        <v>0</v>
      </c>
      <c r="H1356" s="679">
        <f t="shared" si="622"/>
        <v>0</v>
      </c>
      <c r="I1356" s="679">
        <f t="shared" si="623"/>
        <v>0</v>
      </c>
      <c r="J1356" s="736">
        <f t="shared" si="624"/>
        <v>0</v>
      </c>
      <c r="K1356" s="674">
        <f t="shared" si="615"/>
        <v>0</v>
      </c>
    </row>
    <row r="1357" spans="1:11" ht="17.45" customHeight="1">
      <c r="A1357" s="1435"/>
      <c r="B1357" s="669" t="str">
        <f t="shared" si="616"/>
        <v>4구간</v>
      </c>
      <c r="C1357" s="677">
        <f t="shared" si="617"/>
        <v>0</v>
      </c>
      <c r="D1357" s="683">
        <f t="shared" si="618"/>
        <v>0</v>
      </c>
      <c r="E1357" s="677">
        <f t="shared" si="619"/>
        <v>0</v>
      </c>
      <c r="F1357" s="683">
        <f t="shared" si="620"/>
        <v>0</v>
      </c>
      <c r="G1357" s="677">
        <f t="shared" si="621"/>
        <v>0</v>
      </c>
      <c r="H1357" s="679">
        <f t="shared" si="622"/>
        <v>0</v>
      </c>
      <c r="I1357" s="679">
        <f t="shared" si="623"/>
        <v>0</v>
      </c>
      <c r="J1357" s="735">
        <f t="shared" si="624"/>
        <v>0</v>
      </c>
      <c r="K1357" s="674">
        <f t="shared" si="615"/>
        <v>0</v>
      </c>
    </row>
    <row r="1358" spans="1:11" ht="17.25" customHeight="1">
      <c r="A1358" s="1435"/>
      <c r="B1358" s="669" t="str">
        <f t="shared" si="616"/>
        <v>5구간</v>
      </c>
      <c r="C1358" s="670">
        <f t="shared" si="617"/>
        <v>0</v>
      </c>
      <c r="D1358" s="672">
        <f t="shared" si="618"/>
        <v>0</v>
      </c>
      <c r="E1358" s="670">
        <f t="shared" si="619"/>
        <v>0</v>
      </c>
      <c r="F1358" s="682">
        <f t="shared" si="620"/>
        <v>0</v>
      </c>
      <c r="G1358" s="670">
        <f t="shared" si="621"/>
        <v>0</v>
      </c>
      <c r="H1358" s="672">
        <f t="shared" si="622"/>
        <v>0</v>
      </c>
      <c r="I1358" s="672">
        <f t="shared" si="623"/>
        <v>0</v>
      </c>
      <c r="J1358" s="736">
        <f t="shared" si="624"/>
        <v>0</v>
      </c>
      <c r="K1358" s="675">
        <f t="shared" si="615"/>
        <v>0</v>
      </c>
    </row>
    <row r="1359" spans="1:11" ht="17.45" customHeight="1">
      <c r="A1359" s="1435"/>
      <c r="B1359" s="676" t="str">
        <f t="shared" si="616"/>
        <v>6구간</v>
      </c>
      <c r="C1359" s="677">
        <f t="shared" si="617"/>
        <v>0</v>
      </c>
      <c r="D1359" s="683">
        <f t="shared" si="618"/>
        <v>0</v>
      </c>
      <c r="E1359" s="677">
        <f t="shared" si="619"/>
        <v>0</v>
      </c>
      <c r="F1359" s="683">
        <f t="shared" si="620"/>
        <v>0</v>
      </c>
      <c r="G1359" s="677">
        <f t="shared" si="621"/>
        <v>0</v>
      </c>
      <c r="H1359" s="679">
        <f t="shared" si="622"/>
        <v>0</v>
      </c>
      <c r="I1359" s="679">
        <f t="shared" si="623"/>
        <v>0</v>
      </c>
      <c r="J1359" s="735">
        <f t="shared" si="624"/>
        <v>0</v>
      </c>
      <c r="K1359" s="674">
        <f>SUM(C1359:J1359)</f>
        <v>0</v>
      </c>
    </row>
    <row r="1360" spans="1:11" ht="17.45" customHeight="1">
      <c r="A1360" s="1435"/>
      <c r="B1360" s="669" t="str">
        <f t="shared" si="616"/>
        <v>7구간</v>
      </c>
      <c r="C1360" s="677">
        <f t="shared" si="617"/>
        <v>0</v>
      </c>
      <c r="D1360" s="683">
        <f t="shared" si="618"/>
        <v>0</v>
      </c>
      <c r="E1360" s="677">
        <f t="shared" si="619"/>
        <v>0</v>
      </c>
      <c r="F1360" s="683">
        <f t="shared" si="620"/>
        <v>0</v>
      </c>
      <c r="G1360" s="677">
        <f t="shared" si="621"/>
        <v>0</v>
      </c>
      <c r="H1360" s="679">
        <f t="shared" si="622"/>
        <v>0</v>
      </c>
      <c r="I1360" s="679">
        <f t="shared" si="623"/>
        <v>0</v>
      </c>
      <c r="J1360" s="735">
        <f t="shared" si="624"/>
        <v>0</v>
      </c>
      <c r="K1360" s="674">
        <f>SUM(C1360:J1360)</f>
        <v>0</v>
      </c>
    </row>
    <row r="1361" spans="1:11" ht="17.45" customHeight="1">
      <c r="A1361" s="1435"/>
      <c r="B1361" s="669" t="str">
        <f t="shared" si="616"/>
        <v>8구간</v>
      </c>
      <c r="C1361" s="677">
        <f t="shared" si="617"/>
        <v>0</v>
      </c>
      <c r="D1361" s="683">
        <f t="shared" si="618"/>
        <v>0</v>
      </c>
      <c r="E1361" s="677">
        <f t="shared" si="619"/>
        <v>0</v>
      </c>
      <c r="F1361" s="683">
        <f t="shared" si="620"/>
        <v>0</v>
      </c>
      <c r="G1361" s="677">
        <f t="shared" si="621"/>
        <v>0</v>
      </c>
      <c r="H1361" s="679">
        <f t="shared" si="622"/>
        <v>0</v>
      </c>
      <c r="I1361" s="679">
        <f t="shared" si="623"/>
        <v>0</v>
      </c>
      <c r="J1361" s="736">
        <f t="shared" si="624"/>
        <v>0</v>
      </c>
      <c r="K1361" s="674">
        <f>SUM(C1361:J1361)</f>
        <v>0</v>
      </c>
    </row>
    <row r="1362" spans="1:11" ht="17.45" customHeight="1">
      <c r="A1362" s="1435"/>
      <c r="B1362" s="669" t="str">
        <f t="shared" si="616"/>
        <v>9구간</v>
      </c>
      <c r="C1362" s="677">
        <f t="shared" si="617"/>
        <v>0</v>
      </c>
      <c r="D1362" s="683">
        <f t="shared" si="618"/>
        <v>0</v>
      </c>
      <c r="E1362" s="677">
        <f t="shared" si="619"/>
        <v>0</v>
      </c>
      <c r="F1362" s="683">
        <f t="shared" si="620"/>
        <v>0</v>
      </c>
      <c r="G1362" s="677">
        <f t="shared" si="621"/>
        <v>0</v>
      </c>
      <c r="H1362" s="679">
        <f t="shared" si="622"/>
        <v>0</v>
      </c>
      <c r="I1362" s="679">
        <f t="shared" si="623"/>
        <v>0</v>
      </c>
      <c r="J1362" s="735">
        <f t="shared" si="624"/>
        <v>0</v>
      </c>
      <c r="K1362" s="674">
        <f>SUM(C1362:J1362)</f>
        <v>0</v>
      </c>
    </row>
    <row r="1363" spans="1:11" ht="17.25" customHeight="1">
      <c r="A1363" s="1436"/>
      <c r="B1363" s="680" t="str">
        <f t="shared" si="616"/>
        <v>10구간</v>
      </c>
      <c r="C1363" s="744">
        <f t="shared" si="617"/>
        <v>0</v>
      </c>
      <c r="D1363" s="739">
        <f t="shared" si="618"/>
        <v>0</v>
      </c>
      <c r="E1363" s="737">
        <f t="shared" si="619"/>
        <v>0</v>
      </c>
      <c r="F1363" s="745">
        <f t="shared" si="620"/>
        <v>0</v>
      </c>
      <c r="G1363" s="737">
        <f t="shared" si="621"/>
        <v>0</v>
      </c>
      <c r="H1363" s="746">
        <f t="shared" si="622"/>
        <v>0</v>
      </c>
      <c r="I1363" s="746">
        <f t="shared" si="623"/>
        <v>0</v>
      </c>
      <c r="J1363" s="747">
        <f t="shared" si="624"/>
        <v>0</v>
      </c>
      <c r="K1363" s="674">
        <f>SUM(C1363:J1363)</f>
        <v>0</v>
      </c>
    </row>
    <row r="1364" spans="1:11" ht="17.45" customHeight="1">
      <c r="A1364" s="1434">
        <v>30</v>
      </c>
      <c r="B1364" s="676" t="str">
        <f t="shared" si="616"/>
        <v>1구간</v>
      </c>
      <c r="C1364" s="666">
        <f t="shared" ref="C1364:C1373" si="625">ROUND(((($C$1343*$C$1229*$E1146)*$E$1249)*$C414),2)</f>
        <v>0</v>
      </c>
      <c r="D1364" s="683">
        <f t="shared" ref="D1364:D1373" si="626">ROUND((((D$1343*$C$1229*$E1169)*$F$1249)*$D414),2)</f>
        <v>7.0000000000000007E-2</v>
      </c>
      <c r="E1364" s="677">
        <f t="shared" ref="E1364:E1373" si="627">ROUND((((E$1343*$C$1229*$E1192)*$F$1249)*$E414),2)</f>
        <v>0</v>
      </c>
      <c r="F1364" s="683">
        <f t="shared" ref="F1364:F1373" si="628">ROUND((((F$1343*$C$1229*$E1215)*$F$1249)*$F414),2)</f>
        <v>0.03</v>
      </c>
      <c r="G1364" s="677">
        <f t="shared" ref="G1364:G1373" si="629">ROUND((((G$1343*$C$1229*$E1192)*$F$1249)*$G414),2)</f>
        <v>0.04</v>
      </c>
      <c r="H1364" s="667">
        <f t="shared" ref="H1364:H1373" si="630">ROUND((((H$1343*$C$1229*$E1215)*$F$1249)*$H414),2)</f>
        <v>0.06</v>
      </c>
      <c r="I1364" s="667">
        <f t="shared" ref="I1364:I1373" si="631">ROUND((((I$1343*$C$1229*$E1215)*$F$1249)*$I414),2)</f>
        <v>0.01</v>
      </c>
      <c r="J1364" s="748">
        <f t="shared" ref="J1364:J1373" si="632">ROUND((((J$1343*$C$1229*$E1215)*$F$1249)*$J414),2)</f>
        <v>0.05</v>
      </c>
      <c r="K1364" s="681">
        <f t="shared" si="615"/>
        <v>0.26</v>
      </c>
    </row>
    <row r="1365" spans="1:11" ht="17.45" customHeight="1">
      <c r="A1365" s="1435"/>
      <c r="B1365" s="669" t="str">
        <f t="shared" si="616"/>
        <v>2구간</v>
      </c>
      <c r="C1365" s="677">
        <f t="shared" si="625"/>
        <v>0</v>
      </c>
      <c r="D1365" s="683">
        <f t="shared" si="626"/>
        <v>0</v>
      </c>
      <c r="E1365" s="677">
        <f t="shared" si="627"/>
        <v>0</v>
      </c>
      <c r="F1365" s="683">
        <f t="shared" si="628"/>
        <v>0</v>
      </c>
      <c r="G1365" s="677">
        <f t="shared" si="629"/>
        <v>0</v>
      </c>
      <c r="H1365" s="679">
        <f t="shared" si="630"/>
        <v>0</v>
      </c>
      <c r="I1365" s="679">
        <f t="shared" si="631"/>
        <v>0</v>
      </c>
      <c r="J1365" s="735">
        <f t="shared" si="632"/>
        <v>0</v>
      </c>
      <c r="K1365" s="674">
        <f t="shared" si="615"/>
        <v>0</v>
      </c>
    </row>
    <row r="1366" spans="1:11" ht="17.45" customHeight="1">
      <c r="A1366" s="1435"/>
      <c r="B1366" s="669" t="str">
        <f t="shared" si="616"/>
        <v>3구간</v>
      </c>
      <c r="C1366" s="677">
        <f t="shared" si="625"/>
        <v>0</v>
      </c>
      <c r="D1366" s="683">
        <f t="shared" si="626"/>
        <v>0</v>
      </c>
      <c r="E1366" s="677">
        <f t="shared" si="627"/>
        <v>0</v>
      </c>
      <c r="F1366" s="683">
        <f t="shared" si="628"/>
        <v>0</v>
      </c>
      <c r="G1366" s="677">
        <f t="shared" si="629"/>
        <v>0</v>
      </c>
      <c r="H1366" s="679">
        <f t="shared" si="630"/>
        <v>0</v>
      </c>
      <c r="I1366" s="679">
        <f t="shared" si="631"/>
        <v>0</v>
      </c>
      <c r="J1366" s="736">
        <f t="shared" si="632"/>
        <v>0</v>
      </c>
      <c r="K1366" s="674">
        <f t="shared" si="615"/>
        <v>0</v>
      </c>
    </row>
    <row r="1367" spans="1:11" ht="17.45" customHeight="1">
      <c r="A1367" s="1435"/>
      <c r="B1367" s="669" t="str">
        <f t="shared" si="616"/>
        <v>4구간</v>
      </c>
      <c r="C1367" s="677">
        <f t="shared" si="625"/>
        <v>0</v>
      </c>
      <c r="D1367" s="683">
        <f t="shared" si="626"/>
        <v>0</v>
      </c>
      <c r="E1367" s="677">
        <f t="shared" si="627"/>
        <v>0</v>
      </c>
      <c r="F1367" s="683">
        <f t="shared" si="628"/>
        <v>0</v>
      </c>
      <c r="G1367" s="677">
        <f t="shared" si="629"/>
        <v>0</v>
      </c>
      <c r="H1367" s="679">
        <f t="shared" si="630"/>
        <v>0</v>
      </c>
      <c r="I1367" s="679">
        <f t="shared" si="631"/>
        <v>0</v>
      </c>
      <c r="J1367" s="735">
        <f t="shared" si="632"/>
        <v>0</v>
      </c>
      <c r="K1367" s="674">
        <f t="shared" si="615"/>
        <v>0</v>
      </c>
    </row>
    <row r="1368" spans="1:11" ht="17.45" customHeight="1">
      <c r="A1368" s="1435"/>
      <c r="B1368" s="669" t="str">
        <f t="shared" si="616"/>
        <v>5구간</v>
      </c>
      <c r="C1368" s="670">
        <f t="shared" si="625"/>
        <v>0</v>
      </c>
      <c r="D1368" s="672">
        <f t="shared" si="626"/>
        <v>0</v>
      </c>
      <c r="E1368" s="670">
        <f t="shared" si="627"/>
        <v>0</v>
      </c>
      <c r="F1368" s="682">
        <f t="shared" si="628"/>
        <v>0</v>
      </c>
      <c r="G1368" s="670">
        <f t="shared" si="629"/>
        <v>0</v>
      </c>
      <c r="H1368" s="672">
        <f t="shared" si="630"/>
        <v>0</v>
      </c>
      <c r="I1368" s="672">
        <f t="shared" si="631"/>
        <v>0</v>
      </c>
      <c r="J1368" s="736">
        <f t="shared" si="632"/>
        <v>0</v>
      </c>
      <c r="K1368" s="675">
        <f t="shared" si="615"/>
        <v>0</v>
      </c>
    </row>
    <row r="1369" spans="1:11" ht="17.45" customHeight="1">
      <c r="A1369" s="1435"/>
      <c r="B1369" s="676" t="str">
        <f t="shared" si="616"/>
        <v>6구간</v>
      </c>
      <c r="C1369" s="677">
        <f t="shared" si="625"/>
        <v>0</v>
      </c>
      <c r="D1369" s="683">
        <f t="shared" si="626"/>
        <v>0</v>
      </c>
      <c r="E1369" s="677">
        <f t="shared" si="627"/>
        <v>0</v>
      </c>
      <c r="F1369" s="683">
        <f t="shared" si="628"/>
        <v>0</v>
      </c>
      <c r="G1369" s="677">
        <f t="shared" si="629"/>
        <v>0</v>
      </c>
      <c r="H1369" s="679">
        <f t="shared" si="630"/>
        <v>0</v>
      </c>
      <c r="I1369" s="679">
        <f t="shared" si="631"/>
        <v>0</v>
      </c>
      <c r="J1369" s="735">
        <f t="shared" si="632"/>
        <v>0</v>
      </c>
      <c r="K1369" s="674">
        <f>SUM(C1369:J1369)</f>
        <v>0</v>
      </c>
    </row>
    <row r="1370" spans="1:11" ht="17.45" customHeight="1">
      <c r="A1370" s="1435"/>
      <c r="B1370" s="669" t="str">
        <f t="shared" si="616"/>
        <v>7구간</v>
      </c>
      <c r="C1370" s="677">
        <f t="shared" si="625"/>
        <v>0</v>
      </c>
      <c r="D1370" s="683">
        <f t="shared" si="626"/>
        <v>0</v>
      </c>
      <c r="E1370" s="677">
        <f t="shared" si="627"/>
        <v>0</v>
      </c>
      <c r="F1370" s="683">
        <f t="shared" si="628"/>
        <v>0</v>
      </c>
      <c r="G1370" s="677">
        <f t="shared" si="629"/>
        <v>0</v>
      </c>
      <c r="H1370" s="679">
        <f t="shared" si="630"/>
        <v>0</v>
      </c>
      <c r="I1370" s="679">
        <f t="shared" si="631"/>
        <v>0</v>
      </c>
      <c r="J1370" s="735">
        <f t="shared" si="632"/>
        <v>0</v>
      </c>
      <c r="K1370" s="674">
        <f>SUM(C1370:J1370)</f>
        <v>0</v>
      </c>
    </row>
    <row r="1371" spans="1:11" ht="17.45" customHeight="1">
      <c r="A1371" s="1435"/>
      <c r="B1371" s="669" t="str">
        <f t="shared" si="616"/>
        <v>8구간</v>
      </c>
      <c r="C1371" s="677">
        <f t="shared" si="625"/>
        <v>0</v>
      </c>
      <c r="D1371" s="683">
        <f t="shared" si="626"/>
        <v>0</v>
      </c>
      <c r="E1371" s="677">
        <f t="shared" si="627"/>
        <v>0</v>
      </c>
      <c r="F1371" s="683">
        <f t="shared" si="628"/>
        <v>0</v>
      </c>
      <c r="G1371" s="677">
        <f t="shared" si="629"/>
        <v>0</v>
      </c>
      <c r="H1371" s="679">
        <f t="shared" si="630"/>
        <v>0</v>
      </c>
      <c r="I1371" s="679">
        <f t="shared" si="631"/>
        <v>0</v>
      </c>
      <c r="J1371" s="736">
        <f t="shared" si="632"/>
        <v>0</v>
      </c>
      <c r="K1371" s="674">
        <f>SUM(C1371:J1371)</f>
        <v>0</v>
      </c>
    </row>
    <row r="1372" spans="1:11" ht="17.45" customHeight="1">
      <c r="A1372" s="1435"/>
      <c r="B1372" s="669" t="str">
        <f t="shared" si="616"/>
        <v>9구간</v>
      </c>
      <c r="C1372" s="677">
        <f t="shared" si="625"/>
        <v>0</v>
      </c>
      <c r="D1372" s="683">
        <f t="shared" si="626"/>
        <v>0</v>
      </c>
      <c r="E1372" s="677">
        <f t="shared" si="627"/>
        <v>0</v>
      </c>
      <c r="F1372" s="683">
        <f t="shared" si="628"/>
        <v>0</v>
      </c>
      <c r="G1372" s="677">
        <f t="shared" si="629"/>
        <v>0</v>
      </c>
      <c r="H1372" s="679">
        <f t="shared" si="630"/>
        <v>0</v>
      </c>
      <c r="I1372" s="679">
        <f t="shared" si="631"/>
        <v>0</v>
      </c>
      <c r="J1372" s="735">
        <f t="shared" si="632"/>
        <v>0</v>
      </c>
      <c r="K1372" s="674">
        <f>SUM(C1372:J1372)</f>
        <v>0</v>
      </c>
    </row>
    <row r="1373" spans="1:11" ht="17.45" customHeight="1">
      <c r="A1373" s="1436"/>
      <c r="B1373" s="680" t="str">
        <f t="shared" si="616"/>
        <v>10구간</v>
      </c>
      <c r="C1373" s="744">
        <f t="shared" si="625"/>
        <v>0</v>
      </c>
      <c r="D1373" s="739">
        <f t="shared" si="626"/>
        <v>0</v>
      </c>
      <c r="E1373" s="737">
        <f t="shared" si="627"/>
        <v>0</v>
      </c>
      <c r="F1373" s="745">
        <f t="shared" si="628"/>
        <v>0</v>
      </c>
      <c r="G1373" s="737">
        <f t="shared" si="629"/>
        <v>0</v>
      </c>
      <c r="H1373" s="739">
        <f t="shared" si="630"/>
        <v>0</v>
      </c>
      <c r="I1373" s="739">
        <f t="shared" si="631"/>
        <v>0</v>
      </c>
      <c r="J1373" s="738">
        <f t="shared" si="632"/>
        <v>0</v>
      </c>
      <c r="K1373" s="674">
        <f>SUM(C1373:J1373)</f>
        <v>0</v>
      </c>
    </row>
    <row r="1374" spans="1:11" ht="17.45" customHeight="1">
      <c r="A1374" s="1434">
        <v>40</v>
      </c>
      <c r="B1374" s="676" t="str">
        <f t="shared" si="616"/>
        <v>1구간</v>
      </c>
      <c r="C1374" s="666">
        <f t="shared" ref="C1374:C1383" si="633">ROUND(((($C$1343*$C$1229*$F1146)*$E$1249)*$C425),2)</f>
        <v>0</v>
      </c>
      <c r="D1374" s="683">
        <f t="shared" ref="D1374:D1383" si="634">ROUND((((D$1343*$C$1229*$F1169)*$F$1249)*$D425),2)</f>
        <v>0.06</v>
      </c>
      <c r="E1374" s="677">
        <f t="shared" ref="E1374:E1383" si="635">ROUND((((E$1343*$C$1229*$F1192)*$F$1249)*$E425),2)</f>
        <v>0</v>
      </c>
      <c r="F1374" s="683">
        <f t="shared" ref="F1374:F1383" si="636">ROUND((((F$1343*$C$1229*$F1215)*$F$1249)*$F425),2)</f>
        <v>0.03</v>
      </c>
      <c r="G1374" s="677">
        <f t="shared" ref="G1374:G1383" si="637">ROUND((((G$1343*$C$1229*$F1192)*$F$1249)*$G425),2)</f>
        <v>0.04</v>
      </c>
      <c r="H1374" s="679">
        <f t="shared" ref="H1374:H1383" si="638">ROUND((((H$1343*$C$1229*$F1215)*$F$1249)*$H425),2)</f>
        <v>0.05</v>
      </c>
      <c r="I1374" s="679">
        <f t="shared" ref="I1374:I1383" si="639">ROUND((((I$1343*$C$1229*$F1215)*$F$1249)*$I425),2)</f>
        <v>0.01</v>
      </c>
      <c r="J1374" s="735">
        <f t="shared" ref="J1374:J1383" si="640">ROUND((((J$1343*$C$1229*$F1215)*$F$1249)*$J425),2)</f>
        <v>0.04</v>
      </c>
      <c r="K1374" s="681">
        <f t="shared" si="615"/>
        <v>0.23</v>
      </c>
    </row>
    <row r="1375" spans="1:11" ht="17.45" customHeight="1">
      <c r="A1375" s="1435"/>
      <c r="B1375" s="669" t="str">
        <f t="shared" si="616"/>
        <v>2구간</v>
      </c>
      <c r="C1375" s="677">
        <f t="shared" si="633"/>
        <v>0</v>
      </c>
      <c r="D1375" s="683">
        <f t="shared" si="634"/>
        <v>0</v>
      </c>
      <c r="E1375" s="677">
        <f t="shared" si="635"/>
        <v>0</v>
      </c>
      <c r="F1375" s="683">
        <f t="shared" si="636"/>
        <v>0</v>
      </c>
      <c r="G1375" s="677">
        <f t="shared" si="637"/>
        <v>0</v>
      </c>
      <c r="H1375" s="679">
        <f t="shared" si="638"/>
        <v>0</v>
      </c>
      <c r="I1375" s="679">
        <f t="shared" si="639"/>
        <v>0</v>
      </c>
      <c r="J1375" s="735">
        <f t="shared" si="640"/>
        <v>0</v>
      </c>
      <c r="K1375" s="674">
        <f t="shared" si="615"/>
        <v>0</v>
      </c>
    </row>
    <row r="1376" spans="1:11" ht="17.45" customHeight="1">
      <c r="A1376" s="1435"/>
      <c r="B1376" s="669" t="str">
        <f t="shared" si="616"/>
        <v>3구간</v>
      </c>
      <c r="C1376" s="677">
        <f t="shared" si="633"/>
        <v>0</v>
      </c>
      <c r="D1376" s="683">
        <f t="shared" si="634"/>
        <v>0</v>
      </c>
      <c r="E1376" s="677">
        <f t="shared" si="635"/>
        <v>0</v>
      </c>
      <c r="F1376" s="683">
        <f t="shared" si="636"/>
        <v>0</v>
      </c>
      <c r="G1376" s="677">
        <f t="shared" si="637"/>
        <v>0</v>
      </c>
      <c r="H1376" s="679">
        <f t="shared" si="638"/>
        <v>0</v>
      </c>
      <c r="I1376" s="679">
        <f t="shared" si="639"/>
        <v>0</v>
      </c>
      <c r="J1376" s="736">
        <f t="shared" si="640"/>
        <v>0</v>
      </c>
      <c r="K1376" s="674">
        <f t="shared" si="615"/>
        <v>0</v>
      </c>
    </row>
    <row r="1377" spans="1:11" ht="17.25" customHeight="1">
      <c r="A1377" s="1435"/>
      <c r="B1377" s="669" t="str">
        <f t="shared" si="616"/>
        <v>4구간</v>
      </c>
      <c r="C1377" s="677">
        <f t="shared" si="633"/>
        <v>0</v>
      </c>
      <c r="D1377" s="683">
        <f t="shared" si="634"/>
        <v>0</v>
      </c>
      <c r="E1377" s="677">
        <f t="shared" si="635"/>
        <v>0</v>
      </c>
      <c r="F1377" s="683">
        <f t="shared" si="636"/>
        <v>0</v>
      </c>
      <c r="G1377" s="677">
        <f t="shared" si="637"/>
        <v>0</v>
      </c>
      <c r="H1377" s="679">
        <f t="shared" si="638"/>
        <v>0</v>
      </c>
      <c r="I1377" s="679">
        <f t="shared" si="639"/>
        <v>0</v>
      </c>
      <c r="J1377" s="735">
        <f t="shared" si="640"/>
        <v>0</v>
      </c>
      <c r="K1377" s="674">
        <f t="shared" si="615"/>
        <v>0</v>
      </c>
    </row>
    <row r="1378" spans="1:11" ht="17.45" customHeight="1">
      <c r="A1378" s="1435"/>
      <c r="B1378" s="669" t="str">
        <f t="shared" si="616"/>
        <v>5구간</v>
      </c>
      <c r="C1378" s="670">
        <f t="shared" si="633"/>
        <v>0</v>
      </c>
      <c r="D1378" s="672">
        <f t="shared" si="634"/>
        <v>0</v>
      </c>
      <c r="E1378" s="670">
        <f t="shared" si="635"/>
        <v>0</v>
      </c>
      <c r="F1378" s="682">
        <f t="shared" si="636"/>
        <v>0</v>
      </c>
      <c r="G1378" s="670">
        <f t="shared" si="637"/>
        <v>0</v>
      </c>
      <c r="H1378" s="672">
        <f t="shared" si="638"/>
        <v>0</v>
      </c>
      <c r="I1378" s="672">
        <f t="shared" si="639"/>
        <v>0</v>
      </c>
      <c r="J1378" s="736">
        <f t="shared" si="640"/>
        <v>0</v>
      </c>
      <c r="K1378" s="675">
        <f t="shared" si="615"/>
        <v>0</v>
      </c>
    </row>
    <row r="1379" spans="1:11" ht="17.45" customHeight="1">
      <c r="A1379" s="1435"/>
      <c r="B1379" s="676" t="str">
        <f t="shared" si="616"/>
        <v>6구간</v>
      </c>
      <c r="C1379" s="677">
        <f t="shared" si="633"/>
        <v>0</v>
      </c>
      <c r="D1379" s="683">
        <f t="shared" si="634"/>
        <v>0</v>
      </c>
      <c r="E1379" s="677">
        <f t="shared" si="635"/>
        <v>0</v>
      </c>
      <c r="F1379" s="683">
        <f t="shared" si="636"/>
        <v>0</v>
      </c>
      <c r="G1379" s="677">
        <f t="shared" si="637"/>
        <v>0</v>
      </c>
      <c r="H1379" s="679">
        <f t="shared" si="638"/>
        <v>0</v>
      </c>
      <c r="I1379" s="679">
        <f t="shared" si="639"/>
        <v>0</v>
      </c>
      <c r="J1379" s="735">
        <f t="shared" si="640"/>
        <v>0</v>
      </c>
      <c r="K1379" s="674">
        <f>SUM(C1379:J1379)</f>
        <v>0</v>
      </c>
    </row>
    <row r="1380" spans="1:11" ht="17.45" customHeight="1">
      <c r="A1380" s="1435"/>
      <c r="B1380" s="669" t="str">
        <f t="shared" si="616"/>
        <v>7구간</v>
      </c>
      <c r="C1380" s="677">
        <f t="shared" si="633"/>
        <v>0</v>
      </c>
      <c r="D1380" s="683">
        <f t="shared" si="634"/>
        <v>0</v>
      </c>
      <c r="E1380" s="677">
        <f t="shared" si="635"/>
        <v>0</v>
      </c>
      <c r="F1380" s="683">
        <f t="shared" si="636"/>
        <v>0</v>
      </c>
      <c r="G1380" s="677">
        <f t="shared" si="637"/>
        <v>0</v>
      </c>
      <c r="H1380" s="679">
        <f t="shared" si="638"/>
        <v>0</v>
      </c>
      <c r="I1380" s="679">
        <f t="shared" si="639"/>
        <v>0</v>
      </c>
      <c r="J1380" s="735">
        <f t="shared" si="640"/>
        <v>0</v>
      </c>
      <c r="K1380" s="674">
        <f>SUM(C1380:J1380)</f>
        <v>0</v>
      </c>
    </row>
    <row r="1381" spans="1:11" ht="17.45" customHeight="1">
      <c r="A1381" s="1435"/>
      <c r="B1381" s="669" t="str">
        <f t="shared" si="616"/>
        <v>8구간</v>
      </c>
      <c r="C1381" s="677">
        <f t="shared" si="633"/>
        <v>0</v>
      </c>
      <c r="D1381" s="683">
        <f t="shared" si="634"/>
        <v>0</v>
      </c>
      <c r="E1381" s="677">
        <f t="shared" si="635"/>
        <v>0</v>
      </c>
      <c r="F1381" s="683">
        <f t="shared" si="636"/>
        <v>0</v>
      </c>
      <c r="G1381" s="677">
        <f t="shared" si="637"/>
        <v>0</v>
      </c>
      <c r="H1381" s="679">
        <f t="shared" si="638"/>
        <v>0</v>
      </c>
      <c r="I1381" s="679">
        <f t="shared" si="639"/>
        <v>0</v>
      </c>
      <c r="J1381" s="736">
        <f t="shared" si="640"/>
        <v>0</v>
      </c>
      <c r="K1381" s="674">
        <f>SUM(C1381:J1381)</f>
        <v>0</v>
      </c>
    </row>
    <row r="1382" spans="1:11" ht="17.25" customHeight="1">
      <c r="A1382" s="1435"/>
      <c r="B1382" s="669" t="str">
        <f t="shared" si="616"/>
        <v>9구간</v>
      </c>
      <c r="C1382" s="677">
        <f t="shared" si="633"/>
        <v>0</v>
      </c>
      <c r="D1382" s="683">
        <f t="shared" si="634"/>
        <v>0</v>
      </c>
      <c r="E1382" s="677">
        <f t="shared" si="635"/>
        <v>0</v>
      </c>
      <c r="F1382" s="683">
        <f t="shared" si="636"/>
        <v>0</v>
      </c>
      <c r="G1382" s="677">
        <f t="shared" si="637"/>
        <v>0</v>
      </c>
      <c r="H1382" s="679">
        <f t="shared" si="638"/>
        <v>0</v>
      </c>
      <c r="I1382" s="679">
        <f t="shared" si="639"/>
        <v>0</v>
      </c>
      <c r="J1382" s="735">
        <f t="shared" si="640"/>
        <v>0</v>
      </c>
      <c r="K1382" s="674">
        <f>SUM(C1382:J1382)</f>
        <v>0</v>
      </c>
    </row>
    <row r="1383" spans="1:11" ht="17.45" customHeight="1">
      <c r="A1383" s="1436"/>
      <c r="B1383" s="680" t="str">
        <f t="shared" si="616"/>
        <v>10구간</v>
      </c>
      <c r="C1383" s="744">
        <f t="shared" si="633"/>
        <v>0</v>
      </c>
      <c r="D1383" s="739">
        <f t="shared" si="634"/>
        <v>0</v>
      </c>
      <c r="E1383" s="737">
        <f t="shared" si="635"/>
        <v>0</v>
      </c>
      <c r="F1383" s="745">
        <f t="shared" si="636"/>
        <v>0</v>
      </c>
      <c r="G1383" s="737">
        <f t="shared" si="637"/>
        <v>0</v>
      </c>
      <c r="H1383" s="746">
        <f t="shared" si="638"/>
        <v>0</v>
      </c>
      <c r="I1383" s="746">
        <f t="shared" si="639"/>
        <v>0</v>
      </c>
      <c r="J1383" s="747">
        <f t="shared" si="640"/>
        <v>0</v>
      </c>
      <c r="K1383" s="674">
        <f>SUM(C1383:J1383)</f>
        <v>0</v>
      </c>
    </row>
    <row r="1384" spans="1:11" ht="17.45" customHeight="1">
      <c r="A1384" s="1434">
        <v>50</v>
      </c>
      <c r="B1384" s="676" t="str">
        <f t="shared" si="616"/>
        <v>1구간</v>
      </c>
      <c r="C1384" s="666">
        <f t="shared" ref="C1384:C1393" si="641">ROUND(((($C$1343*$C$1229*$G1146)*$E$1249)*$C436),2)</f>
        <v>0</v>
      </c>
      <c r="D1384" s="683">
        <f t="shared" ref="D1384:D1393" si="642">ROUND((((D$1343*$C$1229*$G1169)*$F$1249)*$D436),2)</f>
        <v>0.06</v>
      </c>
      <c r="E1384" s="677">
        <f t="shared" ref="E1384:E1393" si="643">ROUND((((E$1343*$C$1229*$G1192)*$F$1249)*$E436),2)</f>
        <v>0</v>
      </c>
      <c r="F1384" s="683">
        <f t="shared" ref="F1384:F1393" si="644">ROUND((((F$1343*$C$1229*$G1215)*$F$1249)*$F436),2)</f>
        <v>0.03</v>
      </c>
      <c r="G1384" s="677">
        <f t="shared" ref="G1384:G1393" si="645">ROUND((((G$1343*$C$1229*$G1192)*$F$1249)*$G436),2)</f>
        <v>0.04</v>
      </c>
      <c r="H1384" s="667">
        <f t="shared" ref="H1384:H1393" si="646">ROUND((((H$1343*$C$1229*$G1215)*$F$1249)*$H436),2)</f>
        <v>0.05</v>
      </c>
      <c r="I1384" s="667">
        <f t="shared" ref="I1384:I1393" si="647">ROUND((((I$1343*$C$1229*$G1215)*$F$1249)*$I436),2)</f>
        <v>0.01</v>
      </c>
      <c r="J1384" s="748">
        <f t="shared" ref="J1384:J1393" si="648">ROUND((((J$1343*$C$1229*$G1215)*$F$1249)*$J436),2)</f>
        <v>0.04</v>
      </c>
      <c r="K1384" s="681">
        <f t="shared" si="615"/>
        <v>0.23</v>
      </c>
    </row>
    <row r="1385" spans="1:11" ht="17.45" customHeight="1">
      <c r="A1385" s="1435"/>
      <c r="B1385" s="669" t="str">
        <f t="shared" si="616"/>
        <v>2구간</v>
      </c>
      <c r="C1385" s="677">
        <f t="shared" si="641"/>
        <v>0</v>
      </c>
      <c r="D1385" s="683">
        <f t="shared" si="642"/>
        <v>0</v>
      </c>
      <c r="E1385" s="677">
        <f t="shared" si="643"/>
        <v>0</v>
      </c>
      <c r="F1385" s="683">
        <f t="shared" si="644"/>
        <v>0</v>
      </c>
      <c r="G1385" s="677">
        <f t="shared" si="645"/>
        <v>0</v>
      </c>
      <c r="H1385" s="679">
        <f t="shared" si="646"/>
        <v>0</v>
      </c>
      <c r="I1385" s="679">
        <f t="shared" si="647"/>
        <v>0</v>
      </c>
      <c r="J1385" s="735">
        <f t="shared" si="648"/>
        <v>0</v>
      </c>
      <c r="K1385" s="674">
        <f t="shared" si="615"/>
        <v>0</v>
      </c>
    </row>
    <row r="1386" spans="1:11" ht="17.45" customHeight="1">
      <c r="A1386" s="1435"/>
      <c r="B1386" s="669" t="str">
        <f t="shared" ref="B1386:B1413" si="649">B1376</f>
        <v>3구간</v>
      </c>
      <c r="C1386" s="677">
        <f t="shared" si="641"/>
        <v>0</v>
      </c>
      <c r="D1386" s="683">
        <f t="shared" si="642"/>
        <v>0</v>
      </c>
      <c r="E1386" s="677">
        <f t="shared" si="643"/>
        <v>0</v>
      </c>
      <c r="F1386" s="683">
        <f t="shared" si="644"/>
        <v>0</v>
      </c>
      <c r="G1386" s="677">
        <f t="shared" si="645"/>
        <v>0</v>
      </c>
      <c r="H1386" s="679">
        <f t="shared" si="646"/>
        <v>0</v>
      </c>
      <c r="I1386" s="679">
        <f t="shared" si="647"/>
        <v>0</v>
      </c>
      <c r="J1386" s="736">
        <f t="shared" si="648"/>
        <v>0</v>
      </c>
      <c r="K1386" s="674">
        <f t="shared" si="615"/>
        <v>0</v>
      </c>
    </row>
    <row r="1387" spans="1:11" ht="17.45" customHeight="1">
      <c r="A1387" s="1435"/>
      <c r="B1387" s="669" t="str">
        <f t="shared" si="649"/>
        <v>4구간</v>
      </c>
      <c r="C1387" s="677">
        <f t="shared" si="641"/>
        <v>0</v>
      </c>
      <c r="D1387" s="683">
        <f t="shared" si="642"/>
        <v>0</v>
      </c>
      <c r="E1387" s="677">
        <f t="shared" si="643"/>
        <v>0</v>
      </c>
      <c r="F1387" s="683">
        <f t="shared" si="644"/>
        <v>0</v>
      </c>
      <c r="G1387" s="677">
        <f t="shared" si="645"/>
        <v>0</v>
      </c>
      <c r="H1387" s="679">
        <f t="shared" si="646"/>
        <v>0</v>
      </c>
      <c r="I1387" s="679">
        <f t="shared" si="647"/>
        <v>0</v>
      </c>
      <c r="J1387" s="735">
        <f t="shared" si="648"/>
        <v>0</v>
      </c>
      <c r="K1387" s="674">
        <f t="shared" si="615"/>
        <v>0</v>
      </c>
    </row>
    <row r="1388" spans="1:11" ht="15.75" customHeight="1">
      <c r="A1388" s="1435"/>
      <c r="B1388" s="669" t="str">
        <f t="shared" si="649"/>
        <v>5구간</v>
      </c>
      <c r="C1388" s="670">
        <f t="shared" si="641"/>
        <v>0</v>
      </c>
      <c r="D1388" s="672">
        <f t="shared" si="642"/>
        <v>0</v>
      </c>
      <c r="E1388" s="670">
        <f t="shared" si="643"/>
        <v>0</v>
      </c>
      <c r="F1388" s="682">
        <f t="shared" si="644"/>
        <v>0</v>
      </c>
      <c r="G1388" s="670">
        <f t="shared" si="645"/>
        <v>0</v>
      </c>
      <c r="H1388" s="672">
        <f t="shared" si="646"/>
        <v>0</v>
      </c>
      <c r="I1388" s="672">
        <f t="shared" si="647"/>
        <v>0</v>
      </c>
      <c r="J1388" s="736">
        <f t="shared" si="648"/>
        <v>0</v>
      </c>
      <c r="K1388" s="675">
        <f t="shared" si="615"/>
        <v>0</v>
      </c>
    </row>
    <row r="1389" spans="1:11" ht="17.45" customHeight="1">
      <c r="A1389" s="1435"/>
      <c r="B1389" s="676" t="str">
        <f t="shared" si="649"/>
        <v>6구간</v>
      </c>
      <c r="C1389" s="677">
        <f t="shared" si="641"/>
        <v>0</v>
      </c>
      <c r="D1389" s="683">
        <f t="shared" si="642"/>
        <v>0</v>
      </c>
      <c r="E1389" s="677">
        <f t="shared" si="643"/>
        <v>0</v>
      </c>
      <c r="F1389" s="683">
        <f t="shared" si="644"/>
        <v>0</v>
      </c>
      <c r="G1389" s="677">
        <f t="shared" si="645"/>
        <v>0</v>
      </c>
      <c r="H1389" s="679">
        <f t="shared" si="646"/>
        <v>0</v>
      </c>
      <c r="I1389" s="679">
        <f t="shared" si="647"/>
        <v>0</v>
      </c>
      <c r="J1389" s="735">
        <f t="shared" si="648"/>
        <v>0</v>
      </c>
      <c r="K1389" s="674">
        <f>SUM(C1389:J1389)</f>
        <v>0</v>
      </c>
    </row>
    <row r="1390" spans="1:11" ht="17.45" customHeight="1">
      <c r="A1390" s="1435"/>
      <c r="B1390" s="669" t="str">
        <f t="shared" si="649"/>
        <v>7구간</v>
      </c>
      <c r="C1390" s="677">
        <f t="shared" si="641"/>
        <v>0</v>
      </c>
      <c r="D1390" s="683">
        <f t="shared" si="642"/>
        <v>0</v>
      </c>
      <c r="E1390" s="677">
        <f t="shared" si="643"/>
        <v>0</v>
      </c>
      <c r="F1390" s="683">
        <f t="shared" si="644"/>
        <v>0</v>
      </c>
      <c r="G1390" s="677">
        <f t="shared" si="645"/>
        <v>0</v>
      </c>
      <c r="H1390" s="679">
        <f t="shared" si="646"/>
        <v>0</v>
      </c>
      <c r="I1390" s="679">
        <f t="shared" si="647"/>
        <v>0</v>
      </c>
      <c r="J1390" s="735">
        <f t="shared" si="648"/>
        <v>0</v>
      </c>
      <c r="K1390" s="674">
        <f>SUM(C1390:J1390)</f>
        <v>0</v>
      </c>
    </row>
    <row r="1391" spans="1:11" ht="17.45" customHeight="1">
      <c r="A1391" s="1435"/>
      <c r="B1391" s="669" t="str">
        <f t="shared" si="649"/>
        <v>8구간</v>
      </c>
      <c r="C1391" s="677">
        <f t="shared" si="641"/>
        <v>0</v>
      </c>
      <c r="D1391" s="683">
        <f t="shared" si="642"/>
        <v>0</v>
      </c>
      <c r="E1391" s="677">
        <f t="shared" si="643"/>
        <v>0</v>
      </c>
      <c r="F1391" s="683">
        <f t="shared" si="644"/>
        <v>0</v>
      </c>
      <c r="G1391" s="677">
        <f t="shared" si="645"/>
        <v>0</v>
      </c>
      <c r="H1391" s="679">
        <f t="shared" si="646"/>
        <v>0</v>
      </c>
      <c r="I1391" s="679">
        <f t="shared" si="647"/>
        <v>0</v>
      </c>
      <c r="J1391" s="736">
        <f t="shared" si="648"/>
        <v>0</v>
      </c>
      <c r="K1391" s="674">
        <f>SUM(C1391:J1391)</f>
        <v>0</v>
      </c>
    </row>
    <row r="1392" spans="1:11" ht="17.45" customHeight="1">
      <c r="A1392" s="1435"/>
      <c r="B1392" s="669" t="str">
        <f t="shared" si="649"/>
        <v>9구간</v>
      </c>
      <c r="C1392" s="677">
        <f t="shared" si="641"/>
        <v>0</v>
      </c>
      <c r="D1392" s="683">
        <f t="shared" si="642"/>
        <v>0</v>
      </c>
      <c r="E1392" s="677">
        <f t="shared" si="643"/>
        <v>0</v>
      </c>
      <c r="F1392" s="683">
        <f t="shared" si="644"/>
        <v>0</v>
      </c>
      <c r="G1392" s="677">
        <f t="shared" si="645"/>
        <v>0</v>
      </c>
      <c r="H1392" s="679">
        <f t="shared" si="646"/>
        <v>0</v>
      </c>
      <c r="I1392" s="679">
        <f t="shared" si="647"/>
        <v>0</v>
      </c>
      <c r="J1392" s="735">
        <f t="shared" si="648"/>
        <v>0</v>
      </c>
      <c r="K1392" s="674">
        <f>SUM(C1392:J1392)</f>
        <v>0</v>
      </c>
    </row>
    <row r="1393" spans="1:11" ht="15.75" customHeight="1">
      <c r="A1393" s="1436"/>
      <c r="B1393" s="680" t="str">
        <f t="shared" si="649"/>
        <v>10구간</v>
      </c>
      <c r="C1393" s="744">
        <f t="shared" si="641"/>
        <v>0</v>
      </c>
      <c r="D1393" s="739">
        <f t="shared" si="642"/>
        <v>0</v>
      </c>
      <c r="E1393" s="737">
        <f t="shared" si="643"/>
        <v>0</v>
      </c>
      <c r="F1393" s="745">
        <f t="shared" si="644"/>
        <v>0</v>
      </c>
      <c r="G1393" s="737">
        <f t="shared" si="645"/>
        <v>0</v>
      </c>
      <c r="H1393" s="746">
        <f t="shared" si="646"/>
        <v>0</v>
      </c>
      <c r="I1393" s="746">
        <f t="shared" si="647"/>
        <v>0</v>
      </c>
      <c r="J1393" s="747">
        <f t="shared" si="648"/>
        <v>0</v>
      </c>
      <c r="K1393" s="674">
        <f>SUM(C1393:J1393)</f>
        <v>0</v>
      </c>
    </row>
    <row r="1394" spans="1:11" ht="17.45" customHeight="1">
      <c r="A1394" s="1434">
        <v>60</v>
      </c>
      <c r="B1394" s="676" t="str">
        <f t="shared" si="649"/>
        <v>1구간</v>
      </c>
      <c r="C1394" s="666">
        <f t="shared" ref="C1394:C1403" si="650">ROUND(((($C$1343*$C$1229*$H1146)*$E$1249)*$C447),2)</f>
        <v>0</v>
      </c>
      <c r="D1394" s="683">
        <f t="shared" ref="D1394:D1403" si="651">ROUND((((D$1343*$C$1229*$H1169)*$F$1249)*$D447),2)</f>
        <v>0.06</v>
      </c>
      <c r="E1394" s="677">
        <f t="shared" ref="E1394:E1403" si="652">ROUND((((E$1343*$C$1229*$H1192)*$F$1249)*$E447),2)</f>
        <v>0</v>
      </c>
      <c r="F1394" s="683">
        <f t="shared" ref="F1394:F1403" si="653">ROUND((((F$1343*$C$1229*$H1215)*$F$1249)*$F447),2)</f>
        <v>0.03</v>
      </c>
      <c r="G1394" s="677">
        <f t="shared" ref="G1394:G1403" si="654">ROUND((((G$1343*$C$1229*$H1192)*$F$1249)*$G447),2)</f>
        <v>0.04</v>
      </c>
      <c r="H1394" s="667">
        <f t="shared" ref="H1394:H1403" si="655">ROUND((((H$1343*$C$1229*$H1215)*$F$1249)*$H447),2)</f>
        <v>0.05</v>
      </c>
      <c r="I1394" s="667">
        <f t="shared" ref="I1394:I1403" si="656">ROUND((((I$1343*$C$1229*$H1215)*$F$1249)*$I447),2)</f>
        <v>0.01</v>
      </c>
      <c r="J1394" s="748">
        <f t="shared" ref="J1394:J1403" si="657">ROUND((((J$1343*$C$1229*$H1215)*$F$1249)*$J447),2)</f>
        <v>0.05</v>
      </c>
      <c r="K1394" s="681">
        <f t="shared" si="615"/>
        <v>0.24</v>
      </c>
    </row>
    <row r="1395" spans="1:11" ht="17.45" customHeight="1">
      <c r="A1395" s="1435"/>
      <c r="B1395" s="669" t="str">
        <f t="shared" si="649"/>
        <v>2구간</v>
      </c>
      <c r="C1395" s="677">
        <f t="shared" si="650"/>
        <v>0</v>
      </c>
      <c r="D1395" s="683">
        <f t="shared" si="651"/>
        <v>0</v>
      </c>
      <c r="E1395" s="677">
        <f t="shared" si="652"/>
        <v>0</v>
      </c>
      <c r="F1395" s="683">
        <f t="shared" si="653"/>
        <v>0</v>
      </c>
      <c r="G1395" s="677">
        <f t="shared" si="654"/>
        <v>0</v>
      </c>
      <c r="H1395" s="679">
        <f t="shared" si="655"/>
        <v>0</v>
      </c>
      <c r="I1395" s="679">
        <f t="shared" si="656"/>
        <v>0</v>
      </c>
      <c r="J1395" s="735">
        <f t="shared" si="657"/>
        <v>0</v>
      </c>
      <c r="K1395" s="674">
        <f t="shared" si="615"/>
        <v>0</v>
      </c>
    </row>
    <row r="1396" spans="1:11" ht="17.45" customHeight="1">
      <c r="A1396" s="1435"/>
      <c r="B1396" s="669" t="str">
        <f t="shared" si="649"/>
        <v>3구간</v>
      </c>
      <c r="C1396" s="677">
        <f t="shared" si="650"/>
        <v>0</v>
      </c>
      <c r="D1396" s="683">
        <f t="shared" si="651"/>
        <v>0</v>
      </c>
      <c r="E1396" s="677">
        <f t="shared" si="652"/>
        <v>0</v>
      </c>
      <c r="F1396" s="683">
        <f t="shared" si="653"/>
        <v>0</v>
      </c>
      <c r="G1396" s="677">
        <f t="shared" si="654"/>
        <v>0</v>
      </c>
      <c r="H1396" s="679">
        <f t="shared" si="655"/>
        <v>0</v>
      </c>
      <c r="I1396" s="679">
        <f t="shared" si="656"/>
        <v>0</v>
      </c>
      <c r="J1396" s="736">
        <f t="shared" si="657"/>
        <v>0</v>
      </c>
      <c r="K1396" s="674">
        <f t="shared" si="615"/>
        <v>0</v>
      </c>
    </row>
    <row r="1397" spans="1:11" ht="17.45" customHeight="1">
      <c r="A1397" s="1435"/>
      <c r="B1397" s="669" t="str">
        <f t="shared" si="649"/>
        <v>4구간</v>
      </c>
      <c r="C1397" s="677">
        <f t="shared" si="650"/>
        <v>0</v>
      </c>
      <c r="D1397" s="683">
        <f t="shared" si="651"/>
        <v>0</v>
      </c>
      <c r="E1397" s="677">
        <f t="shared" si="652"/>
        <v>0</v>
      </c>
      <c r="F1397" s="683">
        <f t="shared" si="653"/>
        <v>0</v>
      </c>
      <c r="G1397" s="677">
        <f t="shared" si="654"/>
        <v>0</v>
      </c>
      <c r="H1397" s="679">
        <f t="shared" si="655"/>
        <v>0</v>
      </c>
      <c r="I1397" s="679">
        <f t="shared" si="656"/>
        <v>0</v>
      </c>
      <c r="J1397" s="735">
        <f t="shared" si="657"/>
        <v>0</v>
      </c>
      <c r="K1397" s="674">
        <f t="shared" si="615"/>
        <v>0</v>
      </c>
    </row>
    <row r="1398" spans="1:11" ht="17.45" customHeight="1">
      <c r="A1398" s="1435"/>
      <c r="B1398" s="669" t="str">
        <f t="shared" si="649"/>
        <v>5구간</v>
      </c>
      <c r="C1398" s="670">
        <f t="shared" si="650"/>
        <v>0</v>
      </c>
      <c r="D1398" s="683">
        <f t="shared" si="651"/>
        <v>0</v>
      </c>
      <c r="E1398" s="670">
        <f t="shared" si="652"/>
        <v>0</v>
      </c>
      <c r="F1398" s="682">
        <f t="shared" si="653"/>
        <v>0</v>
      </c>
      <c r="G1398" s="670">
        <f t="shared" si="654"/>
        <v>0</v>
      </c>
      <c r="H1398" s="672">
        <f t="shared" si="655"/>
        <v>0</v>
      </c>
      <c r="I1398" s="672">
        <f t="shared" si="656"/>
        <v>0</v>
      </c>
      <c r="J1398" s="736">
        <f t="shared" si="657"/>
        <v>0</v>
      </c>
      <c r="K1398" s="675">
        <f t="shared" si="615"/>
        <v>0</v>
      </c>
    </row>
    <row r="1399" spans="1:11" ht="17.45" customHeight="1">
      <c r="A1399" s="1435"/>
      <c r="B1399" s="676" t="str">
        <f t="shared" si="649"/>
        <v>6구간</v>
      </c>
      <c r="C1399" s="677">
        <f t="shared" si="650"/>
        <v>0</v>
      </c>
      <c r="D1399" s="683">
        <f t="shared" si="651"/>
        <v>0</v>
      </c>
      <c r="E1399" s="677">
        <f t="shared" si="652"/>
        <v>0</v>
      </c>
      <c r="F1399" s="683">
        <f t="shared" si="653"/>
        <v>0</v>
      </c>
      <c r="G1399" s="677">
        <f t="shared" si="654"/>
        <v>0</v>
      </c>
      <c r="H1399" s="679">
        <f t="shared" si="655"/>
        <v>0</v>
      </c>
      <c r="I1399" s="679">
        <f t="shared" si="656"/>
        <v>0</v>
      </c>
      <c r="J1399" s="735">
        <f t="shared" si="657"/>
        <v>0</v>
      </c>
      <c r="K1399" s="674">
        <f>SUM(C1399:J1399)</f>
        <v>0</v>
      </c>
    </row>
    <row r="1400" spans="1:11" ht="17.45" customHeight="1">
      <c r="A1400" s="1435"/>
      <c r="B1400" s="669" t="str">
        <f t="shared" si="649"/>
        <v>7구간</v>
      </c>
      <c r="C1400" s="677">
        <f t="shared" si="650"/>
        <v>0</v>
      </c>
      <c r="D1400" s="683">
        <f t="shared" si="651"/>
        <v>0</v>
      </c>
      <c r="E1400" s="677">
        <f t="shared" si="652"/>
        <v>0</v>
      </c>
      <c r="F1400" s="683">
        <f t="shared" si="653"/>
        <v>0</v>
      </c>
      <c r="G1400" s="677">
        <f t="shared" si="654"/>
        <v>0</v>
      </c>
      <c r="H1400" s="679">
        <f t="shared" si="655"/>
        <v>0</v>
      </c>
      <c r="I1400" s="679">
        <f t="shared" si="656"/>
        <v>0</v>
      </c>
      <c r="J1400" s="735">
        <f t="shared" si="657"/>
        <v>0</v>
      </c>
      <c r="K1400" s="674">
        <f>SUM(C1400:J1400)</f>
        <v>0</v>
      </c>
    </row>
    <row r="1401" spans="1:11" ht="17.45" customHeight="1">
      <c r="A1401" s="1435"/>
      <c r="B1401" s="669" t="str">
        <f t="shared" si="649"/>
        <v>8구간</v>
      </c>
      <c r="C1401" s="677">
        <f t="shared" si="650"/>
        <v>0</v>
      </c>
      <c r="D1401" s="683">
        <f t="shared" si="651"/>
        <v>0</v>
      </c>
      <c r="E1401" s="677">
        <f t="shared" si="652"/>
        <v>0</v>
      </c>
      <c r="F1401" s="683">
        <f t="shared" si="653"/>
        <v>0</v>
      </c>
      <c r="G1401" s="677">
        <f t="shared" si="654"/>
        <v>0</v>
      </c>
      <c r="H1401" s="679">
        <f t="shared" si="655"/>
        <v>0</v>
      </c>
      <c r="I1401" s="679">
        <f t="shared" si="656"/>
        <v>0</v>
      </c>
      <c r="J1401" s="736">
        <f t="shared" si="657"/>
        <v>0</v>
      </c>
      <c r="K1401" s="674">
        <f>SUM(C1401:J1401)</f>
        <v>0</v>
      </c>
    </row>
    <row r="1402" spans="1:11" ht="17.45" customHeight="1">
      <c r="A1402" s="1435"/>
      <c r="B1402" s="669" t="str">
        <f t="shared" si="649"/>
        <v>9구간</v>
      </c>
      <c r="C1402" s="677">
        <f t="shared" si="650"/>
        <v>0</v>
      </c>
      <c r="D1402" s="683">
        <f t="shared" si="651"/>
        <v>0</v>
      </c>
      <c r="E1402" s="677">
        <f t="shared" si="652"/>
        <v>0</v>
      </c>
      <c r="F1402" s="683">
        <f t="shared" si="653"/>
        <v>0</v>
      </c>
      <c r="G1402" s="677">
        <f t="shared" si="654"/>
        <v>0</v>
      </c>
      <c r="H1402" s="679">
        <f t="shared" si="655"/>
        <v>0</v>
      </c>
      <c r="I1402" s="679">
        <f t="shared" si="656"/>
        <v>0</v>
      </c>
      <c r="J1402" s="735">
        <f t="shared" si="657"/>
        <v>0</v>
      </c>
      <c r="K1402" s="674">
        <f>SUM(C1402:J1402)</f>
        <v>0</v>
      </c>
    </row>
    <row r="1403" spans="1:11" ht="17.45" customHeight="1">
      <c r="A1403" s="1436"/>
      <c r="B1403" s="680" t="str">
        <f t="shared" si="649"/>
        <v>10구간</v>
      </c>
      <c r="C1403" s="744">
        <f t="shared" si="650"/>
        <v>0</v>
      </c>
      <c r="D1403" s="739">
        <f t="shared" si="651"/>
        <v>0</v>
      </c>
      <c r="E1403" s="737">
        <f t="shared" si="652"/>
        <v>0</v>
      </c>
      <c r="F1403" s="745">
        <f t="shared" si="653"/>
        <v>0</v>
      </c>
      <c r="G1403" s="737">
        <f t="shared" si="654"/>
        <v>0</v>
      </c>
      <c r="H1403" s="746">
        <f t="shared" si="655"/>
        <v>0</v>
      </c>
      <c r="I1403" s="746">
        <f t="shared" si="656"/>
        <v>0</v>
      </c>
      <c r="J1403" s="747">
        <f t="shared" si="657"/>
        <v>0</v>
      </c>
      <c r="K1403" s="674">
        <f>SUM(C1403:J1403)</f>
        <v>0</v>
      </c>
    </row>
    <row r="1404" spans="1:11" ht="17.45" customHeight="1">
      <c r="A1404" s="1434">
        <v>70</v>
      </c>
      <c r="B1404" s="676" t="str">
        <f t="shared" si="649"/>
        <v>1구간</v>
      </c>
      <c r="C1404" s="666">
        <f t="shared" ref="C1404:C1413" si="658">ROUND(((($C$1343*$C$1229*$I1146)*$E$1249)*$C458),2)</f>
        <v>0</v>
      </c>
      <c r="D1404" s="1384">
        <f t="shared" ref="D1404:D1413" si="659">ROUND((((D$1343*$C$1229*$I1169)*$F$1249)*$D458),2)</f>
        <v>0.06</v>
      </c>
      <c r="E1404" s="677">
        <f t="shared" ref="E1404:E1413" si="660">ROUND((((E$1343*$C$1229*$I1192)*$F$1249)*$E458),2)</f>
        <v>0</v>
      </c>
      <c r="F1404" s="683">
        <f t="shared" ref="F1404:F1413" si="661">ROUND((((F$1343*$C$1229*$I1215)*$F$1249)*$F458),2)</f>
        <v>0.03</v>
      </c>
      <c r="G1404" s="677">
        <f t="shared" ref="G1404:G1413" si="662">ROUND((((G$1343*$C$1229*$I1192)*$F$1249)*$G458),2)</f>
        <v>0.05</v>
      </c>
      <c r="H1404" s="667">
        <f t="shared" ref="H1404:H1413" si="663">ROUND((((H$1343*$C$1229*$I1215)*$F$1249)*$H458),2)</f>
        <v>0.06</v>
      </c>
      <c r="I1404" s="667">
        <f t="shared" ref="I1404:I1413" si="664">ROUND((((I$1343*$C$1229*$I1215)*$F$1249)*$I458),2)</f>
        <v>0.01</v>
      </c>
      <c r="J1404" s="748">
        <f t="shared" ref="J1404:J1413" si="665">ROUND((((J$1343*$C$1229*$I1215)*$F$1249)*$J458),2)</f>
        <v>0.05</v>
      </c>
      <c r="K1404" s="681">
        <f t="shared" si="615"/>
        <v>0.26</v>
      </c>
    </row>
    <row r="1405" spans="1:11" ht="17.45" customHeight="1">
      <c r="A1405" s="1435"/>
      <c r="B1405" s="669" t="str">
        <f t="shared" si="649"/>
        <v>2구간</v>
      </c>
      <c r="C1405" s="677">
        <f t="shared" si="658"/>
        <v>0</v>
      </c>
      <c r="D1405" s="683">
        <f t="shared" si="659"/>
        <v>0</v>
      </c>
      <c r="E1405" s="677">
        <f t="shared" si="660"/>
        <v>0</v>
      </c>
      <c r="F1405" s="683">
        <f t="shared" si="661"/>
        <v>0</v>
      </c>
      <c r="G1405" s="677">
        <f t="shared" si="662"/>
        <v>0</v>
      </c>
      <c r="H1405" s="679">
        <f t="shared" si="663"/>
        <v>0</v>
      </c>
      <c r="I1405" s="679">
        <f t="shared" si="664"/>
        <v>0</v>
      </c>
      <c r="J1405" s="735">
        <f t="shared" si="665"/>
        <v>0</v>
      </c>
      <c r="K1405" s="674">
        <f t="shared" si="615"/>
        <v>0</v>
      </c>
    </row>
    <row r="1406" spans="1:11" ht="17.45" customHeight="1">
      <c r="A1406" s="1435"/>
      <c r="B1406" s="669" t="str">
        <f t="shared" si="649"/>
        <v>3구간</v>
      </c>
      <c r="C1406" s="677">
        <f t="shared" si="658"/>
        <v>0</v>
      </c>
      <c r="D1406" s="683">
        <f t="shared" si="659"/>
        <v>0</v>
      </c>
      <c r="E1406" s="677">
        <f t="shared" si="660"/>
        <v>0</v>
      </c>
      <c r="F1406" s="683">
        <f t="shared" si="661"/>
        <v>0</v>
      </c>
      <c r="G1406" s="677">
        <f t="shared" si="662"/>
        <v>0</v>
      </c>
      <c r="H1406" s="679">
        <f t="shared" si="663"/>
        <v>0</v>
      </c>
      <c r="I1406" s="679">
        <f t="shared" si="664"/>
        <v>0</v>
      </c>
      <c r="J1406" s="736">
        <f t="shared" si="665"/>
        <v>0</v>
      </c>
      <c r="K1406" s="674">
        <f t="shared" si="615"/>
        <v>0</v>
      </c>
    </row>
    <row r="1407" spans="1:11" ht="17.45" customHeight="1">
      <c r="A1407" s="1435"/>
      <c r="B1407" s="669" t="str">
        <f t="shared" si="649"/>
        <v>4구간</v>
      </c>
      <c r="C1407" s="677">
        <f t="shared" si="658"/>
        <v>0</v>
      </c>
      <c r="D1407" s="683">
        <f t="shared" si="659"/>
        <v>0</v>
      </c>
      <c r="E1407" s="677">
        <f t="shared" si="660"/>
        <v>0</v>
      </c>
      <c r="F1407" s="683">
        <f t="shared" si="661"/>
        <v>0</v>
      </c>
      <c r="G1407" s="677">
        <f t="shared" si="662"/>
        <v>0</v>
      </c>
      <c r="H1407" s="679">
        <f t="shared" si="663"/>
        <v>0</v>
      </c>
      <c r="I1407" s="679">
        <f t="shared" si="664"/>
        <v>0</v>
      </c>
      <c r="J1407" s="735">
        <f t="shared" si="665"/>
        <v>0</v>
      </c>
      <c r="K1407" s="674">
        <f t="shared" si="615"/>
        <v>0</v>
      </c>
    </row>
    <row r="1408" spans="1:11" ht="17.45" customHeight="1">
      <c r="A1408" s="1435"/>
      <c r="B1408" s="669" t="str">
        <f t="shared" si="649"/>
        <v>5구간</v>
      </c>
      <c r="C1408" s="670">
        <f t="shared" si="658"/>
        <v>0</v>
      </c>
      <c r="D1408" s="672">
        <f t="shared" si="659"/>
        <v>0</v>
      </c>
      <c r="E1408" s="670">
        <f t="shared" si="660"/>
        <v>0</v>
      </c>
      <c r="F1408" s="682">
        <f t="shared" si="661"/>
        <v>0</v>
      </c>
      <c r="G1408" s="670">
        <f t="shared" si="662"/>
        <v>0</v>
      </c>
      <c r="H1408" s="672">
        <f t="shared" si="663"/>
        <v>0</v>
      </c>
      <c r="I1408" s="672">
        <f t="shared" si="664"/>
        <v>0</v>
      </c>
      <c r="J1408" s="736">
        <f t="shared" si="665"/>
        <v>0</v>
      </c>
      <c r="K1408" s="675">
        <f t="shared" si="615"/>
        <v>0</v>
      </c>
    </row>
    <row r="1409" spans="1:11" ht="17.45" customHeight="1">
      <c r="A1409" s="1435"/>
      <c r="B1409" s="676" t="str">
        <f t="shared" si="649"/>
        <v>6구간</v>
      </c>
      <c r="C1409" s="677">
        <f t="shared" si="658"/>
        <v>0</v>
      </c>
      <c r="D1409" s="683">
        <f t="shared" si="659"/>
        <v>0</v>
      </c>
      <c r="E1409" s="677">
        <f t="shared" si="660"/>
        <v>0</v>
      </c>
      <c r="F1409" s="683">
        <f t="shared" si="661"/>
        <v>0</v>
      </c>
      <c r="G1409" s="677">
        <f t="shared" si="662"/>
        <v>0</v>
      </c>
      <c r="H1409" s="679">
        <f t="shared" si="663"/>
        <v>0</v>
      </c>
      <c r="I1409" s="679">
        <f t="shared" si="664"/>
        <v>0</v>
      </c>
      <c r="J1409" s="735">
        <f t="shared" si="665"/>
        <v>0</v>
      </c>
      <c r="K1409" s="674">
        <f>SUM(C1409:J1409)</f>
        <v>0</v>
      </c>
    </row>
    <row r="1410" spans="1:11" ht="17.45" customHeight="1">
      <c r="A1410" s="1435"/>
      <c r="B1410" s="669" t="str">
        <f t="shared" si="649"/>
        <v>7구간</v>
      </c>
      <c r="C1410" s="677">
        <f t="shared" si="658"/>
        <v>0</v>
      </c>
      <c r="D1410" s="683">
        <f t="shared" si="659"/>
        <v>0</v>
      </c>
      <c r="E1410" s="677">
        <f t="shared" si="660"/>
        <v>0</v>
      </c>
      <c r="F1410" s="683">
        <f t="shared" si="661"/>
        <v>0</v>
      </c>
      <c r="G1410" s="677">
        <f t="shared" si="662"/>
        <v>0</v>
      </c>
      <c r="H1410" s="679">
        <f t="shared" si="663"/>
        <v>0</v>
      </c>
      <c r="I1410" s="679">
        <f t="shared" si="664"/>
        <v>0</v>
      </c>
      <c r="J1410" s="735">
        <f t="shared" si="665"/>
        <v>0</v>
      </c>
      <c r="K1410" s="674">
        <f>SUM(C1410:J1410)</f>
        <v>0</v>
      </c>
    </row>
    <row r="1411" spans="1:11" ht="17.45" customHeight="1">
      <c r="A1411" s="1435"/>
      <c r="B1411" s="669" t="str">
        <f t="shared" si="649"/>
        <v>8구간</v>
      </c>
      <c r="C1411" s="677">
        <f t="shared" si="658"/>
        <v>0</v>
      </c>
      <c r="D1411" s="683">
        <f t="shared" si="659"/>
        <v>0</v>
      </c>
      <c r="E1411" s="677">
        <f t="shared" si="660"/>
        <v>0</v>
      </c>
      <c r="F1411" s="683">
        <f t="shared" si="661"/>
        <v>0</v>
      </c>
      <c r="G1411" s="677">
        <f t="shared" si="662"/>
        <v>0</v>
      </c>
      <c r="H1411" s="679">
        <f t="shared" si="663"/>
        <v>0</v>
      </c>
      <c r="I1411" s="679">
        <f t="shared" si="664"/>
        <v>0</v>
      </c>
      <c r="J1411" s="736">
        <f t="shared" si="665"/>
        <v>0</v>
      </c>
      <c r="K1411" s="674">
        <f>SUM(C1411:J1411)</f>
        <v>0</v>
      </c>
    </row>
    <row r="1412" spans="1:11" ht="17.45" customHeight="1">
      <c r="A1412" s="1435"/>
      <c r="B1412" s="669" t="str">
        <f t="shared" si="649"/>
        <v>9구간</v>
      </c>
      <c r="C1412" s="677">
        <f t="shared" si="658"/>
        <v>0</v>
      </c>
      <c r="D1412" s="683">
        <f t="shared" si="659"/>
        <v>0</v>
      </c>
      <c r="E1412" s="677">
        <f t="shared" si="660"/>
        <v>0</v>
      </c>
      <c r="F1412" s="683">
        <f t="shared" si="661"/>
        <v>0</v>
      </c>
      <c r="G1412" s="677">
        <f t="shared" si="662"/>
        <v>0</v>
      </c>
      <c r="H1412" s="679">
        <f t="shared" si="663"/>
        <v>0</v>
      </c>
      <c r="I1412" s="679">
        <f t="shared" si="664"/>
        <v>0</v>
      </c>
      <c r="J1412" s="735">
        <f t="shared" si="665"/>
        <v>0</v>
      </c>
      <c r="K1412" s="674">
        <f>SUM(C1412:J1412)</f>
        <v>0</v>
      </c>
    </row>
    <row r="1413" spans="1:11" ht="17.45" customHeight="1">
      <c r="A1413" s="1436"/>
      <c r="B1413" s="680" t="str">
        <f t="shared" si="649"/>
        <v>10구간</v>
      </c>
      <c r="C1413" s="744">
        <f t="shared" si="658"/>
        <v>0</v>
      </c>
      <c r="D1413" s="739">
        <f t="shared" si="659"/>
        <v>0</v>
      </c>
      <c r="E1413" s="737">
        <f t="shared" si="660"/>
        <v>0</v>
      </c>
      <c r="F1413" s="745">
        <f t="shared" si="661"/>
        <v>0</v>
      </c>
      <c r="G1413" s="737">
        <f t="shared" si="662"/>
        <v>0</v>
      </c>
      <c r="H1413" s="746">
        <f t="shared" si="663"/>
        <v>0</v>
      </c>
      <c r="I1413" s="746">
        <f t="shared" si="664"/>
        <v>0</v>
      </c>
      <c r="J1413" s="747">
        <f t="shared" si="665"/>
        <v>0</v>
      </c>
      <c r="K1413" s="674">
        <f>SUM(C1413:J1413)</f>
        <v>0</v>
      </c>
    </row>
    <row r="1414" spans="1:11" ht="17.45" customHeight="1">
      <c r="A1414" s="1434">
        <v>80</v>
      </c>
      <c r="B1414" s="676" t="str">
        <f t="shared" ref="B1414:B1423" si="666">B1404</f>
        <v>1구간</v>
      </c>
      <c r="C1414" s="666">
        <f t="shared" ref="C1414:C1423" si="667">ROUND(((($C$1343*$C$1229*$J1146)*$E$1249)*$C469),2)</f>
        <v>0</v>
      </c>
      <c r="D1414" s="683">
        <f t="shared" ref="D1414:D1423" si="668">ROUND((((D$1343*$C$1229*$J1169)*$F$1249)*$D469),2)</f>
        <v>7.0000000000000007E-2</v>
      </c>
      <c r="E1414" s="677">
        <f t="shared" ref="E1414:E1423" si="669">ROUND((((E$1343*$C$1229*$J1192)*$F$1249)*$E469),2)</f>
        <v>0</v>
      </c>
      <c r="F1414" s="683">
        <f t="shared" ref="F1414:F1423" si="670">ROUND((((F$1343*$C$1229*$J1215)*$F$1249)*$F469),2)</f>
        <v>0.03</v>
      </c>
      <c r="G1414" s="677">
        <f t="shared" ref="G1414:G1423" si="671">ROUND((((G$1343*$C$1229*$J1192)*$F$1249)*$G469),2)</f>
        <v>0.06</v>
      </c>
      <c r="H1414" s="667">
        <f t="shared" ref="H1414:H1423" si="672">ROUND((((H$1343*$C$1229*$J1215)*$F$1249)*$H469),2)</f>
        <v>0.06</v>
      </c>
      <c r="I1414" s="667">
        <f t="shared" ref="I1414:I1423" si="673">ROUND((((I$1343*$C$1229*$J1215)*$F$1249)*$I469),2)</f>
        <v>0.02</v>
      </c>
      <c r="J1414" s="748">
        <f t="shared" ref="J1414:J1423" si="674">ROUND((((J$1343*$C$1229*$J1215)*$F$1249)*$J469),2)</f>
        <v>0.05</v>
      </c>
      <c r="K1414" s="681">
        <f t="shared" si="615"/>
        <v>0.28999999999999998</v>
      </c>
    </row>
    <row r="1415" spans="1:11" ht="17.45" customHeight="1">
      <c r="A1415" s="1435"/>
      <c r="B1415" s="669" t="str">
        <f t="shared" si="666"/>
        <v>2구간</v>
      </c>
      <c r="C1415" s="677">
        <f t="shared" si="667"/>
        <v>0</v>
      </c>
      <c r="D1415" s="683">
        <f t="shared" si="668"/>
        <v>0</v>
      </c>
      <c r="E1415" s="677">
        <f t="shared" si="669"/>
        <v>0</v>
      </c>
      <c r="F1415" s="683">
        <f t="shared" si="670"/>
        <v>0</v>
      </c>
      <c r="G1415" s="677">
        <f t="shared" si="671"/>
        <v>0</v>
      </c>
      <c r="H1415" s="679">
        <f t="shared" si="672"/>
        <v>0</v>
      </c>
      <c r="I1415" s="679">
        <f t="shared" si="673"/>
        <v>0</v>
      </c>
      <c r="J1415" s="735">
        <f t="shared" si="674"/>
        <v>0</v>
      </c>
      <c r="K1415" s="675">
        <f t="shared" si="615"/>
        <v>0</v>
      </c>
    </row>
    <row r="1416" spans="1:11" ht="17.45" customHeight="1">
      <c r="A1416" s="1435"/>
      <c r="B1416" s="669" t="str">
        <f t="shared" si="666"/>
        <v>3구간</v>
      </c>
      <c r="C1416" s="677">
        <f t="shared" si="667"/>
        <v>0</v>
      </c>
      <c r="D1416" s="683">
        <f t="shared" si="668"/>
        <v>0</v>
      </c>
      <c r="E1416" s="677">
        <f t="shared" si="669"/>
        <v>0</v>
      </c>
      <c r="F1416" s="683">
        <f t="shared" si="670"/>
        <v>0</v>
      </c>
      <c r="G1416" s="677">
        <f t="shared" si="671"/>
        <v>0</v>
      </c>
      <c r="H1416" s="679">
        <f t="shared" si="672"/>
        <v>0</v>
      </c>
      <c r="I1416" s="679">
        <f t="shared" si="673"/>
        <v>0</v>
      </c>
      <c r="J1416" s="736">
        <f t="shared" si="674"/>
        <v>0</v>
      </c>
      <c r="K1416" s="674">
        <f t="shared" si="615"/>
        <v>0</v>
      </c>
    </row>
    <row r="1417" spans="1:11" ht="17.45" customHeight="1">
      <c r="A1417" s="1435"/>
      <c r="B1417" s="669" t="str">
        <f t="shared" si="666"/>
        <v>4구간</v>
      </c>
      <c r="C1417" s="677">
        <f t="shared" si="667"/>
        <v>0</v>
      </c>
      <c r="D1417" s="683">
        <f t="shared" si="668"/>
        <v>0</v>
      </c>
      <c r="E1417" s="677">
        <f t="shared" si="669"/>
        <v>0</v>
      </c>
      <c r="F1417" s="683">
        <f t="shared" si="670"/>
        <v>0</v>
      </c>
      <c r="G1417" s="677">
        <f t="shared" si="671"/>
        <v>0</v>
      </c>
      <c r="H1417" s="679">
        <f t="shared" si="672"/>
        <v>0</v>
      </c>
      <c r="I1417" s="679">
        <f t="shared" si="673"/>
        <v>0</v>
      </c>
      <c r="J1417" s="735">
        <f t="shared" si="674"/>
        <v>0</v>
      </c>
      <c r="K1417" s="674">
        <f t="shared" si="615"/>
        <v>0</v>
      </c>
    </row>
    <row r="1418" spans="1:11" ht="17.45" customHeight="1">
      <c r="A1418" s="1435"/>
      <c r="B1418" s="669" t="str">
        <f t="shared" si="666"/>
        <v>5구간</v>
      </c>
      <c r="C1418" s="670">
        <f t="shared" si="667"/>
        <v>0</v>
      </c>
      <c r="D1418" s="682">
        <f t="shared" si="668"/>
        <v>0</v>
      </c>
      <c r="E1418" s="670">
        <f t="shared" si="669"/>
        <v>0</v>
      </c>
      <c r="F1418" s="682">
        <f t="shared" si="670"/>
        <v>0</v>
      </c>
      <c r="G1418" s="670">
        <f t="shared" si="671"/>
        <v>0</v>
      </c>
      <c r="H1418" s="672">
        <f t="shared" si="672"/>
        <v>0</v>
      </c>
      <c r="I1418" s="672">
        <f t="shared" si="673"/>
        <v>0</v>
      </c>
      <c r="J1418" s="736">
        <f t="shared" si="674"/>
        <v>0</v>
      </c>
      <c r="K1418" s="675">
        <f t="shared" si="615"/>
        <v>0</v>
      </c>
    </row>
    <row r="1419" spans="1:11" ht="17.45" customHeight="1">
      <c r="A1419" s="1435"/>
      <c r="B1419" s="676" t="str">
        <f t="shared" si="666"/>
        <v>6구간</v>
      </c>
      <c r="C1419" s="677">
        <f t="shared" si="667"/>
        <v>0</v>
      </c>
      <c r="D1419" s="683">
        <f t="shared" si="668"/>
        <v>0</v>
      </c>
      <c r="E1419" s="677">
        <f t="shared" si="669"/>
        <v>0</v>
      </c>
      <c r="F1419" s="683">
        <f t="shared" si="670"/>
        <v>0</v>
      </c>
      <c r="G1419" s="677">
        <f t="shared" si="671"/>
        <v>0</v>
      </c>
      <c r="H1419" s="679">
        <f t="shared" si="672"/>
        <v>0</v>
      </c>
      <c r="I1419" s="679">
        <f t="shared" si="673"/>
        <v>0</v>
      </c>
      <c r="J1419" s="735">
        <f t="shared" si="674"/>
        <v>0</v>
      </c>
      <c r="K1419" s="674">
        <f>SUM(C1419:J1419)</f>
        <v>0</v>
      </c>
    </row>
    <row r="1420" spans="1:11" ht="17.45" customHeight="1">
      <c r="A1420" s="1435"/>
      <c r="B1420" s="669" t="str">
        <f t="shared" si="666"/>
        <v>7구간</v>
      </c>
      <c r="C1420" s="677">
        <f t="shared" si="667"/>
        <v>0</v>
      </c>
      <c r="D1420" s="683">
        <f t="shared" si="668"/>
        <v>0</v>
      </c>
      <c r="E1420" s="677">
        <f t="shared" si="669"/>
        <v>0</v>
      </c>
      <c r="F1420" s="683">
        <f t="shared" si="670"/>
        <v>0</v>
      </c>
      <c r="G1420" s="677">
        <f t="shared" si="671"/>
        <v>0</v>
      </c>
      <c r="H1420" s="679">
        <f t="shared" si="672"/>
        <v>0</v>
      </c>
      <c r="I1420" s="679">
        <f t="shared" si="673"/>
        <v>0</v>
      </c>
      <c r="J1420" s="735">
        <f t="shared" si="674"/>
        <v>0</v>
      </c>
      <c r="K1420" s="675">
        <f>SUM(C1420:J1420)</f>
        <v>0</v>
      </c>
    </row>
    <row r="1421" spans="1:11" ht="17.45" customHeight="1">
      <c r="A1421" s="1435"/>
      <c r="B1421" s="669" t="str">
        <f t="shared" si="666"/>
        <v>8구간</v>
      </c>
      <c r="C1421" s="677">
        <f t="shared" si="667"/>
        <v>0</v>
      </c>
      <c r="D1421" s="683">
        <f t="shared" si="668"/>
        <v>0</v>
      </c>
      <c r="E1421" s="677">
        <f t="shared" si="669"/>
        <v>0</v>
      </c>
      <c r="F1421" s="683">
        <f t="shared" si="670"/>
        <v>0</v>
      </c>
      <c r="G1421" s="677">
        <f t="shared" si="671"/>
        <v>0</v>
      </c>
      <c r="H1421" s="679">
        <f t="shared" si="672"/>
        <v>0</v>
      </c>
      <c r="I1421" s="679">
        <f t="shared" si="673"/>
        <v>0</v>
      </c>
      <c r="J1421" s="736">
        <f t="shared" si="674"/>
        <v>0</v>
      </c>
      <c r="K1421" s="674">
        <f>SUM(C1421:J1421)</f>
        <v>0</v>
      </c>
    </row>
    <row r="1422" spans="1:11" ht="17.45" customHeight="1">
      <c r="A1422" s="1435"/>
      <c r="B1422" s="669" t="str">
        <f t="shared" si="666"/>
        <v>9구간</v>
      </c>
      <c r="C1422" s="677">
        <f t="shared" si="667"/>
        <v>0</v>
      </c>
      <c r="D1422" s="683">
        <f t="shared" si="668"/>
        <v>0</v>
      </c>
      <c r="E1422" s="677">
        <f t="shared" si="669"/>
        <v>0</v>
      </c>
      <c r="F1422" s="683">
        <f t="shared" si="670"/>
        <v>0</v>
      </c>
      <c r="G1422" s="677">
        <f t="shared" si="671"/>
        <v>0</v>
      </c>
      <c r="H1422" s="679">
        <f t="shared" si="672"/>
        <v>0</v>
      </c>
      <c r="I1422" s="679">
        <f t="shared" si="673"/>
        <v>0</v>
      </c>
      <c r="J1422" s="735">
        <f t="shared" si="674"/>
        <v>0</v>
      </c>
      <c r="K1422" s="674">
        <f>SUM(C1422:J1422)</f>
        <v>0</v>
      </c>
    </row>
    <row r="1423" spans="1:11" ht="17.45" customHeight="1" thickBot="1">
      <c r="A1423" s="1450"/>
      <c r="B1423" s="692" t="str">
        <f t="shared" si="666"/>
        <v>10구간</v>
      </c>
      <c r="C1423" s="686">
        <f t="shared" si="667"/>
        <v>0</v>
      </c>
      <c r="D1423" s="749">
        <f t="shared" si="668"/>
        <v>0</v>
      </c>
      <c r="E1423" s="686">
        <f t="shared" si="669"/>
        <v>0</v>
      </c>
      <c r="F1423" s="749">
        <f t="shared" si="670"/>
        <v>0</v>
      </c>
      <c r="G1423" s="686">
        <f t="shared" si="671"/>
        <v>0</v>
      </c>
      <c r="H1423" s="687">
        <f t="shared" si="672"/>
        <v>0</v>
      </c>
      <c r="I1423" s="687">
        <f t="shared" si="673"/>
        <v>0</v>
      </c>
      <c r="J1423" s="740">
        <f t="shared" si="674"/>
        <v>0</v>
      </c>
      <c r="K1423" s="693">
        <f>SUM(C1423:J1423)</f>
        <v>0</v>
      </c>
    </row>
    <row r="1424" spans="1:11" ht="17.45" customHeight="1"/>
    <row r="1425" spans="1:10" ht="17.45" customHeight="1"/>
    <row r="1426" spans="1:10" ht="17.45" customHeight="1"/>
    <row r="1427" spans="1:10" ht="17.45" customHeight="1"/>
    <row r="1428" spans="1:10" ht="17.45" customHeight="1"/>
    <row r="1429" spans="1:10" ht="17.45" customHeight="1"/>
    <row r="1430" spans="1:10" ht="17.45" customHeight="1" thickBot="1">
      <c r="A1430" s="92" t="s">
        <v>87</v>
      </c>
      <c r="C1430" s="393" t="s">
        <v>56</v>
      </c>
      <c r="D1430" s="76">
        <f>$E$217</f>
        <v>2222</v>
      </c>
      <c r="E1430" s="390" t="s">
        <v>57</v>
      </c>
      <c r="F1430" s="390" t="s">
        <v>1</v>
      </c>
      <c r="G1430" s="390"/>
      <c r="H1430" s="390"/>
      <c r="I1430" s="390" t="s">
        <v>70</v>
      </c>
      <c r="J1430" s="390"/>
    </row>
    <row r="1431" spans="1:10" ht="17.45" customHeight="1">
      <c r="A1431" s="1437" t="s">
        <v>339</v>
      </c>
      <c r="B1431" s="1438"/>
      <c r="C1431" s="491">
        <v>10</v>
      </c>
      <c r="D1431" s="752">
        <v>20</v>
      </c>
      <c r="E1431" s="752">
        <v>30</v>
      </c>
      <c r="F1431" s="752">
        <v>40</v>
      </c>
      <c r="G1431" s="752">
        <v>50</v>
      </c>
      <c r="H1431" s="752">
        <v>60</v>
      </c>
      <c r="I1431" s="752">
        <v>70</v>
      </c>
      <c r="J1431" s="753">
        <v>80</v>
      </c>
    </row>
    <row r="1432" spans="1:10" ht="17.45" customHeight="1">
      <c r="A1432" s="1439" t="s">
        <v>467</v>
      </c>
      <c r="B1432" s="1440"/>
      <c r="C1432" s="786">
        <f>B1130</f>
        <v>20</v>
      </c>
      <c r="D1432" s="787">
        <f>B1130</f>
        <v>20</v>
      </c>
      <c r="E1432" s="787">
        <f>B1130</f>
        <v>20</v>
      </c>
      <c r="F1432" s="787">
        <f>B1130</f>
        <v>20</v>
      </c>
      <c r="G1432" s="787">
        <f>B1130</f>
        <v>20</v>
      </c>
      <c r="H1432" s="787">
        <f>B1130</f>
        <v>20</v>
      </c>
      <c r="I1432" s="787">
        <f>B1130</f>
        <v>20</v>
      </c>
      <c r="J1432" s="788">
        <f>B1130</f>
        <v>20</v>
      </c>
    </row>
    <row r="1433" spans="1:10" ht="17.45" customHeight="1">
      <c r="A1433" s="505" t="str">
        <f>E6</f>
        <v>진주</v>
      </c>
      <c r="B1433" s="665" t="str">
        <f>B7</f>
        <v>1구간</v>
      </c>
      <c r="C1433" s="758">
        <f>ROUND(C1434,0)</f>
        <v>3</v>
      </c>
      <c r="D1433" s="759">
        <f t="shared" ref="D1433:J1433" si="675">ROUND(D1434,0)</f>
        <v>2</v>
      </c>
      <c r="E1433" s="759">
        <f t="shared" si="675"/>
        <v>2</v>
      </c>
      <c r="F1433" s="759">
        <f t="shared" si="675"/>
        <v>2</v>
      </c>
      <c r="G1433" s="759">
        <f t="shared" si="675"/>
        <v>1</v>
      </c>
      <c r="H1433" s="759">
        <f t="shared" si="675"/>
        <v>1</v>
      </c>
      <c r="I1433" s="759">
        <f t="shared" si="675"/>
        <v>1</v>
      </c>
      <c r="J1433" s="760">
        <f t="shared" si="675"/>
        <v>1</v>
      </c>
    </row>
    <row r="1434" spans="1:10" ht="17.45" hidden="1" customHeight="1">
      <c r="A1434" s="505"/>
      <c r="B1434" s="504"/>
      <c r="C1434" s="769">
        <f>ROUND($K$1259/C$1432*1000000/3600,2)</f>
        <v>2.64</v>
      </c>
      <c r="D1434" s="770">
        <f>ROUND($K$1269/D$1432*1000000/3600,2)</f>
        <v>2.08</v>
      </c>
      <c r="E1434" s="770">
        <f>ROUND($K$1279/E$1432*1000000/3600,2)</f>
        <v>1.81</v>
      </c>
      <c r="F1434" s="770">
        <f>ROUND($K$1289/F$1432*1000000/3600,2)</f>
        <v>1.53</v>
      </c>
      <c r="G1434" s="770">
        <f>ROUND($K$1299/G$1432*1000000/3600,2)</f>
        <v>1.25</v>
      </c>
      <c r="H1434" s="770">
        <f>ROUND($K$1309/H$1432*1000000/3600,2)</f>
        <v>1.1100000000000001</v>
      </c>
      <c r="I1434" s="770">
        <f>ROUND($K$1319/I$1432*1000000/3600,2)</f>
        <v>1.25</v>
      </c>
      <c r="J1434" s="771">
        <f>ROUND($K$1329/J$1432*1000000/3600,2)</f>
        <v>1.25</v>
      </c>
    </row>
    <row r="1435" spans="1:10" ht="17.45" customHeight="1">
      <c r="A1435" s="505" t="str">
        <f>F6</f>
        <v>방향</v>
      </c>
      <c r="B1435" s="676" t="str">
        <f>C7</f>
        <v>2구간</v>
      </c>
      <c r="C1435" s="765">
        <f t="shared" ref="C1435:J1435" si="676">ROUND(C1436,0)</f>
        <v>0</v>
      </c>
      <c r="D1435" s="766">
        <f t="shared" si="676"/>
        <v>0</v>
      </c>
      <c r="E1435" s="766">
        <f t="shared" si="676"/>
        <v>0</v>
      </c>
      <c r="F1435" s="766">
        <f t="shared" si="676"/>
        <v>0</v>
      </c>
      <c r="G1435" s="766">
        <f t="shared" si="676"/>
        <v>0</v>
      </c>
      <c r="H1435" s="766">
        <f t="shared" si="676"/>
        <v>0</v>
      </c>
      <c r="I1435" s="766">
        <f t="shared" si="676"/>
        <v>0</v>
      </c>
      <c r="J1435" s="767">
        <f t="shared" si="676"/>
        <v>0</v>
      </c>
    </row>
    <row r="1436" spans="1:10" ht="17.45" hidden="1" customHeight="1">
      <c r="A1436" s="505"/>
      <c r="B1436" s="504"/>
      <c r="C1436" s="769">
        <f>ROUND($K$1260/C$1432*1000000/3600,2)</f>
        <v>0</v>
      </c>
      <c r="D1436" s="770">
        <f>ROUND($K$1270/D$1432*1000000/3600,2)</f>
        <v>0</v>
      </c>
      <c r="E1436" s="770">
        <f>ROUND($K$1280/E$1432*1000000/3600,2)</f>
        <v>0</v>
      </c>
      <c r="F1436" s="770">
        <f>ROUND($K$1290/F$1432*1000000/3600,2)</f>
        <v>0</v>
      </c>
      <c r="G1436" s="770">
        <f>ROUND($K$1300/G$1432*1000000/3600,2)</f>
        <v>0</v>
      </c>
      <c r="H1436" s="770">
        <f>ROUND($K$1310/H$1432*1000000/3600,2)</f>
        <v>0</v>
      </c>
      <c r="I1436" s="770">
        <f>ROUND($K$1320/I$1432*1000000/3600,2)</f>
        <v>0</v>
      </c>
      <c r="J1436" s="771">
        <f>ROUND($K$1330/J$1432*1000000/3600,2)</f>
        <v>0</v>
      </c>
    </row>
    <row r="1437" spans="1:10" ht="17.45" customHeight="1">
      <c r="A1437" s="505"/>
      <c r="B1437" s="676" t="str">
        <f>D7</f>
        <v>3구간</v>
      </c>
      <c r="C1437" s="765">
        <f t="shared" ref="C1437:J1437" si="677">ROUND(C1438,0)</f>
        <v>0</v>
      </c>
      <c r="D1437" s="766">
        <f t="shared" si="677"/>
        <v>0</v>
      </c>
      <c r="E1437" s="766">
        <f t="shared" si="677"/>
        <v>0</v>
      </c>
      <c r="F1437" s="766">
        <f t="shared" si="677"/>
        <v>0</v>
      </c>
      <c r="G1437" s="766">
        <f t="shared" si="677"/>
        <v>0</v>
      </c>
      <c r="H1437" s="766">
        <f t="shared" si="677"/>
        <v>0</v>
      </c>
      <c r="I1437" s="766">
        <f t="shared" si="677"/>
        <v>0</v>
      </c>
      <c r="J1437" s="767">
        <f t="shared" si="677"/>
        <v>0</v>
      </c>
    </row>
    <row r="1438" spans="1:10" ht="17.25" hidden="1" customHeight="1">
      <c r="A1438" s="505"/>
      <c r="B1438" s="504"/>
      <c r="C1438" s="769">
        <f>ROUND($K$1261/C$1432*1000000/3600,2)</f>
        <v>0</v>
      </c>
      <c r="D1438" s="770">
        <f>ROUND($K$1271/D$1432*1000000/3600,2)</f>
        <v>0</v>
      </c>
      <c r="E1438" s="770">
        <f>ROUND($K$1281/E$1432*1000000/3600,2)</f>
        <v>0</v>
      </c>
      <c r="F1438" s="770">
        <f>ROUND($K$1291/F$1432*1000000/3600,2)</f>
        <v>0</v>
      </c>
      <c r="G1438" s="770">
        <f>ROUND($K$1301/G$1432*1000000/3600,2)</f>
        <v>0</v>
      </c>
      <c r="H1438" s="770">
        <f>ROUND($K$1311/H$1432*1000000/3600,2)</f>
        <v>0</v>
      </c>
      <c r="I1438" s="770">
        <f>ROUND($K$1321/I$1432*1000000/3600,2)</f>
        <v>0</v>
      </c>
      <c r="J1438" s="771">
        <f>ROUND($K$1331/J$1432*1000000/3600,2)</f>
        <v>0</v>
      </c>
    </row>
    <row r="1439" spans="1:10" ht="17.45" customHeight="1">
      <c r="A1439" s="505"/>
      <c r="B1439" s="676" t="str">
        <f>E7</f>
        <v>4구간</v>
      </c>
      <c r="C1439" s="765">
        <f t="shared" ref="C1439:J1439" si="678">ROUND(C1440,0)</f>
        <v>0</v>
      </c>
      <c r="D1439" s="766">
        <f t="shared" si="678"/>
        <v>0</v>
      </c>
      <c r="E1439" s="766">
        <f t="shared" si="678"/>
        <v>0</v>
      </c>
      <c r="F1439" s="766">
        <f t="shared" si="678"/>
        <v>0</v>
      </c>
      <c r="G1439" s="766">
        <f t="shared" si="678"/>
        <v>0</v>
      </c>
      <c r="H1439" s="766">
        <f t="shared" si="678"/>
        <v>0</v>
      </c>
      <c r="I1439" s="766">
        <f t="shared" si="678"/>
        <v>0</v>
      </c>
      <c r="J1439" s="767">
        <f t="shared" si="678"/>
        <v>0</v>
      </c>
    </row>
    <row r="1440" spans="1:10" ht="17.25" hidden="1" customHeight="1">
      <c r="A1440" s="505"/>
      <c r="B1440" s="504"/>
      <c r="C1440" s="769">
        <f>ROUND($K$1262/C$1432*1000000/3600,2)</f>
        <v>0</v>
      </c>
      <c r="D1440" s="770">
        <f>ROUND($K$1272/D$1432*1000000/3600,2)</f>
        <v>0</v>
      </c>
      <c r="E1440" s="770">
        <f>ROUND($K$1282/E$1432*1000000/3600,2)</f>
        <v>0</v>
      </c>
      <c r="F1440" s="770">
        <f>ROUND($K$1292/F$1432*1000000/3600,2)</f>
        <v>0</v>
      </c>
      <c r="G1440" s="770">
        <f>ROUND($K$1302/G$1432*1000000/3600,2)</f>
        <v>0</v>
      </c>
      <c r="H1440" s="770">
        <f>ROUND($K$1312/H$1432*1000000/3600,2)</f>
        <v>0</v>
      </c>
      <c r="I1440" s="770">
        <f>ROUND($K$1322/I$1432*1000000/3600,2)</f>
        <v>0</v>
      </c>
      <c r="J1440" s="771">
        <f>ROUND($K$1332/J$1432*1000000/3600,2)</f>
        <v>0</v>
      </c>
    </row>
    <row r="1441" spans="1:10" ht="17.45" customHeight="1">
      <c r="A1441" s="505"/>
      <c r="B1441" s="676" t="str">
        <f>F7</f>
        <v>5구간</v>
      </c>
      <c r="C1441" s="765">
        <f t="shared" ref="C1441:J1441" si="679">ROUND(C1442,0)</f>
        <v>0</v>
      </c>
      <c r="D1441" s="766">
        <f t="shared" si="679"/>
        <v>0</v>
      </c>
      <c r="E1441" s="766">
        <f t="shared" si="679"/>
        <v>0</v>
      </c>
      <c r="F1441" s="766">
        <f t="shared" si="679"/>
        <v>0</v>
      </c>
      <c r="G1441" s="766">
        <f t="shared" si="679"/>
        <v>0</v>
      </c>
      <c r="H1441" s="766">
        <f t="shared" si="679"/>
        <v>0</v>
      </c>
      <c r="I1441" s="766">
        <f t="shared" si="679"/>
        <v>0</v>
      </c>
      <c r="J1441" s="767">
        <f t="shared" si="679"/>
        <v>0</v>
      </c>
    </row>
    <row r="1442" spans="1:10" ht="17.25" hidden="1" customHeight="1">
      <c r="A1442" s="505"/>
      <c r="B1442" s="768"/>
      <c r="C1442" s="769">
        <f>ROUND($K$1263/C$1432*1000000/3600,2)</f>
        <v>0</v>
      </c>
      <c r="D1442" s="770">
        <f>ROUND($K$1273/D$1432*1000000/3600,2)</f>
        <v>0</v>
      </c>
      <c r="E1442" s="770">
        <f>ROUND($K$1283/E$1432*1000000/3600,2)</f>
        <v>0</v>
      </c>
      <c r="F1442" s="770">
        <f>ROUND($K$1293/F$1432*1000000/3600,2)</f>
        <v>0</v>
      </c>
      <c r="G1442" s="770">
        <f>ROUND($K$1303/G$1432*1000000/3600,2)</f>
        <v>0</v>
      </c>
      <c r="H1442" s="770">
        <f>ROUND($K$1313/H$1432*1000000/3600,2)</f>
        <v>0</v>
      </c>
      <c r="I1442" s="770">
        <f>ROUND($K$1323/I$1432*1000000/3600,2)</f>
        <v>0</v>
      </c>
      <c r="J1442" s="771">
        <f>ROUND($K$1333/J$1432*1000000/3600,2)</f>
        <v>0</v>
      </c>
    </row>
    <row r="1443" spans="1:10" ht="17.45" customHeight="1">
      <c r="A1443" s="505"/>
      <c r="B1443" s="789" t="str">
        <f>B12</f>
        <v>6구간</v>
      </c>
      <c r="C1443" s="765">
        <f>ROUND(C1444,0)</f>
        <v>0</v>
      </c>
      <c r="D1443" s="766">
        <f t="shared" ref="D1443:J1443" si="680">ROUND(D1444,0)</f>
        <v>0</v>
      </c>
      <c r="E1443" s="766">
        <f t="shared" si="680"/>
        <v>0</v>
      </c>
      <c r="F1443" s="766">
        <f t="shared" si="680"/>
        <v>0</v>
      </c>
      <c r="G1443" s="766">
        <f t="shared" si="680"/>
        <v>0</v>
      </c>
      <c r="H1443" s="766">
        <f t="shared" si="680"/>
        <v>0</v>
      </c>
      <c r="I1443" s="766">
        <f t="shared" si="680"/>
        <v>0</v>
      </c>
      <c r="J1443" s="767">
        <f t="shared" si="680"/>
        <v>0</v>
      </c>
    </row>
    <row r="1444" spans="1:10" ht="17.45" hidden="1" customHeight="1">
      <c r="A1444" s="505"/>
      <c r="B1444" s="504"/>
      <c r="C1444" s="769">
        <f>ROUND($K$1264/C$1432*1000000/3600,2)</f>
        <v>0</v>
      </c>
      <c r="D1444" s="770">
        <f>ROUND($K$1274/D$1432*1000000/3600,2)</f>
        <v>0</v>
      </c>
      <c r="E1444" s="770">
        <f>ROUND($K$1284/E$1432*1000000/3600,2)</f>
        <v>0</v>
      </c>
      <c r="F1444" s="770">
        <f>ROUND($K$1294/F$1432*1000000/3600,2)</f>
        <v>0</v>
      </c>
      <c r="G1444" s="770">
        <f>ROUND($K$1304/G$1432*1000000/3600,2)</f>
        <v>0</v>
      </c>
      <c r="H1444" s="770">
        <f>ROUND($K$1314/H$1432*1000000/3600,2)</f>
        <v>0</v>
      </c>
      <c r="I1444" s="770">
        <f>ROUND($K$1324/I$1432*1000000/3600,2)</f>
        <v>0</v>
      </c>
      <c r="J1444" s="771">
        <f>ROUND($K$1334/J$1432*1000000/3600,2)</f>
        <v>0</v>
      </c>
    </row>
    <row r="1445" spans="1:10" ht="17.45" customHeight="1">
      <c r="A1445" s="505"/>
      <c r="B1445" s="676" t="str">
        <f>C12</f>
        <v>7구간</v>
      </c>
      <c r="C1445" s="765">
        <f t="shared" ref="C1445:J1445" si="681">ROUND(C1446,0)</f>
        <v>0</v>
      </c>
      <c r="D1445" s="766">
        <f t="shared" si="681"/>
        <v>0</v>
      </c>
      <c r="E1445" s="766">
        <f t="shared" si="681"/>
        <v>0</v>
      </c>
      <c r="F1445" s="766">
        <f t="shared" si="681"/>
        <v>0</v>
      </c>
      <c r="G1445" s="766">
        <f t="shared" si="681"/>
        <v>0</v>
      </c>
      <c r="H1445" s="766">
        <f t="shared" si="681"/>
        <v>0</v>
      </c>
      <c r="I1445" s="766">
        <f t="shared" si="681"/>
        <v>0</v>
      </c>
      <c r="J1445" s="767">
        <f t="shared" si="681"/>
        <v>0</v>
      </c>
    </row>
    <row r="1446" spans="1:10" ht="17.45" hidden="1" customHeight="1">
      <c r="A1446" s="505"/>
      <c r="B1446" s="504"/>
      <c r="C1446" s="769">
        <f>ROUND($K$1265/C$1432*1000000/3600,2)</f>
        <v>0</v>
      </c>
      <c r="D1446" s="770">
        <f>ROUND($K$1275/D$1432*1000000/3600,2)</f>
        <v>0</v>
      </c>
      <c r="E1446" s="770">
        <f>ROUND($K$1285/E$1432*1000000/3600,2)</f>
        <v>0</v>
      </c>
      <c r="F1446" s="770">
        <f>ROUND($K$1295/F$1432*1000000/3600,2)</f>
        <v>0</v>
      </c>
      <c r="G1446" s="770">
        <f>ROUND($K$1305/G$1432*1000000/3600,2)</f>
        <v>0</v>
      </c>
      <c r="H1446" s="770">
        <f>ROUND($K$1315/H$1432*1000000/3600,2)</f>
        <v>0</v>
      </c>
      <c r="I1446" s="770">
        <f>ROUND($K$1325/I$1432*1000000/3600,2)</f>
        <v>0</v>
      </c>
      <c r="J1446" s="771">
        <f>ROUND($K$1335/J$1432*1000000/3600,2)</f>
        <v>0</v>
      </c>
    </row>
    <row r="1447" spans="1:10" ht="17.45" customHeight="1">
      <c r="A1447" s="505"/>
      <c r="B1447" s="676" t="str">
        <f>D12</f>
        <v>8구간</v>
      </c>
      <c r="C1447" s="765">
        <f t="shared" ref="C1447:J1447" si="682">ROUND(C1448,0)</f>
        <v>0</v>
      </c>
      <c r="D1447" s="766">
        <f t="shared" si="682"/>
        <v>0</v>
      </c>
      <c r="E1447" s="766">
        <f t="shared" si="682"/>
        <v>0</v>
      </c>
      <c r="F1447" s="766">
        <f t="shared" si="682"/>
        <v>0</v>
      </c>
      <c r="G1447" s="766">
        <f t="shared" si="682"/>
        <v>0</v>
      </c>
      <c r="H1447" s="766">
        <f t="shared" si="682"/>
        <v>0</v>
      </c>
      <c r="I1447" s="766">
        <f t="shared" si="682"/>
        <v>0</v>
      </c>
      <c r="J1447" s="767">
        <f t="shared" si="682"/>
        <v>0</v>
      </c>
    </row>
    <row r="1448" spans="1:10" ht="17.45" hidden="1" customHeight="1">
      <c r="A1448" s="505"/>
      <c r="B1448" s="504"/>
      <c r="C1448" s="769">
        <f>ROUND($K$1266/C$1432*1000000/3600,2)</f>
        <v>0</v>
      </c>
      <c r="D1448" s="770">
        <f>ROUND($K$1276/D$1432*1000000/3600,2)</f>
        <v>0</v>
      </c>
      <c r="E1448" s="770">
        <f>ROUND($K$1286/E$1432*1000000/3600,2)</f>
        <v>0</v>
      </c>
      <c r="F1448" s="770">
        <f>ROUND($K$1296/F$1432*1000000/3600,2)</f>
        <v>0</v>
      </c>
      <c r="G1448" s="770">
        <f>ROUND($K$1306/G$1432*1000000/3600,2)</f>
        <v>0</v>
      </c>
      <c r="H1448" s="770">
        <f>ROUND($K$1316/H$1432*1000000/3600,2)</f>
        <v>0</v>
      </c>
      <c r="I1448" s="770">
        <f>ROUND($K$1326/I$1432*1000000/3600,2)</f>
        <v>0</v>
      </c>
      <c r="J1448" s="771">
        <f>ROUND($K$1336/J$1432*1000000/3600,2)</f>
        <v>0</v>
      </c>
    </row>
    <row r="1449" spans="1:10" ht="17.45" customHeight="1">
      <c r="A1449" s="505"/>
      <c r="B1449" s="676" t="str">
        <f>E12</f>
        <v>9구간</v>
      </c>
      <c r="C1449" s="765">
        <f t="shared" ref="C1449:J1449" si="683">ROUND(C1450,0)</f>
        <v>0</v>
      </c>
      <c r="D1449" s="766">
        <f t="shared" si="683"/>
        <v>0</v>
      </c>
      <c r="E1449" s="766">
        <f t="shared" si="683"/>
        <v>0</v>
      </c>
      <c r="F1449" s="766">
        <f t="shared" si="683"/>
        <v>0</v>
      </c>
      <c r="G1449" s="766">
        <f t="shared" si="683"/>
        <v>0</v>
      </c>
      <c r="H1449" s="766">
        <f t="shared" si="683"/>
        <v>0</v>
      </c>
      <c r="I1449" s="766">
        <f t="shared" si="683"/>
        <v>0</v>
      </c>
      <c r="J1449" s="767">
        <f t="shared" si="683"/>
        <v>0</v>
      </c>
    </row>
    <row r="1450" spans="1:10" ht="17.25" hidden="1" customHeight="1">
      <c r="A1450" s="505"/>
      <c r="B1450" s="504"/>
      <c r="C1450" s="769">
        <f>ROUND($K$1267/C$1432*1000000/3600,2)</f>
        <v>0</v>
      </c>
      <c r="D1450" s="770">
        <f>ROUND($K$1277/D$1432*1000000/3600,2)</f>
        <v>0</v>
      </c>
      <c r="E1450" s="770">
        <f>ROUND($K$1287/E$1432*1000000/3600,2)</f>
        <v>0</v>
      </c>
      <c r="F1450" s="770">
        <f>ROUND($K$1297/F$1432*1000000/3600,2)</f>
        <v>0</v>
      </c>
      <c r="G1450" s="770">
        <f>ROUND($K$1307/G$1432*1000000/3600,2)</f>
        <v>0</v>
      </c>
      <c r="H1450" s="770">
        <f>ROUND($K$1317/H$1432*1000000/3600,2)</f>
        <v>0</v>
      </c>
      <c r="I1450" s="770">
        <f>ROUND($K$1327/I$1432*1000000/3600,2)</f>
        <v>0</v>
      </c>
      <c r="J1450" s="771">
        <f>ROUND($K$1337/J$1432*1000000/3600,2)</f>
        <v>0</v>
      </c>
    </row>
    <row r="1451" spans="1:10" ht="17.45" customHeight="1">
      <c r="A1451" s="505"/>
      <c r="B1451" s="676" t="str">
        <f>F12</f>
        <v>10구간</v>
      </c>
      <c r="C1451" s="765">
        <f t="shared" ref="C1451:J1451" si="684">ROUND(C1452,0)</f>
        <v>0</v>
      </c>
      <c r="D1451" s="766">
        <f t="shared" si="684"/>
        <v>0</v>
      </c>
      <c r="E1451" s="766">
        <f t="shared" si="684"/>
        <v>0</v>
      </c>
      <c r="F1451" s="766">
        <f t="shared" si="684"/>
        <v>0</v>
      </c>
      <c r="G1451" s="766">
        <f t="shared" si="684"/>
        <v>0</v>
      </c>
      <c r="H1451" s="766">
        <f t="shared" si="684"/>
        <v>0</v>
      </c>
      <c r="I1451" s="766">
        <f t="shared" si="684"/>
        <v>0</v>
      </c>
      <c r="J1451" s="767">
        <f t="shared" si="684"/>
        <v>0</v>
      </c>
    </row>
    <row r="1452" spans="1:10" ht="17.25" hidden="1" customHeight="1">
      <c r="A1452" s="505"/>
      <c r="B1452" s="504"/>
      <c r="C1452" s="761">
        <f>ROUND($K$1268/C$1432*1000000/3600,2)</f>
        <v>0</v>
      </c>
      <c r="D1452" s="762">
        <f>ROUND($K$1278/D$1432*1000000/3600,2)</f>
        <v>0</v>
      </c>
      <c r="E1452" s="762">
        <f>ROUND($K$1288/E$1432*1000000/3600,2)</f>
        <v>0</v>
      </c>
      <c r="F1452" s="762">
        <f>ROUND($K$1298/F$1432*1000000/3600,2)</f>
        <v>0</v>
      </c>
      <c r="G1452" s="762">
        <f>ROUND($K$1308/G$1432*1000000/3600,2)</f>
        <v>0</v>
      </c>
      <c r="H1452" s="762">
        <f>ROUND($K$1318/H$1432*1000000/3600,2)</f>
        <v>0</v>
      </c>
      <c r="I1452" s="762">
        <f>ROUND($K$1328/I$1432*1000000/3600,2)</f>
        <v>0</v>
      </c>
      <c r="J1452" s="763">
        <f>ROUND($K$1338/J$1432*1000000/3600,2)</f>
        <v>0</v>
      </c>
    </row>
    <row r="1453" spans="1:10" ht="17.45" customHeight="1">
      <c r="A1453" s="772"/>
      <c r="B1453" s="790" t="s">
        <v>72</v>
      </c>
      <c r="C1453" s="238">
        <f>SUM(C1433+C1435+C1437+C1439+C1441+C1443+C1445+C1447+C1449+C1451)</f>
        <v>3</v>
      </c>
      <c r="D1453" s="239">
        <f t="shared" ref="D1453:J1453" si="685">SUM(D1433+D1435+D1437+D1439+D1441+D1443+D1445+D1447+D1449+D1451)</f>
        <v>2</v>
      </c>
      <c r="E1453" s="239">
        <f t="shared" si="685"/>
        <v>2</v>
      </c>
      <c r="F1453" s="239">
        <f t="shared" si="685"/>
        <v>2</v>
      </c>
      <c r="G1453" s="239">
        <f t="shared" si="685"/>
        <v>1</v>
      </c>
      <c r="H1453" s="239">
        <f t="shared" si="685"/>
        <v>1</v>
      </c>
      <c r="I1453" s="239">
        <f t="shared" si="685"/>
        <v>1</v>
      </c>
      <c r="J1453" s="264">
        <f t="shared" si="685"/>
        <v>1</v>
      </c>
    </row>
    <row r="1454" spans="1:10" ht="17.45" customHeight="1">
      <c r="A1454" s="505" t="str">
        <f>J6</f>
        <v>마산</v>
      </c>
      <c r="B1454" s="665" t="str">
        <f>B1433</f>
        <v>1구간</v>
      </c>
      <c r="C1454" s="758">
        <f t="shared" ref="C1454:J1454" si="686">ROUND(C1455,0)</f>
        <v>5</v>
      </c>
      <c r="D1454" s="759">
        <f t="shared" si="686"/>
        <v>4</v>
      </c>
      <c r="E1454" s="759">
        <f t="shared" si="686"/>
        <v>4</v>
      </c>
      <c r="F1454" s="759">
        <f t="shared" si="686"/>
        <v>3</v>
      </c>
      <c r="G1454" s="759">
        <f t="shared" si="686"/>
        <v>3</v>
      </c>
      <c r="H1454" s="759">
        <f t="shared" si="686"/>
        <v>3</v>
      </c>
      <c r="I1454" s="759">
        <f t="shared" si="686"/>
        <v>4</v>
      </c>
      <c r="J1454" s="760">
        <f t="shared" si="686"/>
        <v>4</v>
      </c>
    </row>
    <row r="1455" spans="1:10" ht="17.45" hidden="1" customHeight="1">
      <c r="A1455" s="505"/>
      <c r="B1455" s="504"/>
      <c r="C1455" s="769">
        <f>ROUND($K$1344/C$1432*1000000/3600,2)</f>
        <v>5</v>
      </c>
      <c r="D1455" s="770">
        <f>ROUND($K$1354/D$1432*1000000/3600,2)</f>
        <v>4.17</v>
      </c>
      <c r="E1455" s="770">
        <f>ROUND($K$1364/E$1432*1000000/3600,2)</f>
        <v>3.61</v>
      </c>
      <c r="F1455" s="770">
        <f>ROUND($K$1374/F$1432*1000000/3600,2)</f>
        <v>3.19</v>
      </c>
      <c r="G1455" s="770">
        <f>ROUND($K$1384/G$1432*1000000/3600,2)</f>
        <v>3.19</v>
      </c>
      <c r="H1455" s="770">
        <f>ROUND($K$1394/H$1432*1000000/3600,2)</f>
        <v>3.33</v>
      </c>
      <c r="I1455" s="770">
        <f>ROUND($K$1404/I$1432*1000000/3600,2)</f>
        <v>3.61</v>
      </c>
      <c r="J1455" s="771">
        <f>ROUND($K$1414/J$1432*1000000/3600,2)</f>
        <v>4.03</v>
      </c>
    </row>
    <row r="1456" spans="1:10" ht="17.45" customHeight="1">
      <c r="A1456" s="505" t="str">
        <f>K6</f>
        <v>방향</v>
      </c>
      <c r="B1456" s="676" t="str">
        <f>B1435</f>
        <v>2구간</v>
      </c>
      <c r="C1456" s="765">
        <f t="shared" ref="C1456:J1456" si="687">ROUND(C1457,0)</f>
        <v>0</v>
      </c>
      <c r="D1456" s="766">
        <f t="shared" si="687"/>
        <v>0</v>
      </c>
      <c r="E1456" s="766">
        <f t="shared" si="687"/>
        <v>0</v>
      </c>
      <c r="F1456" s="766">
        <f>ROUND(F1457,0)</f>
        <v>0</v>
      </c>
      <c r="G1456" s="766">
        <f t="shared" si="687"/>
        <v>0</v>
      </c>
      <c r="H1456" s="766">
        <f t="shared" si="687"/>
        <v>0</v>
      </c>
      <c r="I1456" s="766">
        <f t="shared" si="687"/>
        <v>0</v>
      </c>
      <c r="J1456" s="767">
        <f t="shared" si="687"/>
        <v>0</v>
      </c>
    </row>
    <row r="1457" spans="1:15" ht="17.25" hidden="1" customHeight="1">
      <c r="A1457" s="505"/>
      <c r="B1457" s="504"/>
      <c r="C1457" s="769">
        <f>ROUND($K$1345/C$1432*1000000/3600,2)</f>
        <v>0</v>
      </c>
      <c r="D1457" s="770">
        <f>ROUND($K$1355/D$1432*1000000/3600,2)</f>
        <v>0</v>
      </c>
      <c r="E1457" s="770">
        <f>ROUND($K$1365/E$1432*1000000/3600,2)</f>
        <v>0</v>
      </c>
      <c r="F1457" s="770">
        <f>ROUND($K$1375/F$1432*1000000/3600,2)</f>
        <v>0</v>
      </c>
      <c r="G1457" s="770">
        <f>ROUND($K$1385/G$1432*1000000/3600,2)</f>
        <v>0</v>
      </c>
      <c r="H1457" s="770">
        <f>ROUND($K$1395/H$1432*1000000/3600,2)</f>
        <v>0</v>
      </c>
      <c r="I1457" s="770">
        <f>ROUND($K$1405/I$1432*1000000/3600,2)</f>
        <v>0</v>
      </c>
      <c r="J1457" s="771">
        <f>ROUND($K$1415/J$1432*1000000/3600,2)</f>
        <v>0</v>
      </c>
    </row>
    <row r="1458" spans="1:15" ht="17.45" customHeight="1">
      <c r="A1458" s="505"/>
      <c r="B1458" s="676" t="str">
        <f>B1437</f>
        <v>3구간</v>
      </c>
      <c r="C1458" s="765">
        <f t="shared" ref="C1458:J1458" si="688">ROUND(C1459,0)</f>
        <v>0</v>
      </c>
      <c r="D1458" s="766">
        <f t="shared" si="688"/>
        <v>0</v>
      </c>
      <c r="E1458" s="766">
        <f t="shared" si="688"/>
        <v>0</v>
      </c>
      <c r="F1458" s="766">
        <f t="shared" si="688"/>
        <v>0</v>
      </c>
      <c r="G1458" s="766">
        <f t="shared" si="688"/>
        <v>0</v>
      </c>
      <c r="H1458" s="766">
        <f t="shared" si="688"/>
        <v>0</v>
      </c>
      <c r="I1458" s="766">
        <f t="shared" si="688"/>
        <v>0</v>
      </c>
      <c r="J1458" s="767">
        <f t="shared" si="688"/>
        <v>0</v>
      </c>
      <c r="O1458" s="392" t="s">
        <v>979</v>
      </c>
    </row>
    <row r="1459" spans="1:15" ht="17.25" hidden="1" customHeight="1">
      <c r="A1459" s="505"/>
      <c r="B1459" s="504"/>
      <c r="C1459" s="769">
        <f>ROUND($K$1346/C$1432*1000000/3600,2)</f>
        <v>0</v>
      </c>
      <c r="D1459" s="770">
        <f>ROUND($K$1356/D$1432*1000000/3600,2)</f>
        <v>0</v>
      </c>
      <c r="E1459" s="770">
        <f>ROUND($K$1366/E$1432*1000000/3600,2)</f>
        <v>0</v>
      </c>
      <c r="F1459" s="770">
        <f>ROUND($K$1376/F$1432*1000000/3600,2)</f>
        <v>0</v>
      </c>
      <c r="G1459" s="770">
        <f>ROUND($K$1386/G$1432*1000000/3600,2)</f>
        <v>0</v>
      </c>
      <c r="H1459" s="770">
        <f>ROUND($K$1396/H$1432*1000000/3600,2)</f>
        <v>0</v>
      </c>
      <c r="I1459" s="770">
        <f>ROUND($K$1406/I$1432*1000000/3600,2)</f>
        <v>0</v>
      </c>
      <c r="J1459" s="771">
        <f>ROUND($K$1416/J$1432*1000000/3600,2)</f>
        <v>0</v>
      </c>
    </row>
    <row r="1460" spans="1:15" ht="17.45" customHeight="1">
      <c r="A1460" s="505"/>
      <c r="B1460" s="676" t="str">
        <f>B1439</f>
        <v>4구간</v>
      </c>
      <c r="C1460" s="765">
        <f t="shared" ref="C1460:J1460" si="689">ROUND(C1461,0)</f>
        <v>0</v>
      </c>
      <c r="D1460" s="766">
        <f t="shared" si="689"/>
        <v>0</v>
      </c>
      <c r="E1460" s="766">
        <f t="shared" si="689"/>
        <v>0</v>
      </c>
      <c r="F1460" s="766">
        <f t="shared" si="689"/>
        <v>0</v>
      </c>
      <c r="G1460" s="766">
        <f t="shared" si="689"/>
        <v>0</v>
      </c>
      <c r="H1460" s="766">
        <f t="shared" si="689"/>
        <v>0</v>
      </c>
      <c r="I1460" s="766">
        <f t="shared" si="689"/>
        <v>0</v>
      </c>
      <c r="J1460" s="767">
        <f t="shared" si="689"/>
        <v>0</v>
      </c>
    </row>
    <row r="1461" spans="1:15" ht="17.45" hidden="1" customHeight="1">
      <c r="A1461" s="505"/>
      <c r="B1461" s="504"/>
      <c r="C1461" s="769">
        <f>ROUND($K$1347/C$1432*1000000/3600,2)</f>
        <v>0</v>
      </c>
      <c r="D1461" s="770">
        <f>ROUND($K$1357/D$1432*1000000/3600,2)</f>
        <v>0</v>
      </c>
      <c r="E1461" s="770">
        <f>ROUND($K$1367/E$1432*1000000/3600,2)</f>
        <v>0</v>
      </c>
      <c r="F1461" s="770">
        <f>ROUND($K$1377/F$1432*1000000/3600,2)</f>
        <v>0</v>
      </c>
      <c r="G1461" s="770">
        <f>ROUND($K$1387/G$1432*1000000/3600,2)</f>
        <v>0</v>
      </c>
      <c r="H1461" s="770">
        <f>ROUND($K$1397/H$1432*1000000/3600,2)</f>
        <v>0</v>
      </c>
      <c r="I1461" s="770">
        <f>ROUND($K$1407/I$1432*1000000/3600,2)</f>
        <v>0</v>
      </c>
      <c r="J1461" s="771">
        <f>ROUND($K$1417/J$1432*1000000/3600,2)</f>
        <v>0</v>
      </c>
    </row>
    <row r="1462" spans="1:15" ht="17.45" customHeight="1">
      <c r="A1462" s="505"/>
      <c r="B1462" s="676" t="str">
        <f>B1441</f>
        <v>5구간</v>
      </c>
      <c r="C1462" s="765">
        <f t="shared" ref="C1462:J1462" si="690">ROUND(C1463,0)</f>
        <v>0</v>
      </c>
      <c r="D1462" s="766">
        <f t="shared" si="690"/>
        <v>0</v>
      </c>
      <c r="E1462" s="766">
        <f t="shared" si="690"/>
        <v>0</v>
      </c>
      <c r="F1462" s="766">
        <f t="shared" si="690"/>
        <v>0</v>
      </c>
      <c r="G1462" s="766">
        <f t="shared" si="690"/>
        <v>0</v>
      </c>
      <c r="H1462" s="766">
        <f t="shared" si="690"/>
        <v>0</v>
      </c>
      <c r="I1462" s="766">
        <f t="shared" si="690"/>
        <v>0</v>
      </c>
      <c r="J1462" s="767">
        <f t="shared" si="690"/>
        <v>0</v>
      </c>
    </row>
    <row r="1463" spans="1:15" ht="17.25" hidden="1" customHeight="1">
      <c r="A1463" s="505"/>
      <c r="B1463" s="768"/>
      <c r="C1463" s="769">
        <f>ROUND($K$1348/C$1432*1000000/3600,2)</f>
        <v>0</v>
      </c>
      <c r="D1463" s="770">
        <f>ROUND($K$1358/D$1432*1000000/3600,2)</f>
        <v>0</v>
      </c>
      <c r="E1463" s="770">
        <f>ROUND($K$1368/E$1432*1000000/3600,2)</f>
        <v>0</v>
      </c>
      <c r="F1463" s="770">
        <f>ROUND($K$1378/F$1432*1000000/3600,2)</f>
        <v>0</v>
      </c>
      <c r="G1463" s="770">
        <f>ROUND($K$1388/G$1432*1000000/3600,2)</f>
        <v>0</v>
      </c>
      <c r="H1463" s="770">
        <f>ROUND($K$1398/H$1432*1000000/3600,2)</f>
        <v>0</v>
      </c>
      <c r="I1463" s="770">
        <f>ROUND($K$1408/I$1432*1000000/3600,2)</f>
        <v>0</v>
      </c>
      <c r="J1463" s="771">
        <f>ROUND($K$1418/J$1432*1000000/3600,2)</f>
        <v>0</v>
      </c>
    </row>
    <row r="1464" spans="1:15" ht="17.45" customHeight="1">
      <c r="A1464" s="505"/>
      <c r="B1464" s="676" t="str">
        <f>B1443</f>
        <v>6구간</v>
      </c>
      <c r="C1464" s="765">
        <f t="shared" ref="C1464:J1464" si="691">ROUND(C1465,0)</f>
        <v>0</v>
      </c>
      <c r="D1464" s="766">
        <f t="shared" si="691"/>
        <v>0</v>
      </c>
      <c r="E1464" s="766">
        <f t="shared" si="691"/>
        <v>0</v>
      </c>
      <c r="F1464" s="766">
        <f t="shared" si="691"/>
        <v>0</v>
      </c>
      <c r="G1464" s="766">
        <f t="shared" si="691"/>
        <v>0</v>
      </c>
      <c r="H1464" s="766">
        <f t="shared" si="691"/>
        <v>0</v>
      </c>
      <c r="I1464" s="766">
        <f t="shared" si="691"/>
        <v>0</v>
      </c>
      <c r="J1464" s="767">
        <f t="shared" si="691"/>
        <v>0</v>
      </c>
    </row>
    <row r="1465" spans="1:15" ht="17.25" hidden="1" customHeight="1">
      <c r="A1465" s="505"/>
      <c r="B1465" s="504"/>
      <c r="C1465" s="769">
        <f>ROUND($K$1349/C$1432*1000000/3600,2)</f>
        <v>0</v>
      </c>
      <c r="D1465" s="770">
        <f>ROUND($K$1359/D$1432*1000000/3600,2)</f>
        <v>0</v>
      </c>
      <c r="E1465" s="770">
        <f>ROUND($K$1369/E$1432*1000000/3600,2)</f>
        <v>0</v>
      </c>
      <c r="F1465" s="770">
        <f>ROUND($K$1379/F$1432*1000000/3600,2)</f>
        <v>0</v>
      </c>
      <c r="G1465" s="770">
        <f>ROUND($K$1389/G$1432*1000000/3600,2)</f>
        <v>0</v>
      </c>
      <c r="H1465" s="770">
        <f>ROUND($K$1399/H$1432*1000000/3600,2)</f>
        <v>0</v>
      </c>
      <c r="I1465" s="770">
        <f>ROUND($K$1409/I$1432*1000000/3600,2)</f>
        <v>0</v>
      </c>
      <c r="J1465" s="771">
        <f>ROUND($K$1419/J$1432*1000000/3600,2)</f>
        <v>0</v>
      </c>
    </row>
    <row r="1466" spans="1:15" ht="17.45" customHeight="1">
      <c r="A1466" s="505"/>
      <c r="B1466" s="676" t="str">
        <f>B1445</f>
        <v>7구간</v>
      </c>
      <c r="C1466" s="765">
        <f t="shared" ref="C1466:J1466" si="692">ROUND(C1467,0)</f>
        <v>0</v>
      </c>
      <c r="D1466" s="766">
        <f t="shared" si="692"/>
        <v>0</v>
      </c>
      <c r="E1466" s="766">
        <f t="shared" si="692"/>
        <v>0</v>
      </c>
      <c r="F1466" s="766">
        <f t="shared" si="692"/>
        <v>0</v>
      </c>
      <c r="G1466" s="766">
        <f t="shared" si="692"/>
        <v>0</v>
      </c>
      <c r="H1466" s="766">
        <f t="shared" si="692"/>
        <v>0</v>
      </c>
      <c r="I1466" s="766">
        <f t="shared" si="692"/>
        <v>0</v>
      </c>
      <c r="J1466" s="767">
        <f t="shared" si="692"/>
        <v>0</v>
      </c>
    </row>
    <row r="1467" spans="1:15" ht="17.25" hidden="1" customHeight="1">
      <c r="A1467" s="505"/>
      <c r="B1467" s="504"/>
      <c r="C1467" s="769">
        <f>ROUND($K$1350/C$1432*1000000/3600,2)</f>
        <v>0</v>
      </c>
      <c r="D1467" s="770">
        <f>ROUND($K$1360/D$1432*1000000/3600,2)</f>
        <v>0</v>
      </c>
      <c r="E1467" s="770">
        <f>ROUND($K$1370/E$1432*1000000/3600,2)</f>
        <v>0</v>
      </c>
      <c r="F1467" s="770">
        <f>ROUND($K$1380/F$1432*1000000/3600,2)</f>
        <v>0</v>
      </c>
      <c r="G1467" s="770">
        <f>ROUND($K$1390/G$1432*1000000/3600,2)</f>
        <v>0</v>
      </c>
      <c r="H1467" s="770">
        <f>ROUND($K$1400/H$1432*1000000/3600,2)</f>
        <v>0</v>
      </c>
      <c r="I1467" s="770">
        <f>ROUND($K$1410/I$1432*1000000/3600,2)</f>
        <v>0</v>
      </c>
      <c r="J1467" s="771">
        <f>ROUND($K$1420/J$1432*1000000/3600,2)</f>
        <v>0</v>
      </c>
    </row>
    <row r="1468" spans="1:15" ht="17.45" customHeight="1">
      <c r="A1468" s="505"/>
      <c r="B1468" s="676" t="str">
        <f>B1447</f>
        <v>8구간</v>
      </c>
      <c r="C1468" s="765">
        <f t="shared" ref="C1468:J1468" si="693">ROUND(C1469,0)</f>
        <v>0</v>
      </c>
      <c r="D1468" s="766">
        <f t="shared" si="693"/>
        <v>0</v>
      </c>
      <c r="E1468" s="766">
        <f t="shared" si="693"/>
        <v>0</v>
      </c>
      <c r="F1468" s="766">
        <f t="shared" si="693"/>
        <v>0</v>
      </c>
      <c r="G1468" s="766">
        <f t="shared" si="693"/>
        <v>0</v>
      </c>
      <c r="H1468" s="766">
        <f t="shared" si="693"/>
        <v>0</v>
      </c>
      <c r="I1468" s="766">
        <f t="shared" si="693"/>
        <v>0</v>
      </c>
      <c r="J1468" s="767">
        <f t="shared" si="693"/>
        <v>0</v>
      </c>
    </row>
    <row r="1469" spans="1:15" ht="17.25" hidden="1" customHeight="1">
      <c r="A1469" s="505"/>
      <c r="B1469" s="504"/>
      <c r="C1469" s="769">
        <f>ROUND($K$1351/C$1432*1000000/3600,2)</f>
        <v>0</v>
      </c>
      <c r="D1469" s="770">
        <f>ROUND($K$1361/D$1432*1000000/3600,2)</f>
        <v>0</v>
      </c>
      <c r="E1469" s="770">
        <f>ROUND($K$1371/E$1432*1000000/3600,2)</f>
        <v>0</v>
      </c>
      <c r="F1469" s="770">
        <f>ROUND($K$1381/F$1432*1000000/3600,2)</f>
        <v>0</v>
      </c>
      <c r="G1469" s="770">
        <f>ROUND($K$1391/G$1432*1000000/3600,2)</f>
        <v>0</v>
      </c>
      <c r="H1469" s="770">
        <f>ROUND($K$1401/H$1432*1000000/3600,2)</f>
        <v>0</v>
      </c>
      <c r="I1469" s="770">
        <f>ROUND($K$1411/I$1432*1000000/3600,2)</f>
        <v>0</v>
      </c>
      <c r="J1469" s="771">
        <f>ROUND($K$1421/J$1432*1000000/3600,2)</f>
        <v>0</v>
      </c>
    </row>
    <row r="1470" spans="1:15" ht="17.25" customHeight="1">
      <c r="A1470" s="505"/>
      <c r="B1470" s="676" t="str">
        <f>B1449</f>
        <v>9구간</v>
      </c>
      <c r="C1470" s="765">
        <f t="shared" ref="C1470:J1470" si="694">ROUND(C1471,0)</f>
        <v>0</v>
      </c>
      <c r="D1470" s="766">
        <f t="shared" si="694"/>
        <v>0</v>
      </c>
      <c r="E1470" s="766">
        <f t="shared" si="694"/>
        <v>0</v>
      </c>
      <c r="F1470" s="766">
        <f t="shared" si="694"/>
        <v>0</v>
      </c>
      <c r="G1470" s="766">
        <f t="shared" si="694"/>
        <v>0</v>
      </c>
      <c r="H1470" s="766">
        <f t="shared" si="694"/>
        <v>0</v>
      </c>
      <c r="I1470" s="766">
        <f t="shared" si="694"/>
        <v>0</v>
      </c>
      <c r="J1470" s="767">
        <f t="shared" si="694"/>
        <v>0</v>
      </c>
    </row>
    <row r="1471" spans="1:15" ht="17.45" hidden="1" customHeight="1">
      <c r="A1471" s="505"/>
      <c r="B1471" s="504"/>
      <c r="C1471" s="769">
        <f>ROUND($K$1352/C$1432*1000000/3600,2)</f>
        <v>0</v>
      </c>
      <c r="D1471" s="770">
        <f>ROUND($K$1362/D$1432*1000000/3600,2)</f>
        <v>0</v>
      </c>
      <c r="E1471" s="770">
        <f>ROUND($K$1372/E$1432*1000000/3600,2)</f>
        <v>0</v>
      </c>
      <c r="F1471" s="770">
        <f>ROUND($K$1382/F$1432*1000000/3600,2)</f>
        <v>0</v>
      </c>
      <c r="G1471" s="770">
        <f>ROUND($K$1392/G$1432*1000000/3600,2)</f>
        <v>0</v>
      </c>
      <c r="H1471" s="770">
        <f>ROUND($K$1402/H$1432*1000000/3600,2)</f>
        <v>0</v>
      </c>
      <c r="I1471" s="770">
        <f>ROUND($K$1412/I$1432*1000000/3600,2)</f>
        <v>0</v>
      </c>
      <c r="J1471" s="771">
        <f>ROUND($K$1422/J$1432*1000000/3600,2)</f>
        <v>0</v>
      </c>
    </row>
    <row r="1472" spans="1:15" ht="17.45" customHeight="1">
      <c r="A1472" s="505"/>
      <c r="B1472" s="676" t="str">
        <f>B1451</f>
        <v>10구간</v>
      </c>
      <c r="C1472" s="765">
        <f t="shared" ref="C1472:J1472" si="695">ROUND(C1473,0)</f>
        <v>0</v>
      </c>
      <c r="D1472" s="766">
        <f t="shared" si="695"/>
        <v>0</v>
      </c>
      <c r="E1472" s="766">
        <f t="shared" si="695"/>
        <v>0</v>
      </c>
      <c r="F1472" s="766">
        <f t="shared" si="695"/>
        <v>0</v>
      </c>
      <c r="G1472" s="766">
        <f t="shared" si="695"/>
        <v>0</v>
      </c>
      <c r="H1472" s="766">
        <f t="shared" si="695"/>
        <v>0</v>
      </c>
      <c r="I1472" s="766">
        <f t="shared" si="695"/>
        <v>0</v>
      </c>
      <c r="J1472" s="767">
        <f t="shared" si="695"/>
        <v>0</v>
      </c>
    </row>
    <row r="1473" spans="1:10" ht="17.45" hidden="1" customHeight="1">
      <c r="A1473" s="505"/>
      <c r="B1473" s="764"/>
      <c r="C1473" s="791">
        <f>ROUND($K$1353/C$1432*1000000/3600,2)</f>
        <v>0</v>
      </c>
      <c r="D1473" s="792">
        <f>ROUND($K$1363/D$1432*1000000/3600,2)</f>
        <v>0</v>
      </c>
      <c r="E1473" s="792">
        <f>ROUND($K$1373/E$1432*1000000/3600,2)</f>
        <v>0</v>
      </c>
      <c r="F1473" s="792">
        <f>ROUND($K$1383/F$1432*1000000/3600,2)</f>
        <v>0</v>
      </c>
      <c r="G1473" s="792">
        <f>ROUND($K$1393/G$1432*1000000/3600,2)</f>
        <v>0</v>
      </c>
      <c r="H1473" s="792">
        <f>ROUND($K$1403/H$1432*1000000/3600,2)</f>
        <v>0</v>
      </c>
      <c r="I1473" s="792">
        <f>ROUND($K$1413/I$1432*1000000/3600,2)</f>
        <v>0</v>
      </c>
      <c r="J1473" s="793">
        <f>ROUND($K$1423/J$1432*1000000/3600,2)</f>
        <v>0</v>
      </c>
    </row>
    <row r="1474" spans="1:10" ht="17.45" customHeight="1" thickBot="1">
      <c r="A1474" s="506"/>
      <c r="B1474" s="794" t="s">
        <v>72</v>
      </c>
      <c r="C1474" s="240">
        <f>SUM(C1454+C1456+C1458+C1460+C1462+C1464+C1466+C1468+C1470+C1472)</f>
        <v>5</v>
      </c>
      <c r="D1474" s="241">
        <f t="shared" ref="D1474:J1474" si="696">SUM(D1454+D1456+D1458+D1460+D1462+D1464+D1466+D1468+D1470+D1472)</f>
        <v>4</v>
      </c>
      <c r="E1474" s="241">
        <f t="shared" si="696"/>
        <v>4</v>
      </c>
      <c r="F1474" s="241">
        <f t="shared" si="696"/>
        <v>3</v>
      </c>
      <c r="G1474" s="241">
        <f t="shared" si="696"/>
        <v>3</v>
      </c>
      <c r="H1474" s="241">
        <f t="shared" si="696"/>
        <v>3</v>
      </c>
      <c r="I1474" s="241">
        <f t="shared" si="696"/>
        <v>4</v>
      </c>
      <c r="J1474" s="265">
        <f t="shared" si="696"/>
        <v>4</v>
      </c>
    </row>
    <row r="1477" spans="1:10" ht="17.100000000000001" customHeight="1">
      <c r="A1477" s="716" t="s">
        <v>488</v>
      </c>
    </row>
    <row r="1478" spans="1:10" ht="17.100000000000001" customHeight="1"/>
    <row r="1479" spans="1:10" ht="17.100000000000001" customHeight="1" thickBot="1">
      <c r="A1479" s="392" t="s">
        <v>163</v>
      </c>
    </row>
    <row r="1480" spans="1:10" ht="17.100000000000001" customHeight="1">
      <c r="A1480" s="387" t="s">
        <v>468</v>
      </c>
      <c r="B1480" s="1451">
        <v>64</v>
      </c>
      <c r="C1480" s="1453"/>
      <c r="D1480" s="1451">
        <v>55</v>
      </c>
      <c r="E1480" s="1511"/>
      <c r="F1480" s="510"/>
      <c r="G1480" s="510"/>
    </row>
    <row r="1481" spans="1:10" ht="17.100000000000001" customHeight="1">
      <c r="A1481" s="795" t="s">
        <v>331</v>
      </c>
      <c r="B1481" s="689" t="s">
        <v>329</v>
      </c>
      <c r="C1481" s="252" t="s">
        <v>330</v>
      </c>
      <c r="D1481" s="252" t="s">
        <v>329</v>
      </c>
      <c r="E1481" s="253" t="s">
        <v>330</v>
      </c>
      <c r="F1481" s="251"/>
      <c r="G1481" s="251"/>
    </row>
    <row r="1482" spans="1:10" ht="17.100000000000001" customHeight="1">
      <c r="A1482" s="1512" t="s">
        <v>469</v>
      </c>
      <c r="B1482" s="1514">
        <v>6.42</v>
      </c>
      <c r="C1482" s="1516">
        <v>0.77</v>
      </c>
      <c r="D1482" s="1516">
        <v>6.71</v>
      </c>
      <c r="E1482" s="1518">
        <v>0.79</v>
      </c>
      <c r="F1482" s="251"/>
      <c r="G1482" s="251"/>
    </row>
    <row r="1483" spans="1:10" ht="17.100000000000001" customHeight="1" thickBot="1">
      <c r="A1483" s="1513"/>
      <c r="B1483" s="1515"/>
      <c r="C1483" s="1517"/>
      <c r="D1483" s="1517"/>
      <c r="E1483" s="1519"/>
      <c r="F1483" s="251"/>
      <c r="G1483" s="251"/>
      <c r="H1483" s="421"/>
    </row>
    <row r="1484" spans="1:10" ht="17.100000000000001" customHeight="1">
      <c r="A1484" s="421"/>
      <c r="B1484" s="510"/>
      <c r="C1484" s="251"/>
      <c r="D1484" s="251"/>
      <c r="E1484" s="251"/>
      <c r="F1484" s="251"/>
      <c r="G1484" s="251"/>
    </row>
    <row r="1485" spans="1:10" ht="17.100000000000001" customHeight="1">
      <c r="A1485" s="96" t="str">
        <f>B6</f>
        <v>마산</v>
      </c>
      <c r="B1485" s="97" t="str">
        <f>D6</f>
        <v>⇒</v>
      </c>
      <c r="C1485" s="96" t="str">
        <f>E6</f>
        <v>진주</v>
      </c>
      <c r="D1485" s="98" t="s">
        <v>131</v>
      </c>
      <c r="E1485" s="777"/>
      <c r="F1485" s="1509" t="str">
        <f>G6</f>
        <v>진주</v>
      </c>
      <c r="G1485" s="1509"/>
      <c r="H1485" s="99" t="str">
        <f>I6</f>
        <v>⇒</v>
      </c>
      <c r="I1485" s="96" t="str">
        <f>J6</f>
        <v>마산</v>
      </c>
      <c r="J1485" s="98" t="s">
        <v>131</v>
      </c>
    </row>
    <row r="1486" spans="1:10" ht="17.100000000000001" customHeight="1">
      <c r="A1486" s="392" t="s">
        <v>180</v>
      </c>
      <c r="B1486" s="510"/>
      <c r="C1486" s="95">
        <f>ROUND(0.64+(8.84/C1488)+(3.97+107/C1488)*C1487,4)</f>
        <v>1.0750999999999999</v>
      </c>
      <c r="D1486" s="392" t="s">
        <v>88</v>
      </c>
      <c r="F1486" s="392" t="s">
        <v>180</v>
      </c>
      <c r="I1486" s="95">
        <f>ROUND(0.64+(8.84/I1488)+(3.97+107/I1488)*I1487,4)</f>
        <v>1.0750999999999999</v>
      </c>
      <c r="J1486" s="392" t="s">
        <v>88</v>
      </c>
    </row>
    <row r="1487" spans="1:10" ht="17.100000000000001" customHeight="1">
      <c r="A1487" s="392" t="s">
        <v>89</v>
      </c>
      <c r="B1487" s="510"/>
      <c r="C1487" s="796">
        <f>IF(H34=A38,$L$39/100,IF(H34=A40,$L$39/100,IF(H34=A42,$L$39/100,IF(H34=A44,$L$39/100,IF(H34=A46,$L$39/100)))))</f>
        <v>4.9100000000000005E-2</v>
      </c>
      <c r="D1487" s="392" t="s">
        <v>1</v>
      </c>
      <c r="F1487" s="392" t="s">
        <v>89</v>
      </c>
      <c r="I1487" s="796">
        <f>IF(H51=A55,$L56/100,IF(H51=A57,$L56/100,IF(H51=A59,$L56/100,IF(H51=A61,$L56/100,IF(H51=A63,$L56/100)))))</f>
        <v>4.9100000000000005E-2</v>
      </c>
    </row>
    <row r="1488" spans="1:10" ht="17.100000000000001" customHeight="1">
      <c r="A1488" s="421" t="s">
        <v>90</v>
      </c>
      <c r="C1488" s="797">
        <f>C18</f>
        <v>58.672159999999998</v>
      </c>
      <c r="D1488" s="392" t="s">
        <v>88</v>
      </c>
      <c r="F1488" s="421" t="s">
        <v>90</v>
      </c>
      <c r="I1488" s="798">
        <f>H18</f>
        <v>58.672159999999998</v>
      </c>
      <c r="J1488" s="392" t="s">
        <v>88</v>
      </c>
    </row>
    <row r="1489" spans="1:10" ht="17.100000000000001" customHeight="1">
      <c r="A1489" s="421" t="s">
        <v>91</v>
      </c>
      <c r="C1489" s="510">
        <f>C20</f>
        <v>7.8945309999999997</v>
      </c>
      <c r="D1489" s="392" t="s">
        <v>92</v>
      </c>
      <c r="F1489" s="421" t="s">
        <v>91</v>
      </c>
      <c r="I1489" s="395">
        <f>H20</f>
        <v>7.8949999999999996</v>
      </c>
      <c r="J1489" s="392" t="s">
        <v>92</v>
      </c>
    </row>
    <row r="1490" spans="1:10" ht="17.100000000000001" customHeight="1">
      <c r="A1490" s="392" t="s">
        <v>93</v>
      </c>
      <c r="C1490" s="322">
        <v>2.5</v>
      </c>
      <c r="D1490" s="392" t="s">
        <v>94</v>
      </c>
      <c r="F1490" s="392" t="s">
        <v>93</v>
      </c>
      <c r="I1490" s="323">
        <f>C1490</f>
        <v>2.5</v>
      </c>
      <c r="J1490" s="392" t="s">
        <v>94</v>
      </c>
    </row>
    <row r="1491" spans="1:10" ht="17.100000000000001" customHeight="1">
      <c r="A1491" s="392" t="s">
        <v>95</v>
      </c>
      <c r="C1491" s="395">
        <v>0.6</v>
      </c>
      <c r="F1491" s="392" t="s">
        <v>95</v>
      </c>
      <c r="I1491" s="395">
        <f>C1491</f>
        <v>0.6</v>
      </c>
    </row>
    <row r="1492" spans="1:10" ht="17.100000000000001" customHeight="1">
      <c r="A1492" s="392" t="s">
        <v>96</v>
      </c>
      <c r="C1492" s="395">
        <v>2.5000000000000001E-2</v>
      </c>
      <c r="F1492" s="392" t="s">
        <v>96</v>
      </c>
      <c r="I1492" s="395">
        <f>C1492</f>
        <v>2.5000000000000001E-2</v>
      </c>
    </row>
    <row r="1493" spans="1:10" ht="17.100000000000001" customHeight="1">
      <c r="A1493" s="392" t="s">
        <v>97</v>
      </c>
      <c r="C1493" s="395">
        <v>1.2</v>
      </c>
      <c r="F1493" s="392" t="s">
        <v>97</v>
      </c>
      <c r="I1493" s="395">
        <f>C1493</f>
        <v>1.2</v>
      </c>
    </row>
    <row r="1494" spans="1:10" ht="17.100000000000001" customHeight="1">
      <c r="A1494" s="421" t="s">
        <v>4</v>
      </c>
      <c r="B1494" s="510" t="s">
        <v>1</v>
      </c>
      <c r="C1494" s="510">
        <f>C17</f>
        <v>1000</v>
      </c>
      <c r="D1494" s="421" t="s">
        <v>92</v>
      </c>
      <c r="E1494" s="510"/>
      <c r="F1494" s="421" t="s">
        <v>4</v>
      </c>
      <c r="H1494" s="510" t="s">
        <v>1</v>
      </c>
      <c r="I1494" s="510">
        <f>H17</f>
        <v>904.56</v>
      </c>
      <c r="J1494" s="421" t="s">
        <v>92</v>
      </c>
    </row>
    <row r="1495" spans="1:10" ht="17.100000000000001" customHeight="1">
      <c r="A1495" s="421"/>
      <c r="E1495" s="510"/>
      <c r="F1495" s="510"/>
      <c r="H1495" s="421"/>
    </row>
    <row r="1496" spans="1:10" ht="17.100000000000001" customHeight="1">
      <c r="A1496" s="421" t="str">
        <f>CONCATENATE("◆ Ae = 0.64+8.84/",C1488,"+(3.97+107/",C1488,")*",C1487,"")</f>
        <v>◆ Ae = 0.64+8.84/58.67216+(3.97+107/58.67216)*0.0491</v>
      </c>
      <c r="B1496" s="510"/>
      <c r="C1496" s="510"/>
      <c r="D1496" s="510"/>
      <c r="E1496" s="510"/>
      <c r="F1496" s="421" t="str">
        <f>CONCATENATE("◆ Ae = 0.64+8.84/",I1488,"+(3.97+107/",I1488,")*",I1487,"")</f>
        <v>◆ Ae = 0.64+8.84/58.67216+(3.97+107/58.67216)*0.0491</v>
      </c>
      <c r="H1496" s="421"/>
    </row>
    <row r="1497" spans="1:10" ht="17.100000000000001" customHeight="1">
      <c r="B1497" s="510"/>
      <c r="C1497" s="510"/>
      <c r="D1497" s="510"/>
      <c r="E1497" s="510"/>
      <c r="F1497" s="510"/>
      <c r="G1497" s="510"/>
      <c r="H1497" s="421"/>
      <c r="I1497" s="421"/>
    </row>
    <row r="1498" spans="1:10" ht="17.100000000000001" customHeight="1">
      <c r="B1498" s="510"/>
      <c r="C1498" s="510"/>
      <c r="D1498" s="510"/>
      <c r="E1498" s="510"/>
      <c r="F1498" s="510"/>
      <c r="G1498" s="510"/>
      <c r="H1498" s="421"/>
      <c r="I1498" s="421"/>
    </row>
    <row r="1499" spans="1:10" ht="17.100000000000001" customHeight="1">
      <c r="B1499" s="510"/>
      <c r="C1499" s="510"/>
      <c r="D1499" s="510"/>
      <c r="E1499" s="510"/>
      <c r="F1499" s="510"/>
      <c r="G1499" s="510"/>
      <c r="H1499" s="421"/>
      <c r="I1499" s="421"/>
    </row>
    <row r="1500" spans="1:10" ht="17.100000000000001" customHeight="1">
      <c r="B1500" s="510"/>
      <c r="C1500" s="510"/>
      <c r="D1500" s="510"/>
      <c r="E1500" s="510"/>
      <c r="F1500" s="510"/>
      <c r="G1500" s="510"/>
      <c r="H1500" s="421"/>
      <c r="I1500" s="421"/>
    </row>
    <row r="1501" spans="1:10" ht="20.100000000000001" customHeight="1">
      <c r="A1501" s="92" t="s">
        <v>473</v>
      </c>
      <c r="B1501" s="510"/>
      <c r="C1501" s="510"/>
      <c r="D1501" s="510"/>
      <c r="E1501" s="510"/>
      <c r="F1501" s="510"/>
      <c r="G1501" s="510"/>
      <c r="H1501" s="421"/>
      <c r="I1501" s="421"/>
    </row>
    <row r="1502" spans="1:10" ht="20.100000000000001" customHeight="1" thickBot="1">
      <c r="A1502" s="96" t="str">
        <f>A1485</f>
        <v>마산</v>
      </c>
      <c r="B1502" s="97" t="str">
        <f>B1485</f>
        <v>⇒</v>
      </c>
      <c r="C1502" s="96" t="str">
        <f>C1485</f>
        <v>진주</v>
      </c>
      <c r="D1502" s="100" t="s">
        <v>140</v>
      </c>
      <c r="E1502" s="510"/>
      <c r="F1502" s="510"/>
      <c r="G1502" s="510"/>
      <c r="H1502" s="421"/>
      <c r="I1502" s="421"/>
    </row>
    <row r="1503" spans="1:10" ht="20.100000000000001" customHeight="1">
      <c r="A1503" s="387" t="s">
        <v>320</v>
      </c>
      <c r="B1503" s="658">
        <v>10</v>
      </c>
      <c r="C1503" s="799">
        <v>20</v>
      </c>
      <c r="D1503" s="799">
        <v>30</v>
      </c>
      <c r="E1503" s="799">
        <v>40</v>
      </c>
      <c r="F1503" s="799">
        <v>50</v>
      </c>
      <c r="G1503" s="799">
        <v>60</v>
      </c>
      <c r="H1503" s="799">
        <v>70</v>
      </c>
      <c r="I1503" s="721">
        <v>80</v>
      </c>
    </row>
    <row r="1504" spans="1:10" ht="20.100000000000001" customHeight="1">
      <c r="A1504" s="505" t="s">
        <v>98</v>
      </c>
      <c r="B1504" s="504">
        <f>K235</f>
        <v>1060</v>
      </c>
      <c r="C1504" s="800">
        <f>$K237</f>
        <v>1536</v>
      </c>
      <c r="D1504" s="800">
        <f>$K239</f>
        <v>1779</v>
      </c>
      <c r="E1504" s="800">
        <f>$K241</f>
        <v>1867</v>
      </c>
      <c r="F1504" s="800">
        <f>$K243</f>
        <v>1944</v>
      </c>
      <c r="G1504" s="800">
        <f>$K245</f>
        <v>1925</v>
      </c>
      <c r="H1504" s="800">
        <f>$K247</f>
        <v>1906</v>
      </c>
      <c r="I1504" s="801">
        <f>K249</f>
        <v>1944</v>
      </c>
    </row>
    <row r="1505" spans="1:14" ht="20.100000000000001" customHeight="1">
      <c r="A1505" s="505" t="s">
        <v>99</v>
      </c>
      <c r="B1505" s="504">
        <f t="shared" ref="B1505:I1505" si="697">ROUND(B1504*$C$1494/3600/B1506+0.4,0)</f>
        <v>106</v>
      </c>
      <c r="C1505" s="800">
        <f t="shared" si="697"/>
        <v>77</v>
      </c>
      <c r="D1505" s="800">
        <f t="shared" si="697"/>
        <v>60</v>
      </c>
      <c r="E1505" s="800">
        <f t="shared" si="697"/>
        <v>47</v>
      </c>
      <c r="F1505" s="800">
        <f t="shared" si="697"/>
        <v>39</v>
      </c>
      <c r="G1505" s="800">
        <f t="shared" si="697"/>
        <v>32</v>
      </c>
      <c r="H1505" s="800">
        <f t="shared" si="697"/>
        <v>28</v>
      </c>
      <c r="I1505" s="801">
        <f t="shared" si="697"/>
        <v>25</v>
      </c>
    </row>
    <row r="1506" spans="1:14" ht="20.100000000000001" customHeight="1">
      <c r="A1506" s="101" t="s">
        <v>100</v>
      </c>
      <c r="B1506" s="504">
        <f t="shared" ref="B1506:I1506" si="698">ROUND(B1503/3.6,2)</f>
        <v>2.78</v>
      </c>
      <c r="C1506" s="800">
        <f t="shared" si="698"/>
        <v>5.56</v>
      </c>
      <c r="D1506" s="800">
        <f t="shared" si="698"/>
        <v>8.33</v>
      </c>
      <c r="E1506" s="800">
        <f t="shared" si="698"/>
        <v>11.11</v>
      </c>
      <c r="F1506" s="800">
        <f t="shared" si="698"/>
        <v>13.89</v>
      </c>
      <c r="G1506" s="800">
        <f t="shared" si="698"/>
        <v>16.670000000000002</v>
      </c>
      <c r="H1506" s="800">
        <f t="shared" si="698"/>
        <v>19.440000000000001</v>
      </c>
      <c r="I1506" s="801">
        <f t="shared" si="698"/>
        <v>22.22</v>
      </c>
    </row>
    <row r="1507" spans="1:14" ht="20.100000000000001" customHeight="1">
      <c r="A1507" s="505" t="s">
        <v>101</v>
      </c>
      <c r="B1507" s="802">
        <f t="shared" ref="B1507:I1507" si="699">ROUND($C$1486/$C$1488*B1505/(1+$C$1491+$C$1492*$C$1494/$C$1489),4)</f>
        <v>0.40749999999999997</v>
      </c>
      <c r="C1507" s="800">
        <f t="shared" si="699"/>
        <v>0.29599999999999999</v>
      </c>
      <c r="D1507" s="800">
        <f t="shared" si="699"/>
        <v>0.2306</v>
      </c>
      <c r="E1507" s="800">
        <f t="shared" si="699"/>
        <v>0.1807</v>
      </c>
      <c r="F1507" s="800">
        <f t="shared" si="699"/>
        <v>0.14990000000000001</v>
      </c>
      <c r="G1507" s="800">
        <f t="shared" si="699"/>
        <v>0.123</v>
      </c>
      <c r="H1507" s="800">
        <f t="shared" si="699"/>
        <v>0.1076</v>
      </c>
      <c r="I1507" s="801">
        <f t="shared" si="699"/>
        <v>9.6100000000000005E-2</v>
      </c>
    </row>
    <row r="1508" spans="1:14" ht="20.100000000000001" customHeight="1">
      <c r="A1508" s="505" t="s">
        <v>470</v>
      </c>
      <c r="B1508" s="811" t="e">
        <f>IF($K$1509=1,ROUND(SQRT(B1507*B1506^2-(1-B1507)*$C$1490^2),4),ROUND(SQRT(-B1507*B1506^2+(1+B1507)*$C$1490^2),4))</f>
        <v>#NUM!</v>
      </c>
      <c r="C1508" s="812">
        <f t="shared" ref="C1508:I1508" si="700">IF($K$1509=1,ROUND(SQRT(C1507*C1506^2-(1-C1507)*$C$1490^2),4),ROUND(SQRT(-C1507*C1506^2+(1+C1507)*$C$1490^2),4))</f>
        <v>2.1795</v>
      </c>
      <c r="D1508" s="812">
        <f t="shared" si="700"/>
        <v>3.3454999999999999</v>
      </c>
      <c r="E1508" s="812">
        <f t="shared" si="700"/>
        <v>4.1452999999999998</v>
      </c>
      <c r="F1508" s="812">
        <f t="shared" si="700"/>
        <v>4.8586999999999998</v>
      </c>
      <c r="G1508" s="812">
        <f t="shared" si="700"/>
        <v>5.3571999999999997</v>
      </c>
      <c r="H1508" s="812">
        <f t="shared" si="700"/>
        <v>5.9233000000000002</v>
      </c>
      <c r="I1508" s="886">
        <f t="shared" si="700"/>
        <v>6.4650999999999996</v>
      </c>
      <c r="K1508" s="395" t="s">
        <v>226</v>
      </c>
    </row>
    <row r="1509" spans="1:14" ht="20.100000000000001" customHeight="1">
      <c r="A1509" s="803" t="s">
        <v>102</v>
      </c>
      <c r="B1509" s="887" t="e">
        <f>IF(K1509=1,ROUND((-B1507*B1506+B1508)/(1-B1507),4),-ROUND((-B1507*B1506+B1508)/(1+B1507),4))</f>
        <v>#NUM!</v>
      </c>
      <c r="C1509" s="888">
        <f t="shared" ref="C1509:I1509" si="701">ROUND((-C1507*C1506+C1508)/(1-C1507),4)</f>
        <v>0.75819999999999999</v>
      </c>
      <c r="D1509" s="888">
        <f t="shared" si="701"/>
        <v>1.8515999999999999</v>
      </c>
      <c r="E1509" s="890">
        <f t="shared" si="701"/>
        <v>2.6092</v>
      </c>
      <c r="F1509" s="891">
        <f t="shared" si="701"/>
        <v>3.2662</v>
      </c>
      <c r="G1509" s="888">
        <f t="shared" si="701"/>
        <v>3.7706</v>
      </c>
      <c r="H1509" s="890">
        <f t="shared" si="701"/>
        <v>4.2934999999999999</v>
      </c>
      <c r="I1509" s="892">
        <f t="shared" si="701"/>
        <v>4.7900999999999998</v>
      </c>
      <c r="K1509" s="804">
        <v>1</v>
      </c>
    </row>
    <row r="1510" spans="1:14" ht="20.100000000000001" customHeight="1">
      <c r="A1510" s="805" t="s">
        <v>103</v>
      </c>
      <c r="B1510" s="102" t="e">
        <f t="shared" ref="B1510:I1510" si="702">IF(ROUND(B1509*$C$1488,3)-INT(B1509*$C$1488)&gt;=0.1,ROUNDUP(B1509*$C$1488,0),IF(ROUND(B1509*$C$1488,3)-INT(B1509*$C$1488)&lt;0.1,INT(B1509*$C$1488)))</f>
        <v>#NUM!</v>
      </c>
      <c r="C1510" s="103">
        <f t="shared" si="702"/>
        <v>45</v>
      </c>
      <c r="D1510" s="103">
        <f t="shared" si="702"/>
        <v>109</v>
      </c>
      <c r="E1510" s="103">
        <f t="shared" si="702"/>
        <v>153</v>
      </c>
      <c r="F1510" s="103">
        <f t="shared" si="702"/>
        <v>192</v>
      </c>
      <c r="G1510" s="103">
        <f t="shared" si="702"/>
        <v>222</v>
      </c>
      <c r="H1510" s="103">
        <f t="shared" si="702"/>
        <v>252</v>
      </c>
      <c r="I1510" s="104">
        <f t="shared" si="702"/>
        <v>281</v>
      </c>
    </row>
    <row r="1511" spans="1:14" ht="20.100000000000001" customHeight="1">
      <c r="A1511" s="806" t="s">
        <v>104</v>
      </c>
      <c r="B1511" s="807">
        <f t="shared" ref="B1511:I1511" si="703">C704</f>
        <v>6</v>
      </c>
      <c r="C1511" s="808">
        <f t="shared" si="703"/>
        <v>9</v>
      </c>
      <c r="D1511" s="808">
        <f t="shared" si="703"/>
        <v>9</v>
      </c>
      <c r="E1511" s="808">
        <f t="shared" si="703"/>
        <v>10</v>
      </c>
      <c r="F1511" s="808">
        <f t="shared" si="703"/>
        <v>14</v>
      </c>
      <c r="G1511" s="808">
        <f t="shared" si="703"/>
        <v>14</v>
      </c>
      <c r="H1511" s="808">
        <f t="shared" si="703"/>
        <v>14</v>
      </c>
      <c r="I1511" s="809">
        <f t="shared" si="703"/>
        <v>14</v>
      </c>
      <c r="K1511" s="566"/>
      <c r="L1511" s="566"/>
      <c r="M1511" s="566"/>
    </row>
    <row r="1512" spans="1:14" ht="20.100000000000001" customHeight="1">
      <c r="A1512" s="810" t="s">
        <v>192</v>
      </c>
      <c r="B1512" s="105">
        <f>'환기용량 산정(제트팬식)'!B27</f>
        <v>9.5492000000000008</v>
      </c>
      <c r="C1512" s="106">
        <f>'환기용량 산정(제트팬식)'!C27</f>
        <v>-6.8034999999999997</v>
      </c>
      <c r="D1512" s="106">
        <f>'환기용량 산정(제트팬식)'!D27</f>
        <v>-26.1601</v>
      </c>
      <c r="E1512" s="106">
        <f>'환기용량 산정(제트팬식)'!E27</f>
        <v>-43.881600000000006</v>
      </c>
      <c r="F1512" s="106">
        <f>'환기용량 산정(제트팬식)'!F27</f>
        <v>-61.869299999999996</v>
      </c>
      <c r="G1512" s="106">
        <f>'환기용량 산정(제트팬식)'!G27</f>
        <v>-76.949600000000004</v>
      </c>
      <c r="H1512" s="106">
        <f>'환기용량 산정(제트팬식)'!H27</f>
        <v>-95.460899999999995</v>
      </c>
      <c r="I1512" s="107">
        <f>'환기용량 산정(제트팬식)'!I27</f>
        <v>-114.76819999999999</v>
      </c>
      <c r="K1512" s="566"/>
      <c r="L1512" s="566"/>
      <c r="M1512" s="566"/>
      <c r="N1512" s="566"/>
    </row>
    <row r="1513" spans="1:14" ht="20.100000000000001" customHeight="1">
      <c r="A1513" s="505" t="s">
        <v>105</v>
      </c>
      <c r="B1513" s="807">
        <f t="shared" ref="B1513:I1513" si="704">C1078</f>
        <v>15</v>
      </c>
      <c r="C1513" s="808">
        <f t="shared" si="704"/>
        <v>13</v>
      </c>
      <c r="D1513" s="808">
        <f t="shared" si="704"/>
        <v>9</v>
      </c>
      <c r="E1513" s="808">
        <f t="shared" si="704"/>
        <v>8</v>
      </c>
      <c r="F1513" s="808">
        <f t="shared" si="704"/>
        <v>7</v>
      </c>
      <c r="G1513" s="808">
        <f t="shared" si="704"/>
        <v>6</v>
      </c>
      <c r="H1513" s="808">
        <f t="shared" si="704"/>
        <v>7</v>
      </c>
      <c r="I1513" s="809">
        <f t="shared" si="704"/>
        <v>7</v>
      </c>
      <c r="K1513" s="566"/>
      <c r="L1513" s="566"/>
      <c r="M1513" s="566"/>
      <c r="N1513" s="566"/>
    </row>
    <row r="1514" spans="1:14" ht="20.100000000000001" customHeight="1">
      <c r="A1514" s="810" t="s">
        <v>192</v>
      </c>
      <c r="B1514" s="105">
        <f>'환기용량 산정(제트팬식)'!K27</f>
        <v>10.6363</v>
      </c>
      <c r="C1514" s="106">
        <f>'환기용량 산정(제트팬식)'!L27</f>
        <v>-6.1101000000000028</v>
      </c>
      <c r="D1514" s="106">
        <f>'환기용량 산정(제트팬식)'!M27</f>
        <v>-26.1601</v>
      </c>
      <c r="E1514" s="106">
        <f>'환기용량 산정(제트팬식)'!N27</f>
        <v>-44.296399999999998</v>
      </c>
      <c r="F1514" s="106">
        <f>'환기용량 산정(제트팬식)'!O27</f>
        <v>-63.394100000000009</v>
      </c>
      <c r="G1514" s="106">
        <f>'환기용량 산정(제트팬식)'!P27</f>
        <v>-78.664899999999989</v>
      </c>
      <c r="H1514" s="106">
        <f>'환기용량 산정(제트팬식)'!Q27</f>
        <v>-96.997700000000009</v>
      </c>
      <c r="I1514" s="107">
        <f>'환기용량 산정(제트팬식)'!R27</f>
        <v>-116.33580000000001</v>
      </c>
      <c r="K1514" s="566"/>
      <c r="L1514" s="566"/>
      <c r="M1514" s="566"/>
      <c r="N1514" s="566"/>
    </row>
    <row r="1515" spans="1:14" ht="20.100000000000001" customHeight="1">
      <c r="A1515" s="505" t="s">
        <v>471</v>
      </c>
      <c r="B1515" s="811">
        <f t="shared" ref="B1515:I1515" si="705">C1453</f>
        <v>3</v>
      </c>
      <c r="C1515" s="812">
        <f t="shared" si="705"/>
        <v>2</v>
      </c>
      <c r="D1515" s="812">
        <f t="shared" si="705"/>
        <v>2</v>
      </c>
      <c r="E1515" s="812">
        <f t="shared" si="705"/>
        <v>2</v>
      </c>
      <c r="F1515" s="812">
        <f t="shared" si="705"/>
        <v>1</v>
      </c>
      <c r="G1515" s="812">
        <f t="shared" si="705"/>
        <v>1</v>
      </c>
      <c r="H1515" s="812">
        <f t="shared" si="705"/>
        <v>1</v>
      </c>
      <c r="I1515" s="801">
        <f t="shared" si="705"/>
        <v>1</v>
      </c>
      <c r="N1515" s="566"/>
    </row>
    <row r="1516" spans="1:14" ht="20.100000000000001" customHeight="1" thickBot="1">
      <c r="A1516" s="719" t="s">
        <v>192</v>
      </c>
      <c r="B1516" s="108">
        <f>'환기용량 산정(제트팬식)'!T27</f>
        <v>9.2042000000000002</v>
      </c>
      <c r="C1516" s="109">
        <f>'환기용량 산정(제트팬식)'!U27</f>
        <v>-7.971700000000002</v>
      </c>
      <c r="D1516" s="109">
        <f>'환기용량 산정(제트팬식)'!V27</f>
        <v>-27.520400000000002</v>
      </c>
      <c r="E1516" s="109">
        <f>'환기용량 산정(제트팬식)'!W27</f>
        <v>-45.511900000000004</v>
      </c>
      <c r="F1516" s="109">
        <f>'환기용량 산정(제트팬식)'!X27</f>
        <v>-64.646600000000007</v>
      </c>
      <c r="G1516" s="109">
        <f>'환기용량 산정(제트팬식)'!Y27</f>
        <v>-79.690899999999999</v>
      </c>
      <c r="H1516" s="109">
        <f>'환기용량 산정(제트팬식)'!Z27</f>
        <v>-98.2577</v>
      </c>
      <c r="I1516" s="110">
        <f>'환기용량 산정(제트팬식)'!AA27</f>
        <v>-117.62139999999999</v>
      </c>
    </row>
    <row r="1517" spans="1:14" ht="17.100000000000001" customHeight="1">
      <c r="A1517" s="111"/>
      <c r="B1517" s="510">
        <f>MAX(B1511,B1513,B1515)</f>
        <v>15</v>
      </c>
      <c r="C1517" s="510">
        <f t="shared" ref="C1517:I1517" si="706">MAX(C1511,C1513,C1515)</f>
        <v>13</v>
      </c>
      <c r="D1517" s="510">
        <f t="shared" si="706"/>
        <v>9</v>
      </c>
      <c r="E1517" s="510">
        <f t="shared" si="706"/>
        <v>10</v>
      </c>
      <c r="F1517" s="510">
        <f t="shared" si="706"/>
        <v>14</v>
      </c>
      <c r="G1517" s="510">
        <f t="shared" si="706"/>
        <v>14</v>
      </c>
      <c r="H1517" s="510">
        <f t="shared" si="706"/>
        <v>14</v>
      </c>
      <c r="I1517" s="510">
        <f t="shared" si="706"/>
        <v>14</v>
      </c>
    </row>
    <row r="1518" spans="1:14" ht="17.100000000000001" customHeight="1">
      <c r="A1518" s="111"/>
      <c r="B1518" s="510" t="str">
        <f>IF(B1517=B1511,"매연",IF(B1517=B1513,"CO",IF(B1517=B1515,"NOx")))</f>
        <v>CO</v>
      </c>
      <c r="C1518" s="510" t="str">
        <f t="shared" ref="C1518:I1518" si="707">IF(C1517=C1511,"매연",IF(C1517=C1513,"CO",IF(C1517=C1515,"NOx")))</f>
        <v>CO</v>
      </c>
      <c r="D1518" s="510" t="str">
        <f t="shared" si="707"/>
        <v>매연</v>
      </c>
      <c r="E1518" s="510" t="str">
        <f t="shared" si="707"/>
        <v>매연</v>
      </c>
      <c r="F1518" s="510" t="str">
        <f t="shared" si="707"/>
        <v>매연</v>
      </c>
      <c r="G1518" s="510" t="str">
        <f t="shared" si="707"/>
        <v>매연</v>
      </c>
      <c r="H1518" s="510" t="str">
        <f t="shared" si="707"/>
        <v>매연</v>
      </c>
      <c r="I1518" s="510" t="str">
        <f t="shared" si="707"/>
        <v>매연</v>
      </c>
    </row>
    <row r="1519" spans="1:14" ht="20.100000000000001" customHeight="1" thickBot="1">
      <c r="A1519" s="96" t="str">
        <f>F1485</f>
        <v>진주</v>
      </c>
      <c r="B1519" s="97" t="str">
        <f>H1485</f>
        <v>⇒</v>
      </c>
      <c r="C1519" s="96" t="str">
        <f>I1485</f>
        <v>마산</v>
      </c>
      <c r="D1519" s="100" t="s">
        <v>131</v>
      </c>
      <c r="E1519" s="421"/>
      <c r="F1519" s="421"/>
      <c r="G1519" s="421"/>
      <c r="H1519" s="421"/>
      <c r="I1519" s="421"/>
    </row>
    <row r="1520" spans="1:14" ht="20.100000000000001" customHeight="1">
      <c r="A1520" s="387" t="s">
        <v>320</v>
      </c>
      <c r="B1520" s="658">
        <v>10</v>
      </c>
      <c r="C1520" s="799">
        <v>20</v>
      </c>
      <c r="D1520" s="799">
        <v>30</v>
      </c>
      <c r="E1520" s="799">
        <v>40</v>
      </c>
      <c r="F1520" s="799">
        <v>50</v>
      </c>
      <c r="G1520" s="799">
        <v>60</v>
      </c>
      <c r="H1520" s="799">
        <v>70</v>
      </c>
      <c r="I1520" s="721">
        <v>80</v>
      </c>
    </row>
    <row r="1521" spans="1:11" ht="20.100000000000001" customHeight="1">
      <c r="A1521" s="505" t="s">
        <v>98</v>
      </c>
      <c r="B1521" s="504">
        <f>K364</f>
        <v>2119</v>
      </c>
      <c r="C1521" s="800">
        <f>K367</f>
        <v>3072</v>
      </c>
      <c r="D1521" s="800">
        <f>K370</f>
        <v>3558</v>
      </c>
      <c r="E1521" s="800">
        <f>K373</f>
        <v>3733</v>
      </c>
      <c r="F1521" s="800">
        <f>K376</f>
        <v>3888</v>
      </c>
      <c r="G1521" s="800">
        <f>K379</f>
        <v>3850</v>
      </c>
      <c r="H1521" s="800">
        <f>K382</f>
        <v>3811</v>
      </c>
      <c r="I1521" s="801">
        <f>K385</f>
        <v>3888</v>
      </c>
    </row>
    <row r="1522" spans="1:11" ht="20.100000000000001" customHeight="1">
      <c r="A1522" s="505" t="s">
        <v>99</v>
      </c>
      <c r="B1522" s="504">
        <f t="shared" ref="B1522:I1522" si="708">ROUND(B1521*$I$1494/3600/B1523+0.4,0)</f>
        <v>192</v>
      </c>
      <c r="C1522" s="800">
        <f t="shared" si="708"/>
        <v>139</v>
      </c>
      <c r="D1522" s="800">
        <f t="shared" si="708"/>
        <v>108</v>
      </c>
      <c r="E1522" s="800">
        <f t="shared" si="708"/>
        <v>85</v>
      </c>
      <c r="F1522" s="800">
        <f t="shared" si="708"/>
        <v>71</v>
      </c>
      <c r="G1522" s="800">
        <f t="shared" si="708"/>
        <v>58</v>
      </c>
      <c r="H1522" s="800">
        <f t="shared" si="708"/>
        <v>50</v>
      </c>
      <c r="I1522" s="801">
        <f t="shared" si="708"/>
        <v>44</v>
      </c>
    </row>
    <row r="1523" spans="1:11" ht="20.100000000000001" customHeight="1">
      <c r="A1523" s="101" t="s">
        <v>100</v>
      </c>
      <c r="B1523" s="504">
        <f t="shared" ref="B1523:I1523" si="709">ROUND(B1520/3.6,2)</f>
        <v>2.78</v>
      </c>
      <c r="C1523" s="800">
        <f t="shared" si="709"/>
        <v>5.56</v>
      </c>
      <c r="D1523" s="800">
        <f t="shared" si="709"/>
        <v>8.33</v>
      </c>
      <c r="E1523" s="800">
        <f t="shared" si="709"/>
        <v>11.11</v>
      </c>
      <c r="F1523" s="800">
        <f t="shared" si="709"/>
        <v>13.89</v>
      </c>
      <c r="G1523" s="800">
        <f t="shared" si="709"/>
        <v>16.670000000000002</v>
      </c>
      <c r="H1523" s="800">
        <f t="shared" si="709"/>
        <v>19.440000000000001</v>
      </c>
      <c r="I1523" s="801">
        <f t="shared" si="709"/>
        <v>22.22</v>
      </c>
    </row>
    <row r="1524" spans="1:11" ht="20.100000000000001" customHeight="1">
      <c r="A1524" s="505" t="s">
        <v>101</v>
      </c>
      <c r="B1524" s="504">
        <f t="shared" ref="B1524:I1524" si="710">ROUND($I$1486/$I$1488*B1522/(1+$I$1491+$I$1492*$I$1494/$I$1489),4)</f>
        <v>0.78810000000000002</v>
      </c>
      <c r="C1524" s="800">
        <f t="shared" si="710"/>
        <v>0.57050000000000001</v>
      </c>
      <c r="D1524" s="800">
        <f t="shared" si="710"/>
        <v>0.44330000000000003</v>
      </c>
      <c r="E1524" s="800">
        <f t="shared" si="710"/>
        <v>0.34889999999999999</v>
      </c>
      <c r="F1524" s="800">
        <f t="shared" si="710"/>
        <v>0.29139999999999999</v>
      </c>
      <c r="G1524" s="800">
        <f t="shared" si="710"/>
        <v>0.23810000000000001</v>
      </c>
      <c r="H1524" s="800">
        <f t="shared" si="710"/>
        <v>0.20519999999999999</v>
      </c>
      <c r="I1524" s="801">
        <f t="shared" si="710"/>
        <v>0.18060000000000001</v>
      </c>
    </row>
    <row r="1525" spans="1:11" ht="20.100000000000001" customHeight="1">
      <c r="A1525" s="505" t="s">
        <v>470</v>
      </c>
      <c r="B1525" s="811">
        <f>IF($K$1526=1,ROUND(SQRT(B1524*B1523^2-(1-B1524)*$C$1490^2),4),ROUND(SQRT(-B1524*B1523^2+(1+B1524)*$C$1490^2),4))</f>
        <v>2.1831999999999998</v>
      </c>
      <c r="C1525" s="812">
        <f t="shared" ref="C1525:I1525" si="711">IF($K$1526=1,ROUND(SQRT(C1524*C1523^2-(1-C1524)*$C$1490^2),4),ROUND(SQRT(-C1524*C1523^2+(1+C1524)*$C$1490^2),4))</f>
        <v>3.8668</v>
      </c>
      <c r="D1525" s="812">
        <f t="shared" si="711"/>
        <v>5.2230999999999996</v>
      </c>
      <c r="E1525" s="812">
        <f t="shared" si="711"/>
        <v>6.2446999999999999</v>
      </c>
      <c r="F1525" s="812">
        <f t="shared" si="711"/>
        <v>7.1966000000000001</v>
      </c>
      <c r="G1525" s="812">
        <f t="shared" si="711"/>
        <v>7.8360000000000003</v>
      </c>
      <c r="H1525" s="812">
        <f t="shared" si="711"/>
        <v>8.5193999999999992</v>
      </c>
      <c r="I1525" s="886">
        <f t="shared" si="711"/>
        <v>9.1677</v>
      </c>
      <c r="K1525" s="395" t="s">
        <v>226</v>
      </c>
    </row>
    <row r="1526" spans="1:11" ht="20.100000000000001" customHeight="1">
      <c r="A1526" s="803" t="s">
        <v>102</v>
      </c>
      <c r="B1526" s="887">
        <f>IF(K1526=1,ROUND((-B1524*B1523+B1525)/(1-B1524),4),-ROUND((-B1524*B1523+B1525)/(1+B1524),4))</f>
        <v>-3.6400000000000002E-2</v>
      </c>
      <c r="C1526" s="888">
        <f t="shared" ref="C1526:I1526" si="712">ROUND((-C1524*C1523+C1525)/(1-C1524),4)</f>
        <v>1.6176999999999999</v>
      </c>
      <c r="D1526" s="888">
        <f t="shared" si="712"/>
        <v>2.7490999999999999</v>
      </c>
      <c r="E1526" s="888">
        <f t="shared" si="712"/>
        <v>3.6375999999999999</v>
      </c>
      <c r="F1526" s="888">
        <f t="shared" si="712"/>
        <v>4.4440999999999997</v>
      </c>
      <c r="G1526" s="888">
        <f t="shared" si="712"/>
        <v>5.0753000000000004</v>
      </c>
      <c r="H1526" s="888">
        <f t="shared" si="712"/>
        <v>5.6999000000000004</v>
      </c>
      <c r="I1526" s="889">
        <f t="shared" si="712"/>
        <v>6.2908999999999997</v>
      </c>
      <c r="K1526" s="804">
        <v>1</v>
      </c>
    </row>
    <row r="1527" spans="1:11" ht="20.100000000000001" customHeight="1">
      <c r="A1527" s="805" t="s">
        <v>103</v>
      </c>
      <c r="B1527" s="102">
        <f t="shared" ref="B1527:I1527" si="713">IF(ROUND(B1526*$I$1488,3)-INT(B1526*$I$1488)&gt;=0.1,ROUNDUP(B1526*$I$1488,0),IF(ROUND(B1526*$I$1488,3)-INT(B1526*$I$1488)&lt;0.1,INT(B1526*$I$1488)))</f>
        <v>-3</v>
      </c>
      <c r="C1527" s="103">
        <f t="shared" si="713"/>
        <v>95</v>
      </c>
      <c r="D1527" s="103">
        <f t="shared" si="713"/>
        <v>162</v>
      </c>
      <c r="E1527" s="103">
        <f t="shared" si="713"/>
        <v>214</v>
      </c>
      <c r="F1527" s="103">
        <f t="shared" si="713"/>
        <v>261</v>
      </c>
      <c r="G1527" s="103">
        <f t="shared" si="713"/>
        <v>298</v>
      </c>
      <c r="H1527" s="103">
        <f t="shared" si="713"/>
        <v>335</v>
      </c>
      <c r="I1527" s="104">
        <f t="shared" si="713"/>
        <v>370</v>
      </c>
    </row>
    <row r="1528" spans="1:11" ht="20.100000000000001" customHeight="1">
      <c r="A1528" s="806" t="s">
        <v>104</v>
      </c>
      <c r="B1528" s="807">
        <f t="shared" ref="B1528:I1528" si="714">C725</f>
        <v>10</v>
      </c>
      <c r="C1528" s="808">
        <f t="shared" si="714"/>
        <v>16</v>
      </c>
      <c r="D1528" s="808">
        <f t="shared" si="714"/>
        <v>17</v>
      </c>
      <c r="E1528" s="808">
        <f t="shared" si="714"/>
        <v>18</v>
      </c>
      <c r="F1528" s="808">
        <f t="shared" si="714"/>
        <v>25</v>
      </c>
      <c r="G1528" s="808">
        <f t="shared" si="714"/>
        <v>25</v>
      </c>
      <c r="H1528" s="808">
        <f t="shared" si="714"/>
        <v>25</v>
      </c>
      <c r="I1528" s="813">
        <f t="shared" si="714"/>
        <v>26</v>
      </c>
    </row>
    <row r="1529" spans="1:11" ht="20.100000000000001" customHeight="1">
      <c r="A1529" s="810" t="s">
        <v>192</v>
      </c>
      <c r="B1529" s="105">
        <f>'환기용량 산정(제트팬식)'!B61</f>
        <v>2.4437999999999995</v>
      </c>
      <c r="C1529" s="106">
        <f>'환기용량 산정(제트팬식)'!C61</f>
        <v>-25.781399999999998</v>
      </c>
      <c r="D1529" s="106">
        <f>'환기용량 산정(제트팬식)'!D61</f>
        <v>-59.7941</v>
      </c>
      <c r="E1529" s="106">
        <f>'환기용량 산정(제트팬식)'!E61</f>
        <v>-92.0732</v>
      </c>
      <c r="F1529" s="106">
        <f>'환기용량 산정(제트팬식)'!F61</f>
        <v>-124.27620000000002</v>
      </c>
      <c r="G1529" s="106">
        <f>'환기용량 산정(제트팬식)'!G61</f>
        <v>-151.0308</v>
      </c>
      <c r="H1529" s="106">
        <f>'환기용량 산정(제트팬식)'!H61</f>
        <v>-181.5102</v>
      </c>
      <c r="I1529" s="107">
        <f>'환기용량 산정(제트팬식)'!I61</f>
        <v>-212.1431</v>
      </c>
    </row>
    <row r="1530" spans="1:11" ht="20.100000000000001" customHeight="1">
      <c r="A1530" s="806" t="s">
        <v>105</v>
      </c>
      <c r="B1530" s="807">
        <f t="shared" ref="B1530:I1530" si="715">C1099</f>
        <v>29</v>
      </c>
      <c r="C1530" s="808">
        <f t="shared" si="715"/>
        <v>28</v>
      </c>
      <c r="D1530" s="808">
        <f t="shared" si="715"/>
        <v>21</v>
      </c>
      <c r="E1530" s="808">
        <f t="shared" si="715"/>
        <v>19</v>
      </c>
      <c r="F1530" s="808">
        <f t="shared" si="715"/>
        <v>18</v>
      </c>
      <c r="G1530" s="808">
        <f t="shared" si="715"/>
        <v>17</v>
      </c>
      <c r="H1530" s="808">
        <f t="shared" si="715"/>
        <v>17</v>
      </c>
      <c r="I1530" s="813">
        <f t="shared" si="715"/>
        <v>19</v>
      </c>
    </row>
    <row r="1531" spans="1:11" ht="20.100000000000001" customHeight="1">
      <c r="A1531" s="810" t="s">
        <v>192</v>
      </c>
      <c r="B1531" s="105">
        <f>'환기용량 산정(제트팬식)'!K61</f>
        <v>6.3674999999999979</v>
      </c>
      <c r="C1531" s="106">
        <f>'환기용량 산정(제트팬식)'!L61</f>
        <v>-22.129799999999999</v>
      </c>
      <c r="D1531" s="106">
        <f>'환기용량 산정(제트팬식)'!M61</f>
        <v>-58.379199999999997</v>
      </c>
      <c r="E1531" s="106">
        <f>'환기용량 산정(제트팬식)'!N61</f>
        <v>-91.70150000000001</v>
      </c>
      <c r="F1531" s="106">
        <f>'환기용량 산정(제트팬식)'!O61</f>
        <v>-127.02920000000002</v>
      </c>
      <c r="G1531" s="106">
        <f>'환기용량 산정(제트팬식)'!P61</f>
        <v>-154.12990000000002</v>
      </c>
      <c r="H1531" s="106">
        <f>'환기용량 산정(제트팬식)'!Q61</f>
        <v>-184.63330000000002</v>
      </c>
      <c r="I1531" s="107">
        <f>'환기용량 산정(제트팬식)'!R61</f>
        <v>-214.90860000000001</v>
      </c>
    </row>
    <row r="1532" spans="1:11" ht="20.100000000000001" customHeight="1">
      <c r="A1532" s="505" t="s">
        <v>471</v>
      </c>
      <c r="B1532" s="811">
        <f t="shared" ref="B1532:I1532" si="716">C1474</f>
        <v>5</v>
      </c>
      <c r="C1532" s="812">
        <f t="shared" si="716"/>
        <v>4</v>
      </c>
      <c r="D1532" s="812">
        <f t="shared" si="716"/>
        <v>4</v>
      </c>
      <c r="E1532" s="812">
        <f t="shared" si="716"/>
        <v>3</v>
      </c>
      <c r="F1532" s="812">
        <f t="shared" si="716"/>
        <v>3</v>
      </c>
      <c r="G1532" s="812">
        <f t="shared" si="716"/>
        <v>3</v>
      </c>
      <c r="H1532" s="812">
        <f t="shared" si="716"/>
        <v>4</v>
      </c>
      <c r="I1532" s="814">
        <f t="shared" si="716"/>
        <v>4</v>
      </c>
    </row>
    <row r="1533" spans="1:11" ht="20.100000000000001" customHeight="1" thickBot="1">
      <c r="A1533" s="719" t="s">
        <v>192</v>
      </c>
      <c r="B1533" s="108">
        <f>'환기용량 산정(제트팬식)'!T61</f>
        <v>1.4314</v>
      </c>
      <c r="C1533" s="109">
        <f>'환기용량 산정(제트팬식)'!U61</f>
        <v>-29.336800000000004</v>
      </c>
      <c r="D1533" s="109">
        <f>'환기용량 산정(제트팬식)'!V61</f>
        <v>-64.293999999999997</v>
      </c>
      <c r="E1533" s="109">
        <f>'환기용량 산정(제트팬식)'!W61</f>
        <v>-97.542400000000001</v>
      </c>
      <c r="F1533" s="109">
        <f>'환기용량 산정(제트팬식)'!X61</f>
        <v>-132.74770000000001</v>
      </c>
      <c r="G1533" s="109">
        <f>'환기용량 산정(제트팬식)'!Y61</f>
        <v>-159.36840000000001</v>
      </c>
      <c r="H1533" s="109">
        <f>'환기용량 산정(제트팬식)'!Z61</f>
        <v>-189.53609999999998</v>
      </c>
      <c r="I1533" s="110">
        <f>'환기용량 산정(제트팬식)'!AA61</f>
        <v>-220.62330000000003</v>
      </c>
    </row>
    <row r="1534" spans="1:11" ht="17.100000000000001" customHeight="1">
      <c r="B1534" s="510">
        <f>MAX(B1528,B1530,B1532)</f>
        <v>29</v>
      </c>
      <c r="C1534" s="510">
        <f t="shared" ref="C1534:I1534" si="717">MAX(C1528,C1530,C1532)</f>
        <v>28</v>
      </c>
      <c r="D1534" s="510">
        <f t="shared" si="717"/>
        <v>21</v>
      </c>
      <c r="E1534" s="510">
        <f t="shared" si="717"/>
        <v>19</v>
      </c>
      <c r="F1534" s="510">
        <f t="shared" si="717"/>
        <v>25</v>
      </c>
      <c r="G1534" s="510">
        <f t="shared" si="717"/>
        <v>25</v>
      </c>
      <c r="H1534" s="510">
        <f t="shared" si="717"/>
        <v>25</v>
      </c>
      <c r="I1534" s="510">
        <f t="shared" si="717"/>
        <v>26</v>
      </c>
    </row>
    <row r="1535" spans="1:11" ht="17.100000000000001" customHeight="1">
      <c r="B1535" s="510" t="str">
        <f>IF(B1534=B1528,"매연",IF(B1534=B1530,"CO",IF(B1534=B1532,"NOx")))</f>
        <v>CO</v>
      </c>
      <c r="C1535" s="510" t="str">
        <f t="shared" ref="C1535" si="718">IF(C1534=C1528,"매연",IF(C1534=C1530,"CO",IF(C1534=C1532,"NOx")))</f>
        <v>CO</v>
      </c>
      <c r="D1535" s="510" t="str">
        <f t="shared" ref="D1535" si="719">IF(D1534=D1528,"매연",IF(D1534=D1530,"CO",IF(D1534=D1532,"NOx")))</f>
        <v>CO</v>
      </c>
      <c r="E1535" s="510" t="str">
        <f t="shared" ref="E1535" si="720">IF(E1534=E1528,"매연",IF(E1534=E1530,"CO",IF(E1534=E1532,"NOx")))</f>
        <v>CO</v>
      </c>
      <c r="F1535" s="510" t="str">
        <f t="shared" ref="F1535" si="721">IF(F1534=F1528,"매연",IF(F1534=F1530,"CO",IF(F1534=F1532,"NOx")))</f>
        <v>매연</v>
      </c>
      <c r="G1535" s="510" t="str">
        <f t="shared" ref="G1535" si="722">IF(G1534=G1528,"매연",IF(G1534=G1530,"CO",IF(G1534=G1532,"NOx")))</f>
        <v>매연</v>
      </c>
      <c r="H1535" s="510" t="str">
        <f t="shared" ref="H1535" si="723">IF(H1534=H1528,"매연",IF(H1534=H1530,"CO",IF(H1534=H1532,"NOx")))</f>
        <v>매연</v>
      </c>
      <c r="I1535" s="510" t="str">
        <f t="shared" ref="I1535" si="724">IF(I1534=I1528,"매연",IF(I1534=I1530,"CO",IF(I1534=I1532,"NOx")))</f>
        <v>매연</v>
      </c>
    </row>
    <row r="1536" spans="1:11" ht="17.100000000000001" customHeight="1">
      <c r="B1536" s="510"/>
      <c r="C1536" s="510"/>
      <c r="D1536" s="510"/>
      <c r="E1536" s="510"/>
      <c r="F1536" s="510"/>
      <c r="G1536" s="510"/>
      <c r="H1536" s="510"/>
      <c r="I1536" s="510"/>
    </row>
    <row r="1537" spans="1:10" ht="17.100000000000001" customHeight="1">
      <c r="B1537" s="510"/>
      <c r="C1537" s="510"/>
      <c r="D1537" s="510"/>
      <c r="E1537" s="510"/>
      <c r="F1537" s="510"/>
      <c r="G1537" s="510"/>
      <c r="H1537" s="510"/>
      <c r="I1537" s="510"/>
    </row>
    <row r="1538" spans="1:10" ht="20.100000000000001" customHeight="1" thickBot="1">
      <c r="A1538" s="92" t="s">
        <v>482</v>
      </c>
    </row>
    <row r="1539" spans="1:10" ht="20.100000000000001" customHeight="1">
      <c r="A1539" s="872" t="s">
        <v>363</v>
      </c>
      <c r="B1539" s="1419" t="s">
        <v>474</v>
      </c>
      <c r="C1539" s="1419"/>
      <c r="D1539" s="1419" t="s">
        <v>476</v>
      </c>
      <c r="E1539" s="1419"/>
      <c r="F1539" s="1419" t="s">
        <v>478</v>
      </c>
      <c r="G1539" s="1419"/>
      <c r="H1539" s="1419" t="s">
        <v>504</v>
      </c>
      <c r="I1539" s="1421"/>
    </row>
    <row r="1540" spans="1:10" ht="20.100000000000001" customHeight="1">
      <c r="A1540" s="795" t="str">
        <f>CONCATENATE(,C1502,"방향")</f>
        <v>진주방향</v>
      </c>
      <c r="B1540" s="874">
        <v>3</v>
      </c>
      <c r="C1540" s="875" t="s">
        <v>475</v>
      </c>
      <c r="D1540" s="878">
        <f>C18</f>
        <v>58.672159999999998</v>
      </c>
      <c r="E1540" s="875" t="s">
        <v>477</v>
      </c>
      <c r="F1540" s="880">
        <v>2800</v>
      </c>
      <c r="G1540" s="875" t="s">
        <v>479</v>
      </c>
      <c r="H1540" s="882">
        <f>ROUNDUP(D1540*F1540*B1540/3600,0)</f>
        <v>137</v>
      </c>
      <c r="I1540" s="883" t="s">
        <v>207</v>
      </c>
    </row>
    <row r="1541" spans="1:10" ht="20.100000000000001" customHeight="1" thickBot="1">
      <c r="A1541" s="873" t="str">
        <f>CONCATENATE(,C1519,"방향")</f>
        <v>마산방향</v>
      </c>
      <c r="B1541" s="876">
        <v>3</v>
      </c>
      <c r="C1541" s="877" t="s">
        <v>475</v>
      </c>
      <c r="D1541" s="879">
        <f>H18</f>
        <v>58.672159999999998</v>
      </c>
      <c r="E1541" s="877" t="s">
        <v>477</v>
      </c>
      <c r="F1541" s="881">
        <f>H17</f>
        <v>904.56</v>
      </c>
      <c r="G1541" s="877" t="s">
        <v>479</v>
      </c>
      <c r="H1541" s="884">
        <f>ROUNDUP(D1541*F1541*B1541/3600,0)</f>
        <v>45</v>
      </c>
      <c r="I1541" s="885" t="s">
        <v>207</v>
      </c>
    </row>
    <row r="1542" spans="1:10" ht="20.100000000000001" customHeight="1"/>
    <row r="1543" spans="1:10" ht="20.100000000000001" customHeight="1" thickBot="1">
      <c r="A1543" s="92" t="s">
        <v>503</v>
      </c>
    </row>
    <row r="1544" spans="1:10" ht="20.100000000000001" customHeight="1">
      <c r="A1544" s="872" t="s">
        <v>363</v>
      </c>
      <c r="B1544" s="1419" t="s">
        <v>480</v>
      </c>
      <c r="C1544" s="1419"/>
      <c r="D1544" s="1419" t="s">
        <v>476</v>
      </c>
      <c r="E1544" s="1419"/>
      <c r="F1544" s="1419" t="s">
        <v>478</v>
      </c>
      <c r="G1544" s="1419"/>
      <c r="H1544" s="1419" t="s">
        <v>505</v>
      </c>
      <c r="I1544" s="1421"/>
    </row>
    <row r="1545" spans="1:10" ht="20.100000000000001" customHeight="1">
      <c r="A1545" s="795" t="str">
        <f>A1540</f>
        <v>진주방향</v>
      </c>
      <c r="B1545" s="874">
        <v>1.5</v>
      </c>
      <c r="C1545" s="875" t="s">
        <v>481</v>
      </c>
      <c r="D1545" s="878">
        <f>D1540</f>
        <v>58.672159999999998</v>
      </c>
      <c r="E1545" s="875" t="s">
        <v>477</v>
      </c>
      <c r="F1545" s="880">
        <f>F1540</f>
        <v>2800</v>
      </c>
      <c r="G1545" s="875" t="s">
        <v>479</v>
      </c>
      <c r="H1545" s="882">
        <f>IF(F1545&lt;1000,0,ROUNDUP(B1545*D1545,0))</f>
        <v>89</v>
      </c>
      <c r="I1545" s="883" t="s">
        <v>207</v>
      </c>
    </row>
    <row r="1546" spans="1:10" ht="20.100000000000001" customHeight="1" thickBot="1">
      <c r="A1546" s="873" t="str">
        <f>A1541</f>
        <v>마산방향</v>
      </c>
      <c r="B1546" s="876">
        <v>1.5</v>
      </c>
      <c r="C1546" s="877" t="s">
        <v>481</v>
      </c>
      <c r="D1546" s="879">
        <f>D1541</f>
        <v>58.672159999999998</v>
      </c>
      <c r="E1546" s="877" t="s">
        <v>477</v>
      </c>
      <c r="F1546" s="881">
        <f>F1541</f>
        <v>904.56</v>
      </c>
      <c r="G1546" s="877" t="s">
        <v>479</v>
      </c>
      <c r="H1546" s="882">
        <f>IF(F1546&lt;1000,0,ROUNDUP(B1546*D1546,0))</f>
        <v>0</v>
      </c>
      <c r="I1546" s="885" t="s">
        <v>207</v>
      </c>
    </row>
    <row r="1547" spans="1:10" ht="17.100000000000001" customHeight="1"/>
    <row r="1548" spans="1:10" ht="24.95" customHeight="1">
      <c r="A1548" s="716" t="s">
        <v>506</v>
      </c>
    </row>
    <row r="1549" spans="1:10" ht="24.95" customHeight="1" thickBot="1">
      <c r="A1549" s="96" t="str">
        <f>A1502</f>
        <v>마산</v>
      </c>
      <c r="B1549" s="97" t="str">
        <f>B1502</f>
        <v>⇒</v>
      </c>
      <c r="C1549" s="96" t="str">
        <f>C1502</f>
        <v>진주</v>
      </c>
      <c r="D1549" s="100" t="s">
        <v>131</v>
      </c>
      <c r="E1549" s="510"/>
      <c r="F1549" s="510"/>
      <c r="G1549" s="510"/>
      <c r="H1549" s="421"/>
      <c r="I1549" s="421"/>
    </row>
    <row r="1550" spans="1:10" ht="24.95" customHeight="1">
      <c r="A1550" s="1418" t="s">
        <v>363</v>
      </c>
      <c r="B1550" s="1419"/>
      <c r="C1550" s="658" t="s">
        <v>492</v>
      </c>
      <c r="D1550" s="799" t="s">
        <v>493</v>
      </c>
      <c r="E1550" s="799" t="s">
        <v>494</v>
      </c>
      <c r="F1550" s="799" t="s">
        <v>495</v>
      </c>
      <c r="G1550" s="799" t="s">
        <v>496</v>
      </c>
      <c r="H1550" s="799" t="s">
        <v>497</v>
      </c>
      <c r="I1550" s="799" t="s">
        <v>498</v>
      </c>
      <c r="J1550" s="721" t="s">
        <v>499</v>
      </c>
    </row>
    <row r="1551" spans="1:10" ht="24.95" customHeight="1">
      <c r="A1551" s="1411" t="s">
        <v>486</v>
      </c>
      <c r="B1551" s="1420"/>
      <c r="C1551" s="910" t="e">
        <f t="shared" ref="C1551:J1552" si="725">B1510</f>
        <v>#NUM!</v>
      </c>
      <c r="D1551" s="911">
        <f t="shared" si="725"/>
        <v>45</v>
      </c>
      <c r="E1551" s="911">
        <f t="shared" si="725"/>
        <v>109</v>
      </c>
      <c r="F1551" s="911">
        <f t="shared" si="725"/>
        <v>153</v>
      </c>
      <c r="G1551" s="911">
        <f t="shared" si="725"/>
        <v>192</v>
      </c>
      <c r="H1551" s="911">
        <f t="shared" si="725"/>
        <v>222</v>
      </c>
      <c r="I1551" s="911">
        <f t="shared" si="725"/>
        <v>252</v>
      </c>
      <c r="J1551" s="912">
        <f t="shared" si="725"/>
        <v>281</v>
      </c>
    </row>
    <row r="1552" spans="1:10" ht="24.95" customHeight="1">
      <c r="A1552" s="1411" t="s">
        <v>231</v>
      </c>
      <c r="B1552" s="907" t="s">
        <v>507</v>
      </c>
      <c r="C1552" s="913">
        <f t="shared" si="725"/>
        <v>6</v>
      </c>
      <c r="D1552" s="914">
        <f t="shared" si="725"/>
        <v>9</v>
      </c>
      <c r="E1552" s="914">
        <f t="shared" si="725"/>
        <v>9</v>
      </c>
      <c r="F1552" s="914">
        <f t="shared" si="725"/>
        <v>10</v>
      </c>
      <c r="G1552" s="914">
        <f t="shared" si="725"/>
        <v>14</v>
      </c>
      <c r="H1552" s="914">
        <f t="shared" si="725"/>
        <v>14</v>
      </c>
      <c r="I1552" s="914">
        <f t="shared" si="725"/>
        <v>14</v>
      </c>
      <c r="J1552" s="915">
        <f t="shared" si="725"/>
        <v>14</v>
      </c>
    </row>
    <row r="1553" spans="1:10" ht="24.95" customHeight="1">
      <c r="A1553" s="1411"/>
      <c r="B1553" s="908" t="s">
        <v>508</v>
      </c>
      <c r="C1553" s="916">
        <f>'환기용량 산정(제트팬식)'!B31</f>
        <v>1</v>
      </c>
      <c r="D1553" s="917">
        <f>'환기용량 산정(제트팬식)'!C31</f>
        <v>0</v>
      </c>
      <c r="E1553" s="917">
        <f>'환기용량 산정(제트팬식)'!D31</f>
        <v>0</v>
      </c>
      <c r="F1553" s="917">
        <f>'환기용량 산정(제트팬식)'!E31</f>
        <v>0</v>
      </c>
      <c r="G1553" s="917">
        <f>'환기용량 산정(제트팬식)'!F31</f>
        <v>0</v>
      </c>
      <c r="H1553" s="917">
        <f>'환기용량 산정(제트팬식)'!G31</f>
        <v>0</v>
      </c>
      <c r="I1553" s="917">
        <f>'환기용량 산정(제트팬식)'!H31</f>
        <v>0</v>
      </c>
      <c r="J1553" s="918">
        <f>'환기용량 산정(제트팬식)'!I31</f>
        <v>0</v>
      </c>
    </row>
    <row r="1554" spans="1:10" ht="24.95" customHeight="1">
      <c r="A1554" s="1411" t="s">
        <v>483</v>
      </c>
      <c r="B1554" s="907" t="s">
        <v>507</v>
      </c>
      <c r="C1554" s="913">
        <f>B1513</f>
        <v>15</v>
      </c>
      <c r="D1554" s="914">
        <f t="shared" ref="D1554:J1554" si="726">C1513</f>
        <v>13</v>
      </c>
      <c r="E1554" s="914">
        <f t="shared" si="726"/>
        <v>9</v>
      </c>
      <c r="F1554" s="914">
        <f t="shared" si="726"/>
        <v>8</v>
      </c>
      <c r="G1554" s="914">
        <f t="shared" si="726"/>
        <v>7</v>
      </c>
      <c r="H1554" s="914">
        <f t="shared" si="726"/>
        <v>6</v>
      </c>
      <c r="I1554" s="914">
        <f t="shared" si="726"/>
        <v>7</v>
      </c>
      <c r="J1554" s="915">
        <f t="shared" si="726"/>
        <v>7</v>
      </c>
    </row>
    <row r="1555" spans="1:10" ht="24.95" customHeight="1">
      <c r="A1555" s="1411"/>
      <c r="B1555" s="908" t="s">
        <v>508</v>
      </c>
      <c r="C1555" s="916">
        <f>'환기용량 산정(제트팬식)'!K31</f>
        <v>1</v>
      </c>
      <c r="D1555" s="917">
        <f>'환기용량 산정(제트팬식)'!L31</f>
        <v>0</v>
      </c>
      <c r="E1555" s="917">
        <f>'환기용량 산정(제트팬식)'!M31</f>
        <v>0</v>
      </c>
      <c r="F1555" s="917">
        <f>'환기용량 산정(제트팬식)'!N31</f>
        <v>0</v>
      </c>
      <c r="G1555" s="917">
        <f>'환기용량 산정(제트팬식)'!O31</f>
        <v>0</v>
      </c>
      <c r="H1555" s="917">
        <f>'환기용량 산정(제트팬식)'!P31</f>
        <v>0</v>
      </c>
      <c r="I1555" s="917">
        <f>'환기용량 산정(제트팬식)'!Q31</f>
        <v>0</v>
      </c>
      <c r="J1555" s="918">
        <f>'환기용량 산정(제트팬식)'!R31</f>
        <v>0</v>
      </c>
    </row>
    <row r="1556" spans="1:10" ht="24.95" customHeight="1">
      <c r="A1556" s="1411" t="s">
        <v>515</v>
      </c>
      <c r="B1556" s="907" t="s">
        <v>507</v>
      </c>
      <c r="C1556" s="913">
        <f>B1515</f>
        <v>3</v>
      </c>
      <c r="D1556" s="914">
        <f t="shared" ref="D1556:J1556" si="727">C1515</f>
        <v>2</v>
      </c>
      <c r="E1556" s="914">
        <f t="shared" si="727"/>
        <v>2</v>
      </c>
      <c r="F1556" s="914">
        <f t="shared" si="727"/>
        <v>2</v>
      </c>
      <c r="G1556" s="914">
        <f t="shared" si="727"/>
        <v>1</v>
      </c>
      <c r="H1556" s="914">
        <f t="shared" si="727"/>
        <v>1</v>
      </c>
      <c r="I1556" s="914">
        <f t="shared" si="727"/>
        <v>1</v>
      </c>
      <c r="J1556" s="915">
        <f t="shared" si="727"/>
        <v>1</v>
      </c>
    </row>
    <row r="1557" spans="1:10" ht="24.95" customHeight="1">
      <c r="A1557" s="1411"/>
      <c r="B1557" s="908" t="s">
        <v>508</v>
      </c>
      <c r="C1557" s="916">
        <f>'환기용량 산정(제트팬식)'!T31</f>
        <v>1</v>
      </c>
      <c r="D1557" s="917">
        <f>'환기용량 산정(제트팬식)'!U31</f>
        <v>0</v>
      </c>
      <c r="E1557" s="917">
        <f>'환기용량 산정(제트팬식)'!V31</f>
        <v>0</v>
      </c>
      <c r="F1557" s="917">
        <f>'환기용량 산정(제트팬식)'!W31</f>
        <v>0</v>
      </c>
      <c r="G1557" s="917">
        <f>'환기용량 산정(제트팬식)'!X31</f>
        <v>0</v>
      </c>
      <c r="H1557" s="917">
        <f>'환기용량 산정(제트팬식)'!Y31</f>
        <v>0</v>
      </c>
      <c r="I1557" s="917">
        <f>'환기용량 산정(제트팬식)'!Z31</f>
        <v>0</v>
      </c>
      <c r="J1557" s="918">
        <f>'환기용량 산정(제트팬식)'!AA31</f>
        <v>0</v>
      </c>
    </row>
    <row r="1558" spans="1:10" ht="24.95" customHeight="1">
      <c r="A1558" s="1411" t="s">
        <v>484</v>
      </c>
      <c r="B1558" s="907" t="s">
        <v>507</v>
      </c>
      <c r="C1558" s="913">
        <f>H1540</f>
        <v>137</v>
      </c>
      <c r="D1558" s="914">
        <f>C1558</f>
        <v>137</v>
      </c>
      <c r="E1558" s="914">
        <f t="shared" ref="E1558:J1558" si="728">D1558</f>
        <v>137</v>
      </c>
      <c r="F1558" s="914">
        <f t="shared" si="728"/>
        <v>137</v>
      </c>
      <c r="G1558" s="914">
        <f t="shared" si="728"/>
        <v>137</v>
      </c>
      <c r="H1558" s="914">
        <f t="shared" si="728"/>
        <v>137</v>
      </c>
      <c r="I1558" s="914">
        <f t="shared" si="728"/>
        <v>137</v>
      </c>
      <c r="J1558" s="915">
        <f t="shared" si="728"/>
        <v>137</v>
      </c>
    </row>
    <row r="1559" spans="1:10" ht="24.95" customHeight="1">
      <c r="A1559" s="1411"/>
      <c r="B1559" s="908" t="s">
        <v>508</v>
      </c>
      <c r="C1559" s="916">
        <f>'환기용량 산정(제트팬식)'!AU31</f>
        <v>3</v>
      </c>
      <c r="D1559" s="917">
        <f>'환기용량 산정(제트팬식)'!AV31</f>
        <v>2</v>
      </c>
      <c r="E1559" s="917">
        <f>'환기용량 산정(제트팬식)'!AW31</f>
        <v>1</v>
      </c>
      <c r="F1559" s="917">
        <f>'환기용량 산정(제트팬식)'!AX31</f>
        <v>0</v>
      </c>
      <c r="G1559" s="917">
        <f>'환기용량 산정(제트팬식)'!AY31</f>
        <v>0</v>
      </c>
      <c r="H1559" s="917">
        <f>'환기용량 산정(제트팬식)'!AZ31</f>
        <v>0</v>
      </c>
      <c r="I1559" s="917">
        <f>'환기용량 산정(제트팬식)'!BA31</f>
        <v>0</v>
      </c>
      <c r="J1559" s="918">
        <f>'환기용량 산정(제트팬식)'!BB31</f>
        <v>0</v>
      </c>
    </row>
    <row r="1560" spans="1:10" ht="24.95" customHeight="1">
      <c r="A1560" s="1411" t="s">
        <v>485</v>
      </c>
      <c r="B1560" s="907" t="s">
        <v>507</v>
      </c>
      <c r="C1560" s="913">
        <f>H1545</f>
        <v>89</v>
      </c>
      <c r="D1560" s="914">
        <f>C1560</f>
        <v>89</v>
      </c>
      <c r="E1560" s="914">
        <f t="shared" ref="E1560:J1560" si="729">D1560</f>
        <v>89</v>
      </c>
      <c r="F1560" s="914">
        <f t="shared" si="729"/>
        <v>89</v>
      </c>
      <c r="G1560" s="914">
        <f t="shared" si="729"/>
        <v>89</v>
      </c>
      <c r="H1560" s="914">
        <f t="shared" si="729"/>
        <v>89</v>
      </c>
      <c r="I1560" s="914">
        <f t="shared" si="729"/>
        <v>89</v>
      </c>
      <c r="J1560" s="915">
        <f t="shared" si="729"/>
        <v>89</v>
      </c>
    </row>
    <row r="1561" spans="1:10" ht="24.95" customHeight="1" thickBot="1">
      <c r="A1561" s="1412"/>
      <c r="B1561" s="909" t="s">
        <v>508</v>
      </c>
      <c r="C1561" s="919">
        <f>'환기용량 산정(제트팬식)'!BD31</f>
        <v>2</v>
      </c>
      <c r="D1561" s="920">
        <f>'환기용량 산정(제트팬식)'!BE31</f>
        <v>1</v>
      </c>
      <c r="E1561" s="921">
        <f>'환기용량 산정(제트팬식)'!BF31</f>
        <v>0</v>
      </c>
      <c r="F1561" s="921">
        <f>'환기용량 산정(제트팬식)'!BG31</f>
        <v>0</v>
      </c>
      <c r="G1561" s="921">
        <f>'환기용량 산정(제트팬식)'!BH31</f>
        <v>0</v>
      </c>
      <c r="H1561" s="921">
        <f>'환기용량 산정(제트팬식)'!BI31</f>
        <v>0</v>
      </c>
      <c r="I1561" s="921">
        <f>'환기용량 산정(제트팬식)'!BJ31</f>
        <v>0</v>
      </c>
      <c r="J1561" s="922">
        <f>'환기용량 산정(제트팬식)'!BK31</f>
        <v>0</v>
      </c>
    </row>
    <row r="1562" spans="1:10" ht="24.95" customHeight="1">
      <c r="A1562" s="1413" t="s">
        <v>510</v>
      </c>
      <c r="B1562" s="1414"/>
      <c r="C1562" s="896">
        <f>MAX(C1552,C1554,C1556,C1558,C1560)</f>
        <v>137</v>
      </c>
      <c r="D1562" s="897">
        <f t="shared" ref="D1562:J1562" si="730">MAX(D1552,D1554,D1556,D1558,D1560)</f>
        <v>137</v>
      </c>
      <c r="E1562" s="897">
        <f t="shared" si="730"/>
        <v>137</v>
      </c>
      <c r="F1562" s="897">
        <f t="shared" si="730"/>
        <v>137</v>
      </c>
      <c r="G1562" s="897">
        <f t="shared" si="730"/>
        <v>137</v>
      </c>
      <c r="H1562" s="897">
        <f t="shared" si="730"/>
        <v>137</v>
      </c>
      <c r="I1562" s="897">
        <f t="shared" si="730"/>
        <v>137</v>
      </c>
      <c r="J1562" s="898">
        <f t="shared" si="730"/>
        <v>137</v>
      </c>
    </row>
    <row r="1563" spans="1:10" ht="24.95" customHeight="1">
      <c r="A1563" s="1412" t="s">
        <v>514</v>
      </c>
      <c r="B1563" s="894" t="s">
        <v>512</v>
      </c>
      <c r="C1563" s="899">
        <f>MAX(C1553,C1555,C1557,C1559,C1561)</f>
        <v>3</v>
      </c>
      <c r="D1563" s="900">
        <f t="shared" ref="D1563:J1563" si="731">MAX(D1553,D1555,D1557,D1559,D1561)</f>
        <v>2</v>
      </c>
      <c r="E1563" s="900">
        <f t="shared" si="731"/>
        <v>1</v>
      </c>
      <c r="F1563" s="900">
        <f t="shared" si="731"/>
        <v>0</v>
      </c>
      <c r="G1563" s="900">
        <f t="shared" si="731"/>
        <v>0</v>
      </c>
      <c r="H1563" s="900">
        <f t="shared" si="731"/>
        <v>0</v>
      </c>
      <c r="I1563" s="900">
        <f t="shared" si="731"/>
        <v>0</v>
      </c>
      <c r="J1563" s="901">
        <f t="shared" si="731"/>
        <v>0</v>
      </c>
    </row>
    <row r="1564" spans="1:10" ht="24.95" customHeight="1">
      <c r="A1564" s="1417"/>
      <c r="B1564" s="895" t="s">
        <v>513</v>
      </c>
      <c r="C1564" s="899">
        <f>'환기용량 산정(제트팬식)'!AC18</f>
        <v>7</v>
      </c>
      <c r="D1564" s="900">
        <f>'환기용량 산정(제트팬식)'!AD18</f>
        <v>7</v>
      </c>
      <c r="E1564" s="900">
        <f>'환기용량 산정(제트팬식)'!AE18</f>
        <v>7</v>
      </c>
      <c r="F1564" s="900">
        <f>'환기용량 산정(제트팬식)'!AF18</f>
        <v>7</v>
      </c>
      <c r="G1564" s="900">
        <f>'환기용량 산정(제트팬식)'!AG18</f>
        <v>6</v>
      </c>
      <c r="H1564" s="900">
        <f>'환기용량 산정(제트팬식)'!AH18</f>
        <v>6</v>
      </c>
      <c r="I1564" s="900">
        <f>'환기용량 산정(제트팬식)'!AI18</f>
        <v>6</v>
      </c>
      <c r="J1564" s="901">
        <f>'환기용량 산정(제트팬식)'!AJ18</f>
        <v>6</v>
      </c>
    </row>
    <row r="1565" spans="1:10" ht="24.95" customHeight="1" thickBot="1">
      <c r="A1565" s="1415" t="s">
        <v>489</v>
      </c>
      <c r="B1565" s="1416"/>
      <c r="C1565" s="923" t="e">
        <f>IF(C1562&gt;C1551,"기계환기","자연환기")</f>
        <v>#NUM!</v>
      </c>
      <c r="D1565" s="924" t="str">
        <f t="shared" ref="D1565:J1565" si="732">IF(D1562&gt;D1551,"기계환기","자연환기")</f>
        <v>기계환기</v>
      </c>
      <c r="E1565" s="924" t="str">
        <f t="shared" si="732"/>
        <v>기계환기</v>
      </c>
      <c r="F1565" s="924" t="str">
        <f t="shared" si="732"/>
        <v>자연환기</v>
      </c>
      <c r="G1565" s="924" t="str">
        <f t="shared" si="732"/>
        <v>자연환기</v>
      </c>
      <c r="H1565" s="924" t="str">
        <f t="shared" si="732"/>
        <v>자연환기</v>
      </c>
      <c r="I1565" s="924" t="str">
        <f t="shared" si="732"/>
        <v>자연환기</v>
      </c>
      <c r="J1565" s="925" t="str">
        <f t="shared" si="732"/>
        <v>자연환기</v>
      </c>
    </row>
    <row r="1566" spans="1:10" ht="24.95" customHeight="1"/>
    <row r="1567" spans="1:10" ht="24.95" customHeight="1" thickBot="1">
      <c r="A1567" s="96" t="str">
        <f>A1519</f>
        <v>진주</v>
      </c>
      <c r="B1567" s="97" t="str">
        <f>B1519</f>
        <v>⇒</v>
      </c>
      <c r="C1567" s="96" t="str">
        <f>C1519</f>
        <v>마산</v>
      </c>
      <c r="D1567" s="100" t="s">
        <v>131</v>
      </c>
      <c r="E1567" s="510"/>
      <c r="F1567" s="510"/>
      <c r="G1567" s="510"/>
      <c r="H1567" s="421"/>
      <c r="I1567" s="421"/>
    </row>
    <row r="1568" spans="1:10" ht="24.95" customHeight="1">
      <c r="A1568" s="1418" t="s">
        <v>363</v>
      </c>
      <c r="B1568" s="1419"/>
      <c r="C1568" s="658" t="s">
        <v>500</v>
      </c>
      <c r="D1568" s="799" t="s">
        <v>493</v>
      </c>
      <c r="E1568" s="799" t="s">
        <v>494</v>
      </c>
      <c r="F1568" s="799" t="s">
        <v>501</v>
      </c>
      <c r="G1568" s="799" t="s">
        <v>496</v>
      </c>
      <c r="H1568" s="799" t="s">
        <v>497</v>
      </c>
      <c r="I1568" s="799" t="s">
        <v>498</v>
      </c>
      <c r="J1568" s="721" t="s">
        <v>502</v>
      </c>
    </row>
    <row r="1569" spans="1:10" ht="24.95" customHeight="1">
      <c r="A1569" s="1411" t="s">
        <v>487</v>
      </c>
      <c r="B1569" s="1420"/>
      <c r="C1569" s="910">
        <f t="shared" ref="C1569:J1570" si="733">B1527</f>
        <v>-3</v>
      </c>
      <c r="D1569" s="911">
        <f t="shared" si="733"/>
        <v>95</v>
      </c>
      <c r="E1569" s="911">
        <f t="shared" si="733"/>
        <v>162</v>
      </c>
      <c r="F1569" s="911">
        <f t="shared" si="733"/>
        <v>214</v>
      </c>
      <c r="G1569" s="911">
        <f t="shared" si="733"/>
        <v>261</v>
      </c>
      <c r="H1569" s="911">
        <f t="shared" si="733"/>
        <v>298</v>
      </c>
      <c r="I1569" s="911">
        <f t="shared" si="733"/>
        <v>335</v>
      </c>
      <c r="J1569" s="912">
        <f t="shared" si="733"/>
        <v>370</v>
      </c>
    </row>
    <row r="1570" spans="1:10" ht="24.95" customHeight="1">
      <c r="A1570" s="1411" t="s">
        <v>231</v>
      </c>
      <c r="B1570" s="907" t="s">
        <v>507</v>
      </c>
      <c r="C1570" s="913">
        <f t="shared" si="733"/>
        <v>10</v>
      </c>
      <c r="D1570" s="914">
        <f t="shared" si="733"/>
        <v>16</v>
      </c>
      <c r="E1570" s="914">
        <f t="shared" si="733"/>
        <v>17</v>
      </c>
      <c r="F1570" s="914">
        <f t="shared" si="733"/>
        <v>18</v>
      </c>
      <c r="G1570" s="914">
        <f t="shared" si="733"/>
        <v>25</v>
      </c>
      <c r="H1570" s="914">
        <f t="shared" si="733"/>
        <v>25</v>
      </c>
      <c r="I1570" s="914">
        <f t="shared" si="733"/>
        <v>25</v>
      </c>
      <c r="J1570" s="915">
        <f t="shared" si="733"/>
        <v>26</v>
      </c>
    </row>
    <row r="1571" spans="1:10" ht="24.95" customHeight="1">
      <c r="A1571" s="1411"/>
      <c r="B1571" s="908" t="s">
        <v>508</v>
      </c>
      <c r="C1571" s="916">
        <f>'환기용량 산정(제트팬식)'!B65</f>
        <v>1</v>
      </c>
      <c r="D1571" s="917">
        <f>'환기용량 산정(제트팬식)'!C65</f>
        <v>0</v>
      </c>
      <c r="E1571" s="917">
        <f>'환기용량 산정(제트팬식)'!D65</f>
        <v>0</v>
      </c>
      <c r="F1571" s="917">
        <f>'환기용량 산정(제트팬식)'!E65</f>
        <v>0</v>
      </c>
      <c r="G1571" s="917">
        <f>'환기용량 산정(제트팬식)'!F65</f>
        <v>0</v>
      </c>
      <c r="H1571" s="917">
        <f>'환기용량 산정(제트팬식)'!G65</f>
        <v>0</v>
      </c>
      <c r="I1571" s="917">
        <f>'환기용량 산정(제트팬식)'!H65</f>
        <v>0</v>
      </c>
      <c r="J1571" s="918">
        <f>'환기용량 산정(제트팬식)'!I65</f>
        <v>0</v>
      </c>
    </row>
    <row r="1572" spans="1:10" ht="24.95" customHeight="1">
      <c r="A1572" s="1411" t="s">
        <v>483</v>
      </c>
      <c r="B1572" s="907" t="s">
        <v>507</v>
      </c>
      <c r="C1572" s="913">
        <f t="shared" ref="C1572:J1572" si="734">B1530</f>
        <v>29</v>
      </c>
      <c r="D1572" s="914">
        <f t="shared" si="734"/>
        <v>28</v>
      </c>
      <c r="E1572" s="914">
        <f t="shared" si="734"/>
        <v>21</v>
      </c>
      <c r="F1572" s="914">
        <f t="shared" si="734"/>
        <v>19</v>
      </c>
      <c r="G1572" s="914">
        <f t="shared" si="734"/>
        <v>18</v>
      </c>
      <c r="H1572" s="914">
        <f t="shared" si="734"/>
        <v>17</v>
      </c>
      <c r="I1572" s="914">
        <f t="shared" si="734"/>
        <v>17</v>
      </c>
      <c r="J1572" s="915">
        <f t="shared" si="734"/>
        <v>19</v>
      </c>
    </row>
    <row r="1573" spans="1:10" ht="24.95" customHeight="1">
      <c r="A1573" s="1411"/>
      <c r="B1573" s="908" t="s">
        <v>508</v>
      </c>
      <c r="C1573" s="916">
        <f>'환기용량 산정(제트팬식)'!K65</f>
        <v>1</v>
      </c>
      <c r="D1573" s="917">
        <f>'환기용량 산정(제트팬식)'!L65</f>
        <v>0</v>
      </c>
      <c r="E1573" s="917">
        <f>'환기용량 산정(제트팬식)'!M65</f>
        <v>0</v>
      </c>
      <c r="F1573" s="917">
        <f>'환기용량 산정(제트팬식)'!N65</f>
        <v>0</v>
      </c>
      <c r="G1573" s="917">
        <f>'환기용량 산정(제트팬식)'!O65</f>
        <v>0</v>
      </c>
      <c r="H1573" s="917">
        <f>'환기용량 산정(제트팬식)'!P65</f>
        <v>0</v>
      </c>
      <c r="I1573" s="917">
        <f>'환기용량 산정(제트팬식)'!Q65</f>
        <v>0</v>
      </c>
      <c r="J1573" s="918">
        <f>'환기용량 산정(제트팬식)'!R65</f>
        <v>0</v>
      </c>
    </row>
    <row r="1574" spans="1:10" ht="24.95" customHeight="1">
      <c r="A1574" s="1411" t="s">
        <v>515</v>
      </c>
      <c r="B1574" s="907" t="s">
        <v>507</v>
      </c>
      <c r="C1574" s="913">
        <f t="shared" ref="C1574:J1574" si="735">B1532</f>
        <v>5</v>
      </c>
      <c r="D1574" s="914">
        <f t="shared" si="735"/>
        <v>4</v>
      </c>
      <c r="E1574" s="914">
        <f t="shared" si="735"/>
        <v>4</v>
      </c>
      <c r="F1574" s="914">
        <f t="shared" si="735"/>
        <v>3</v>
      </c>
      <c r="G1574" s="914">
        <f t="shared" si="735"/>
        <v>3</v>
      </c>
      <c r="H1574" s="914">
        <f t="shared" si="735"/>
        <v>3</v>
      </c>
      <c r="I1574" s="914">
        <f t="shared" si="735"/>
        <v>4</v>
      </c>
      <c r="J1574" s="915">
        <f t="shared" si="735"/>
        <v>4</v>
      </c>
    </row>
    <row r="1575" spans="1:10" ht="24.95" customHeight="1">
      <c r="A1575" s="1411"/>
      <c r="B1575" s="908" t="s">
        <v>508</v>
      </c>
      <c r="C1575" s="916">
        <f>'환기용량 산정(제트팬식)'!T65</f>
        <v>1</v>
      </c>
      <c r="D1575" s="917">
        <f>'환기용량 산정(제트팬식)'!U65</f>
        <v>0</v>
      </c>
      <c r="E1575" s="917">
        <f>'환기용량 산정(제트팬식)'!V65</f>
        <v>0</v>
      </c>
      <c r="F1575" s="917">
        <f>'환기용량 산정(제트팬식)'!W65</f>
        <v>0</v>
      </c>
      <c r="G1575" s="917">
        <f>'환기용량 산정(제트팬식)'!X65</f>
        <v>0</v>
      </c>
      <c r="H1575" s="917">
        <f>'환기용량 산정(제트팬식)'!Y65</f>
        <v>0</v>
      </c>
      <c r="I1575" s="917">
        <f>'환기용량 산정(제트팬식)'!Z65</f>
        <v>0</v>
      </c>
      <c r="J1575" s="918">
        <f>'환기용량 산정(제트팬식)'!AA65</f>
        <v>0</v>
      </c>
    </row>
    <row r="1576" spans="1:10" ht="24.95" customHeight="1">
      <c r="A1576" s="1411" t="s">
        <v>484</v>
      </c>
      <c r="B1576" s="907" t="s">
        <v>507</v>
      </c>
      <c r="C1576" s="913">
        <f>H1541</f>
        <v>45</v>
      </c>
      <c r="D1576" s="914">
        <f>C1576</f>
        <v>45</v>
      </c>
      <c r="E1576" s="914">
        <f t="shared" ref="E1576:J1576" si="736">D1576</f>
        <v>45</v>
      </c>
      <c r="F1576" s="914">
        <f t="shared" si="736"/>
        <v>45</v>
      </c>
      <c r="G1576" s="914">
        <f t="shared" si="736"/>
        <v>45</v>
      </c>
      <c r="H1576" s="914">
        <f t="shared" si="736"/>
        <v>45</v>
      </c>
      <c r="I1576" s="914">
        <f t="shared" si="736"/>
        <v>45</v>
      </c>
      <c r="J1576" s="915">
        <f t="shared" si="736"/>
        <v>45</v>
      </c>
    </row>
    <row r="1577" spans="1:10" ht="24.95" customHeight="1">
      <c r="A1577" s="1411"/>
      <c r="B1577" s="908" t="s">
        <v>508</v>
      </c>
      <c r="C1577" s="916">
        <f>'환기용량 산정(제트팬식)'!AU65</f>
        <v>1</v>
      </c>
      <c r="D1577" s="917">
        <f>'환기용량 산정(제트팬식)'!AV65</f>
        <v>0</v>
      </c>
      <c r="E1577" s="917">
        <f>'환기용량 산정(제트팬식)'!AW65</f>
        <v>0</v>
      </c>
      <c r="F1577" s="917">
        <f>'환기용량 산정(제트팬식)'!AX65</f>
        <v>0</v>
      </c>
      <c r="G1577" s="917">
        <f>'환기용량 산정(제트팬식)'!AY65</f>
        <v>0</v>
      </c>
      <c r="H1577" s="917">
        <f>'환기용량 산정(제트팬식)'!AZ65</f>
        <v>0</v>
      </c>
      <c r="I1577" s="917">
        <f>'환기용량 산정(제트팬식)'!BA65</f>
        <v>0</v>
      </c>
      <c r="J1577" s="918">
        <f>'환기용량 산정(제트팬식)'!BB65</f>
        <v>0</v>
      </c>
    </row>
    <row r="1578" spans="1:10" ht="24.95" customHeight="1">
      <c r="A1578" s="1411" t="s">
        <v>485</v>
      </c>
      <c r="B1578" s="907" t="s">
        <v>507</v>
      </c>
      <c r="C1578" s="913">
        <f>H1546</f>
        <v>0</v>
      </c>
      <c r="D1578" s="914">
        <f>C1578</f>
        <v>0</v>
      </c>
      <c r="E1578" s="914">
        <f t="shared" ref="E1578:J1578" si="737">D1578</f>
        <v>0</v>
      </c>
      <c r="F1578" s="914">
        <f t="shared" si="737"/>
        <v>0</v>
      </c>
      <c r="G1578" s="914">
        <f t="shared" si="737"/>
        <v>0</v>
      </c>
      <c r="H1578" s="914">
        <f t="shared" si="737"/>
        <v>0</v>
      </c>
      <c r="I1578" s="914">
        <f t="shared" si="737"/>
        <v>0</v>
      </c>
      <c r="J1578" s="915">
        <f t="shared" si="737"/>
        <v>0</v>
      </c>
    </row>
    <row r="1579" spans="1:10" ht="24.95" customHeight="1" thickBot="1">
      <c r="A1579" s="1412"/>
      <c r="B1579" s="909" t="s">
        <v>508</v>
      </c>
      <c r="C1579" s="919">
        <f>'환기용량 산정(제트팬식)'!BD65</f>
        <v>1</v>
      </c>
      <c r="D1579" s="921">
        <f>'환기용량 산정(제트팬식)'!BE65</f>
        <v>0</v>
      </c>
      <c r="E1579" s="921">
        <f>'환기용량 산정(제트팬식)'!BF65</f>
        <v>0</v>
      </c>
      <c r="F1579" s="921">
        <f>'환기용량 산정(제트팬식)'!BG65</f>
        <v>0</v>
      </c>
      <c r="G1579" s="921">
        <f>'환기용량 산정(제트팬식)'!BH65</f>
        <v>0</v>
      </c>
      <c r="H1579" s="921">
        <f>'환기용량 산정(제트팬식)'!BI65</f>
        <v>0</v>
      </c>
      <c r="I1579" s="921">
        <f>'환기용량 산정(제트팬식)'!BJ65</f>
        <v>0</v>
      </c>
      <c r="J1579" s="922">
        <f>'환기용량 산정(제트팬식)'!BK65</f>
        <v>0</v>
      </c>
    </row>
    <row r="1580" spans="1:10" ht="24.95" customHeight="1">
      <c r="A1580" s="1413" t="s">
        <v>511</v>
      </c>
      <c r="B1580" s="1414"/>
      <c r="C1580" s="902">
        <f>MAX(C1570,C1572,C1574,C1576,C1578)</f>
        <v>45</v>
      </c>
      <c r="D1580" s="903">
        <f t="shared" ref="D1580:J1580" si="738">MAX(D1570,D1572,D1574,D1576,D1578)</f>
        <v>45</v>
      </c>
      <c r="E1580" s="903">
        <f t="shared" si="738"/>
        <v>45</v>
      </c>
      <c r="F1580" s="903">
        <f t="shared" si="738"/>
        <v>45</v>
      </c>
      <c r="G1580" s="903">
        <f t="shared" si="738"/>
        <v>45</v>
      </c>
      <c r="H1580" s="903">
        <f t="shared" si="738"/>
        <v>45</v>
      </c>
      <c r="I1580" s="903">
        <f t="shared" si="738"/>
        <v>45</v>
      </c>
      <c r="J1580" s="904">
        <f t="shared" si="738"/>
        <v>45</v>
      </c>
    </row>
    <row r="1581" spans="1:10" ht="24.95" customHeight="1">
      <c r="A1581" s="1412" t="s">
        <v>514</v>
      </c>
      <c r="B1581" s="894" t="s">
        <v>512</v>
      </c>
      <c r="C1581" s="899">
        <f>MAX(C1571,C1573,C1575,C1577,C1579)</f>
        <v>1</v>
      </c>
      <c r="D1581" s="900">
        <f t="shared" ref="D1581:J1581" si="739">MAX(D1571,D1573,D1575,D1577,D1579)</f>
        <v>0</v>
      </c>
      <c r="E1581" s="900">
        <f t="shared" si="739"/>
        <v>0</v>
      </c>
      <c r="F1581" s="900">
        <f t="shared" si="739"/>
        <v>0</v>
      </c>
      <c r="G1581" s="900">
        <f t="shared" si="739"/>
        <v>0</v>
      </c>
      <c r="H1581" s="900">
        <f t="shared" si="739"/>
        <v>0</v>
      </c>
      <c r="I1581" s="900">
        <f t="shared" si="739"/>
        <v>0</v>
      </c>
      <c r="J1581" s="901">
        <f t="shared" si="739"/>
        <v>0</v>
      </c>
    </row>
    <row r="1582" spans="1:10" ht="24.95" customHeight="1">
      <c r="A1582" s="1417"/>
      <c r="B1582" s="895" t="s">
        <v>513</v>
      </c>
      <c r="C1582" s="899">
        <f>'환기용량 산정(제트팬식)'!AC52</f>
        <v>7</v>
      </c>
      <c r="D1582" s="900">
        <f>'환기용량 산정(제트팬식)'!AD52</f>
        <v>7</v>
      </c>
      <c r="E1582" s="900">
        <f>'환기용량 산정(제트팬식)'!AE52</f>
        <v>7</v>
      </c>
      <c r="F1582" s="900">
        <f>'환기용량 산정(제트팬식)'!AF52</f>
        <v>7</v>
      </c>
      <c r="G1582" s="900">
        <f>'환기용량 산정(제트팬식)'!AG52</f>
        <v>7</v>
      </c>
      <c r="H1582" s="900">
        <f>'환기용량 산정(제트팬식)'!AH52</f>
        <v>7</v>
      </c>
      <c r="I1582" s="900">
        <f>'환기용량 산정(제트팬식)'!AI52</f>
        <v>7</v>
      </c>
      <c r="J1582" s="901">
        <f>'환기용량 산정(제트팬식)'!AJ52</f>
        <v>7</v>
      </c>
    </row>
    <row r="1583" spans="1:10" ht="24.95" customHeight="1" thickBot="1">
      <c r="A1583" s="1415" t="s">
        <v>489</v>
      </c>
      <c r="B1583" s="1416"/>
      <c r="C1583" s="923" t="str">
        <f t="shared" ref="C1583:J1583" si="740">IF(C1580&gt;C1569,"기계환기","자연환기")</f>
        <v>기계환기</v>
      </c>
      <c r="D1583" s="924" t="str">
        <f t="shared" si="740"/>
        <v>자연환기</v>
      </c>
      <c r="E1583" s="924" t="str">
        <f t="shared" si="740"/>
        <v>자연환기</v>
      </c>
      <c r="F1583" s="924" t="str">
        <f t="shared" si="740"/>
        <v>자연환기</v>
      </c>
      <c r="G1583" s="924" t="str">
        <f t="shared" si="740"/>
        <v>자연환기</v>
      </c>
      <c r="H1583" s="924" t="str">
        <f t="shared" si="740"/>
        <v>자연환기</v>
      </c>
      <c r="I1583" s="924" t="str">
        <f t="shared" si="740"/>
        <v>자연환기</v>
      </c>
      <c r="J1583" s="925" t="str">
        <f t="shared" si="740"/>
        <v>자연환기</v>
      </c>
    </row>
    <row r="1584" spans="1:10" ht="17.100000000000001" customHeight="1"/>
    <row r="1585" ht="17.100000000000001" customHeight="1"/>
    <row r="1586" ht="17.100000000000001" customHeight="1"/>
    <row r="1587" ht="17.100000000000001" customHeight="1"/>
    <row r="1588" ht="17.100000000000001" customHeight="1"/>
    <row r="1589" ht="17.100000000000001" customHeight="1"/>
    <row r="1590" ht="17.100000000000001" customHeight="1"/>
    <row r="1591" ht="17.100000000000001" customHeight="1"/>
    <row r="1592" ht="17.100000000000001" customHeight="1"/>
  </sheetData>
  <mergeCells count="267">
    <mergeCell ref="N683:O683"/>
    <mergeCell ref="N1079:O1079"/>
    <mergeCell ref="N1080:N1085"/>
    <mergeCell ref="N1086:N1091"/>
    <mergeCell ref="A1404:A1413"/>
    <mergeCell ref="A1269:A1278"/>
    <mergeCell ref="A1119:B1119"/>
    <mergeCell ref="F1118:G1118"/>
    <mergeCell ref="A1309:A1318"/>
    <mergeCell ref="E1341:F1341"/>
    <mergeCell ref="G1341:J1341"/>
    <mergeCell ref="G1256:J1256"/>
    <mergeCell ref="F1116:G1116"/>
    <mergeCell ref="A1227:B1227"/>
    <mergeCell ref="A1344:A1353"/>
    <mergeCell ref="A1354:A1363"/>
    <mergeCell ref="A1374:A1383"/>
    <mergeCell ref="A1289:A1298"/>
    <mergeCell ref="A1364:A1373"/>
    <mergeCell ref="A1384:A1393"/>
    <mergeCell ref="A1394:A1403"/>
    <mergeCell ref="F1124:G1124"/>
    <mergeCell ref="A1259:A1268"/>
    <mergeCell ref="F1117:G1117"/>
    <mergeCell ref="F1119:G1119"/>
    <mergeCell ref="A1117:A1118"/>
    <mergeCell ref="C1116:E1116"/>
    <mergeCell ref="F1485:G1485"/>
    <mergeCell ref="A744:B744"/>
    <mergeCell ref="A745:B745"/>
    <mergeCell ref="A746:B746"/>
    <mergeCell ref="A747:B747"/>
    <mergeCell ref="E856:F856"/>
    <mergeCell ref="E1232:F1232"/>
    <mergeCell ref="C1115:E1115"/>
    <mergeCell ref="F1115:G1115"/>
    <mergeCell ref="A1115:B1116"/>
    <mergeCell ref="B1480:C1480"/>
    <mergeCell ref="D1480:E1480"/>
    <mergeCell ref="A1482:A1483"/>
    <mergeCell ref="B1482:B1483"/>
    <mergeCell ref="C1482:C1483"/>
    <mergeCell ref="D1482:D1483"/>
    <mergeCell ref="E1482:E1483"/>
    <mergeCell ref="F1123:G1123"/>
    <mergeCell ref="A1414:A1423"/>
    <mergeCell ref="A966:A975"/>
    <mergeCell ref="G963:J963"/>
    <mergeCell ref="B347:C347"/>
    <mergeCell ref="B596:B598"/>
    <mergeCell ref="B878:B880"/>
    <mergeCell ref="K1256:K1258"/>
    <mergeCell ref="K1341:K1343"/>
    <mergeCell ref="B1341:B1343"/>
    <mergeCell ref="C1341:D1341"/>
    <mergeCell ref="E1256:F1256"/>
    <mergeCell ref="B1256:B1258"/>
    <mergeCell ref="F1120:G1120"/>
    <mergeCell ref="F1122:G1122"/>
    <mergeCell ref="A1120:B1120"/>
    <mergeCell ref="F1121:G1121"/>
    <mergeCell ref="A1121:B1121"/>
    <mergeCell ref="A1122:B1122"/>
    <mergeCell ref="A1319:A1328"/>
    <mergeCell ref="A1329:A1338"/>
    <mergeCell ref="C1256:D1256"/>
    <mergeCell ref="A1124:B1124"/>
    <mergeCell ref="A1249:D1249"/>
    <mergeCell ref="A1256:A1257"/>
    <mergeCell ref="A1279:A1288"/>
    <mergeCell ref="K963:K965"/>
    <mergeCell ref="A963:A964"/>
    <mergeCell ref="A609:A618"/>
    <mergeCell ref="A584:A593"/>
    <mergeCell ref="A599:A608"/>
    <mergeCell ref="A619:A628"/>
    <mergeCell ref="A629:A638"/>
    <mergeCell ref="A639:A648"/>
    <mergeCell ref="A649:A658"/>
    <mergeCell ref="B356:C356"/>
    <mergeCell ref="A574:A583"/>
    <mergeCell ref="A544:A553"/>
    <mergeCell ref="A564:A573"/>
    <mergeCell ref="A504:B504"/>
    <mergeCell ref="A362:A363"/>
    <mergeCell ref="B362:C362"/>
    <mergeCell ref="B390:B391"/>
    <mergeCell ref="A414:A424"/>
    <mergeCell ref="A425:A435"/>
    <mergeCell ref="A436:A446"/>
    <mergeCell ref="A447:A457"/>
    <mergeCell ref="A469:A479"/>
    <mergeCell ref="A596:A597"/>
    <mergeCell ref="A514:A523"/>
    <mergeCell ref="A740:B741"/>
    <mergeCell ref="E878:F878"/>
    <mergeCell ref="F747:G747"/>
    <mergeCell ref="F749:G749"/>
    <mergeCell ref="F744:G744"/>
    <mergeCell ref="F746:G746"/>
    <mergeCell ref="F748:G748"/>
    <mergeCell ref="F745:G745"/>
    <mergeCell ref="A921:A930"/>
    <mergeCell ref="E963:F963"/>
    <mergeCell ref="B963:B965"/>
    <mergeCell ref="C963:D963"/>
    <mergeCell ref="A218:A219"/>
    <mergeCell ref="A104:A105"/>
    <mergeCell ref="F740:G740"/>
    <mergeCell ref="A742:A743"/>
    <mergeCell ref="F741:G741"/>
    <mergeCell ref="F743:G743"/>
    <mergeCell ref="F742:G742"/>
    <mergeCell ref="A233:A234"/>
    <mergeCell ref="A347:A348"/>
    <mergeCell ref="B253:B254"/>
    <mergeCell ref="A255:A265"/>
    <mergeCell ref="A266:A276"/>
    <mergeCell ref="A277:A287"/>
    <mergeCell ref="A299:A309"/>
    <mergeCell ref="A310:A320"/>
    <mergeCell ref="A253:A254"/>
    <mergeCell ref="A392:A402"/>
    <mergeCell ref="B233:C233"/>
    <mergeCell ref="A403:A413"/>
    <mergeCell ref="A659:A668"/>
    <mergeCell ref="A458:A468"/>
    <mergeCell ref="A288:A298"/>
    <mergeCell ref="K511:K513"/>
    <mergeCell ref="D362:E362"/>
    <mergeCell ref="I211:I212"/>
    <mergeCell ref="E511:F511"/>
    <mergeCell ref="A500:D500"/>
    <mergeCell ref="D233:E233"/>
    <mergeCell ref="C596:D596"/>
    <mergeCell ref="E390:F390"/>
    <mergeCell ref="F233:I233"/>
    <mergeCell ref="F211:F212"/>
    <mergeCell ref="G211:G212"/>
    <mergeCell ref="G253:J253"/>
    <mergeCell ref="E253:F253"/>
    <mergeCell ref="A511:A512"/>
    <mergeCell ref="B511:B513"/>
    <mergeCell ref="A524:A533"/>
    <mergeCell ref="A534:A543"/>
    <mergeCell ref="A554:A563"/>
    <mergeCell ref="F362:I362"/>
    <mergeCell ref="B218:C218"/>
    <mergeCell ref="K596:K598"/>
    <mergeCell ref="E596:F596"/>
    <mergeCell ref="G596:J596"/>
    <mergeCell ref="K35:K36"/>
    <mergeCell ref="A35:A37"/>
    <mergeCell ref="A52:A54"/>
    <mergeCell ref="C35:J35"/>
    <mergeCell ref="C53:D53"/>
    <mergeCell ref="C36:D36"/>
    <mergeCell ref="K52:K53"/>
    <mergeCell ref="C511:D511"/>
    <mergeCell ref="C390:D390"/>
    <mergeCell ref="C253:D253"/>
    <mergeCell ref="E211:E212"/>
    <mergeCell ref="D211:D212"/>
    <mergeCell ref="G208:H208"/>
    <mergeCell ref="G390:J390"/>
    <mergeCell ref="G511:J511"/>
    <mergeCell ref="B227:C227"/>
    <mergeCell ref="D208:E208"/>
    <mergeCell ref="F98:G98"/>
    <mergeCell ref="F99:G99"/>
    <mergeCell ref="F100:G100"/>
    <mergeCell ref="C106:D106"/>
    <mergeCell ref="F93:G93"/>
    <mergeCell ref="F94:G94"/>
    <mergeCell ref="A95:B95"/>
    <mergeCell ref="A91:B92"/>
    <mergeCell ref="C91:E91"/>
    <mergeCell ref="A6:A7"/>
    <mergeCell ref="A97:B97"/>
    <mergeCell ref="A96:B96"/>
    <mergeCell ref="C52:J52"/>
    <mergeCell ref="A98:B98"/>
    <mergeCell ref="H211:H212"/>
    <mergeCell ref="F91:G91"/>
    <mergeCell ref="C92:E92"/>
    <mergeCell ref="F92:G92"/>
    <mergeCell ref="F95:G95"/>
    <mergeCell ref="F96:G96"/>
    <mergeCell ref="F97:G97"/>
    <mergeCell ref="A93:A94"/>
    <mergeCell ref="A99:B99"/>
    <mergeCell ref="B211:B212"/>
    <mergeCell ref="C104:D104"/>
    <mergeCell ref="C211:C212"/>
    <mergeCell ref="A100:B100"/>
    <mergeCell ref="S1086:S1091"/>
    <mergeCell ref="A901:A910"/>
    <mergeCell ref="S1079:T1079"/>
    <mergeCell ref="S1080:S1085"/>
    <mergeCell ref="A669:A678"/>
    <mergeCell ref="A749:B749"/>
    <mergeCell ref="A748:B748"/>
    <mergeCell ref="A941:A950"/>
    <mergeCell ref="A931:A940"/>
    <mergeCell ref="A976:A985"/>
    <mergeCell ref="A683:B683"/>
    <mergeCell ref="A1036:A1045"/>
    <mergeCell ref="A986:A995"/>
    <mergeCell ref="A1026:A1035"/>
    <mergeCell ref="A996:A1005"/>
    <mergeCell ref="A1006:A1015"/>
    <mergeCell ref="A1016:A1025"/>
    <mergeCell ref="A911:A920"/>
    <mergeCell ref="A891:A900"/>
    <mergeCell ref="A851:B851"/>
    <mergeCell ref="A873:D873"/>
    <mergeCell ref="K878:K880"/>
    <mergeCell ref="A878:A879"/>
    <mergeCell ref="C878:D878"/>
    <mergeCell ref="F1539:G1539"/>
    <mergeCell ref="H1539:I1539"/>
    <mergeCell ref="B1544:C1544"/>
    <mergeCell ref="D1544:E1544"/>
    <mergeCell ref="F1544:G1544"/>
    <mergeCell ref="H1544:I1544"/>
    <mergeCell ref="A321:A331"/>
    <mergeCell ref="A332:A342"/>
    <mergeCell ref="A390:A391"/>
    <mergeCell ref="A505:B505"/>
    <mergeCell ref="A506:B506"/>
    <mergeCell ref="A1123:B1123"/>
    <mergeCell ref="A1299:A1308"/>
    <mergeCell ref="A1431:B1431"/>
    <mergeCell ref="A1057:B1057"/>
    <mergeCell ref="B755:D755"/>
    <mergeCell ref="C741:E741"/>
    <mergeCell ref="C740:E740"/>
    <mergeCell ref="B754:D754"/>
    <mergeCell ref="A881:A890"/>
    <mergeCell ref="A1341:A1342"/>
    <mergeCell ref="A1432:B1432"/>
    <mergeCell ref="A951:A960"/>
    <mergeCell ref="G878:J878"/>
    <mergeCell ref="B4:C4"/>
    <mergeCell ref="B3:D3"/>
    <mergeCell ref="A1578:A1579"/>
    <mergeCell ref="A1580:B1580"/>
    <mergeCell ref="A1583:B1583"/>
    <mergeCell ref="A1563:A1564"/>
    <mergeCell ref="A1581:A1582"/>
    <mergeCell ref="A1565:B1565"/>
    <mergeCell ref="A1570:A1571"/>
    <mergeCell ref="A1572:A1573"/>
    <mergeCell ref="A1574:A1575"/>
    <mergeCell ref="A1576:A1577"/>
    <mergeCell ref="A1550:B1550"/>
    <mergeCell ref="A1568:B1568"/>
    <mergeCell ref="A1551:B1551"/>
    <mergeCell ref="A1569:B1569"/>
    <mergeCell ref="A1552:A1553"/>
    <mergeCell ref="A1554:A1555"/>
    <mergeCell ref="A1556:A1557"/>
    <mergeCell ref="A1558:A1559"/>
    <mergeCell ref="A1560:A1561"/>
    <mergeCell ref="A1562:B1562"/>
    <mergeCell ref="B1539:C1539"/>
    <mergeCell ref="D1539:E1539"/>
  </mergeCells>
  <phoneticPr fontId="11" type="noConversion"/>
  <pageMargins left="0.19685039370078741" right="0.19685039370078741" top="0.9055118110236221" bottom="0.55118110236220474" header="0.59055118110236227" footer="0.27559055118110237"/>
  <pageSetup paperSize="9" scale="65" fitToHeight="0" orientation="portrait" r:id="rId1"/>
  <headerFooter alignWithMargins="0">
    <oddHeader>&amp;R&amp;D &amp;T</oddHeader>
    <oddFooter>&amp;L&amp;"Arial,보통"&amp;F&amp;C&amp;P 쪽&amp;R&amp;"Arial,보통"&amp;A</oddFooter>
  </headerFooter>
  <ignoredErrors>
    <ignoredError sqref="I353 D749 C1057:J1057 D1123:D1124 D100 I224 B208" unlockedFormula="1"/>
    <ignoredError sqref="G882:G885 G887:G890 G957:G960 G952:G955 G947:G950 G942:G945 G937:G940 G932:G93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U59"/>
  <sheetViews>
    <sheetView zoomScaleNormal="100" zoomScaleSheetLayoutView="90" workbookViewId="0">
      <selection activeCell="AC7" sqref="AC7"/>
    </sheetView>
  </sheetViews>
  <sheetFormatPr defaultRowHeight="13.5"/>
  <cols>
    <col min="1" max="1" width="5.88671875" style="1268" customWidth="1"/>
    <col min="2" max="15" width="4.77734375" style="1268" customWidth="1"/>
    <col min="16" max="16" width="1.44140625" style="1268" customWidth="1"/>
    <col min="17" max="18" width="5.88671875" style="1268" customWidth="1"/>
    <col min="19" max="26" width="5" style="1268" customWidth="1"/>
    <col min="27" max="27" width="1.44140625" style="1268" customWidth="1"/>
    <col min="28" max="29" width="5.88671875" style="1268" customWidth="1"/>
    <col min="30" max="37" width="5" style="1268" customWidth="1"/>
    <col min="38" max="38" width="1.44140625" style="1268" customWidth="1"/>
    <col min="39" max="39" width="7.6640625" style="1268" customWidth="1"/>
    <col min="40" max="47" width="5" style="1268" customWidth="1"/>
    <col min="48" max="16384" width="8.88671875" style="1268"/>
  </cols>
  <sheetData>
    <row r="1" spans="1:47">
      <c r="A1" s="1267"/>
      <c r="B1" s="1267"/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  <c r="AI1" s="1267"/>
      <c r="AJ1" s="1267"/>
      <c r="AK1" s="1267"/>
      <c r="AL1" s="1267"/>
      <c r="AM1" s="1267"/>
      <c r="AN1" s="1267"/>
      <c r="AO1" s="1267"/>
      <c r="AP1" s="1267"/>
      <c r="AQ1" s="1267"/>
      <c r="AR1" s="1267"/>
      <c r="AS1" s="1267"/>
      <c r="AT1" s="1267"/>
      <c r="AU1" s="1267"/>
    </row>
    <row r="2" spans="1:47">
      <c r="A2" s="1269" t="s">
        <v>866</v>
      </c>
      <c r="B2" s="1267"/>
      <c r="C2" s="1267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7"/>
      <c r="P2" s="1267"/>
      <c r="Q2" s="1269" t="s">
        <v>867</v>
      </c>
      <c r="R2" s="1267"/>
      <c r="S2" s="1267"/>
      <c r="T2" s="1267"/>
      <c r="U2" s="1267"/>
      <c r="V2" s="1267"/>
      <c r="W2" s="1267"/>
      <c r="X2" s="1267"/>
      <c r="Y2" s="1267"/>
      <c r="Z2" s="1267"/>
      <c r="AA2" s="1267"/>
      <c r="AB2" s="1267"/>
      <c r="AC2" s="1267"/>
      <c r="AD2" s="1267"/>
      <c r="AE2" s="1267"/>
      <c r="AF2" s="1267"/>
      <c r="AG2" s="1267"/>
      <c r="AH2" s="1267"/>
      <c r="AI2" s="1267"/>
      <c r="AJ2" s="1267"/>
      <c r="AK2" s="1267"/>
      <c r="AL2" s="1267"/>
      <c r="AM2" s="1267"/>
      <c r="AN2" s="1267"/>
      <c r="AO2" s="1267"/>
      <c r="AP2" s="1267"/>
      <c r="AQ2" s="1267"/>
      <c r="AR2" s="1267"/>
      <c r="AS2" s="1267"/>
      <c r="AT2" s="1267"/>
      <c r="AU2" s="1267"/>
    </row>
    <row r="3" spans="1:47">
      <c r="A3" s="1267"/>
      <c r="B3" s="1267"/>
      <c r="C3" s="1267"/>
      <c r="D3" s="1267"/>
      <c r="E3" s="1267"/>
      <c r="F3" s="1267"/>
      <c r="G3" s="1267"/>
      <c r="H3" s="1267"/>
      <c r="I3" s="1267"/>
      <c r="J3" s="1267"/>
      <c r="K3" s="1267"/>
      <c r="L3" s="1267"/>
      <c r="M3" s="1267"/>
      <c r="N3" s="1267"/>
      <c r="O3" s="1267"/>
      <c r="P3" s="1267"/>
      <c r="Q3" s="1267"/>
      <c r="R3" s="1267"/>
      <c r="S3" s="1267"/>
      <c r="T3" s="1267"/>
      <c r="U3" s="1267"/>
      <c r="V3" s="1267"/>
      <c r="W3" s="1267"/>
      <c r="X3" s="1267"/>
      <c r="Y3" s="1267"/>
      <c r="Z3" s="1267"/>
      <c r="AA3" s="1267"/>
      <c r="AB3" s="1267"/>
      <c r="AC3" s="1267"/>
      <c r="AD3" s="1267"/>
      <c r="AE3" s="1267"/>
      <c r="AF3" s="1267"/>
      <c r="AG3" s="1267"/>
      <c r="AH3" s="1267"/>
      <c r="AI3" s="1267"/>
      <c r="AJ3" s="1267"/>
      <c r="AK3" s="1267"/>
      <c r="AL3" s="1267"/>
      <c r="AM3" s="1267"/>
      <c r="AN3" s="1267"/>
      <c r="AO3" s="1267"/>
      <c r="AP3" s="1267"/>
      <c r="AQ3" s="1267"/>
      <c r="AR3" s="1267"/>
      <c r="AS3" s="1267"/>
      <c r="AT3" s="1267"/>
      <c r="AU3" s="1267"/>
    </row>
    <row r="4" spans="1:47">
      <c r="A4" s="1270" t="s">
        <v>868</v>
      </c>
      <c r="B4" s="1267"/>
      <c r="C4" s="1267"/>
      <c r="D4" s="1267"/>
      <c r="E4" s="1267"/>
      <c r="F4" s="1267"/>
      <c r="G4" s="1267"/>
      <c r="H4" s="1267"/>
      <c r="I4" s="1267"/>
      <c r="J4" s="1267"/>
      <c r="K4" s="1267"/>
      <c r="L4" s="1267"/>
      <c r="M4" s="1267"/>
      <c r="N4" s="1267"/>
      <c r="O4" s="1267"/>
      <c r="P4" s="1267"/>
      <c r="Q4" s="1270">
        <v>1.1000000000000001</v>
      </c>
      <c r="R4" s="1291" t="str">
        <f>'환기량 산정'!E6</f>
        <v>진주</v>
      </c>
      <c r="S4" s="1272" t="s">
        <v>959</v>
      </c>
      <c r="T4" s="1267"/>
      <c r="U4" s="1267"/>
      <c r="V4" s="1267"/>
      <c r="W4" s="1267"/>
      <c r="X4" s="1267"/>
      <c r="Y4" s="1267"/>
      <c r="Z4" s="1267"/>
      <c r="AA4" s="1267"/>
      <c r="AB4" s="1270">
        <v>1.2</v>
      </c>
      <c r="AC4" s="1291" t="str">
        <f>'환기량 산정'!J6</f>
        <v>마산</v>
      </c>
      <c r="AD4" s="1272" t="s">
        <v>959</v>
      </c>
      <c r="AE4" s="1267"/>
      <c r="AF4" s="1267"/>
      <c r="AG4" s="1267"/>
      <c r="AH4" s="1267"/>
      <c r="AI4" s="1267"/>
      <c r="AJ4" s="1267"/>
      <c r="AK4" s="1267"/>
      <c r="AL4" s="1267"/>
      <c r="AM4" s="1267"/>
      <c r="AN4" s="1267"/>
      <c r="AO4" s="1267"/>
      <c r="AP4" s="1267"/>
      <c r="AQ4" s="1267"/>
      <c r="AR4" s="1267"/>
      <c r="AS4" s="1267"/>
      <c r="AT4" s="1267"/>
      <c r="AU4" s="1267"/>
    </row>
    <row r="5" spans="1:47">
      <c r="A5" s="1271"/>
      <c r="B5" s="1271"/>
      <c r="C5" s="1522" t="s">
        <v>869</v>
      </c>
      <c r="D5" s="1522"/>
      <c r="E5" s="1522"/>
      <c r="F5" s="1522"/>
      <c r="G5" s="1522"/>
      <c r="H5" s="1522"/>
      <c r="I5" s="1522"/>
      <c r="J5" s="1522"/>
      <c r="K5" s="1522"/>
      <c r="L5" s="1522"/>
      <c r="M5" s="1522"/>
      <c r="N5" s="1522"/>
      <c r="O5" s="1522"/>
      <c r="P5" s="1267"/>
      <c r="Q5" s="1270" t="s">
        <v>870</v>
      </c>
      <c r="R5" s="1267"/>
      <c r="S5" s="1267"/>
      <c r="T5" s="1267"/>
      <c r="U5" s="1267"/>
      <c r="V5" s="1267"/>
      <c r="W5" s="1267"/>
      <c r="X5" s="1267"/>
      <c r="Y5" s="1267"/>
      <c r="Z5" s="1267"/>
      <c r="AA5" s="1267"/>
      <c r="AB5" s="1270" t="s">
        <v>871</v>
      </c>
      <c r="AC5" s="1267"/>
      <c r="AD5" s="1267"/>
      <c r="AE5" s="1267"/>
      <c r="AF5" s="1267"/>
      <c r="AG5" s="1267"/>
      <c r="AH5" s="1267"/>
      <c r="AI5" s="1267"/>
      <c r="AJ5" s="1267"/>
      <c r="AK5" s="1267"/>
      <c r="AL5" s="1267"/>
      <c r="AM5" s="1272" t="s">
        <v>872</v>
      </c>
      <c r="AN5" s="1267"/>
      <c r="AO5" s="1267"/>
      <c r="AP5" s="1267"/>
      <c r="AQ5" s="1267"/>
      <c r="AR5" s="1267"/>
      <c r="AS5" s="1267"/>
      <c r="AT5" s="1267"/>
      <c r="AU5" s="1267"/>
    </row>
    <row r="6" spans="1:47">
      <c r="A6" s="1273" t="s">
        <v>873</v>
      </c>
      <c r="B6" s="1274">
        <v>-100</v>
      </c>
      <c r="C6" s="1273">
        <v>-6</v>
      </c>
      <c r="D6" s="1274">
        <f>(C6+E6)/2</f>
        <v>-5</v>
      </c>
      <c r="E6" s="1273">
        <v>-4</v>
      </c>
      <c r="F6" s="1274">
        <f>(E6+G6)/2</f>
        <v>-3</v>
      </c>
      <c r="G6" s="1273">
        <v>-2</v>
      </c>
      <c r="H6" s="1274">
        <f>(G6+I6)/2</f>
        <v>-1</v>
      </c>
      <c r="I6" s="1273">
        <v>0</v>
      </c>
      <c r="J6" s="1274">
        <f>(I6+K6)/2</f>
        <v>1</v>
      </c>
      <c r="K6" s="1273">
        <v>2</v>
      </c>
      <c r="L6" s="1274">
        <f>(K6+M6)/2</f>
        <v>3</v>
      </c>
      <c r="M6" s="1273">
        <v>4</v>
      </c>
      <c r="N6" s="1274">
        <f>(M6+O6)/2</f>
        <v>5</v>
      </c>
      <c r="O6" s="1273">
        <v>6</v>
      </c>
      <c r="P6" s="1267"/>
      <c r="Q6" s="1273" t="s">
        <v>874</v>
      </c>
      <c r="R6" s="1273" t="s">
        <v>869</v>
      </c>
      <c r="S6" s="1273">
        <v>10</v>
      </c>
      <c r="T6" s="1273">
        <v>20</v>
      </c>
      <c r="U6" s="1273">
        <v>30</v>
      </c>
      <c r="V6" s="1273">
        <v>40</v>
      </c>
      <c r="W6" s="1273">
        <v>50</v>
      </c>
      <c r="X6" s="1273">
        <v>60</v>
      </c>
      <c r="Y6" s="1273">
        <v>70</v>
      </c>
      <c r="Z6" s="1273">
        <v>80</v>
      </c>
      <c r="AA6" s="1267"/>
      <c r="AB6" s="1273" t="s">
        <v>874</v>
      </c>
      <c r="AC6" s="1273" t="s">
        <v>869</v>
      </c>
      <c r="AD6" s="1273">
        <v>10</v>
      </c>
      <c r="AE6" s="1273">
        <v>20</v>
      </c>
      <c r="AF6" s="1273">
        <v>30</v>
      </c>
      <c r="AG6" s="1273">
        <v>40</v>
      </c>
      <c r="AH6" s="1273">
        <v>50</v>
      </c>
      <c r="AI6" s="1273">
        <v>60</v>
      </c>
      <c r="AJ6" s="1273">
        <v>70</v>
      </c>
      <c r="AK6" s="1273">
        <v>80</v>
      </c>
      <c r="AL6" s="1267"/>
      <c r="AM6" s="1273" t="s">
        <v>875</v>
      </c>
      <c r="AN6" s="1273">
        <v>10</v>
      </c>
      <c r="AO6" s="1273">
        <v>20</v>
      </c>
      <c r="AP6" s="1273">
        <v>30</v>
      </c>
      <c r="AQ6" s="1273">
        <v>40</v>
      </c>
      <c r="AR6" s="1273">
        <v>50</v>
      </c>
      <c r="AS6" s="1273">
        <v>60</v>
      </c>
      <c r="AT6" s="1273">
        <v>70</v>
      </c>
      <c r="AU6" s="1273">
        <v>80</v>
      </c>
    </row>
    <row r="7" spans="1:47">
      <c r="A7" s="1275">
        <v>0</v>
      </c>
      <c r="B7" s="1276">
        <f>C7</f>
        <v>0</v>
      </c>
      <c r="C7" s="1277">
        <v>0</v>
      </c>
      <c r="D7" s="1276">
        <f>(C7+E7)/2</f>
        <v>0</v>
      </c>
      <c r="E7" s="1277">
        <v>0</v>
      </c>
      <c r="F7" s="1276">
        <f>(E7+G7)/2</f>
        <v>0</v>
      </c>
      <c r="G7" s="1277">
        <v>0</v>
      </c>
      <c r="H7" s="1276">
        <f>(G7+I7)/2</f>
        <v>0</v>
      </c>
      <c r="I7" s="1277">
        <v>0</v>
      </c>
      <c r="J7" s="1276">
        <f>(I7+K7)/2</f>
        <v>0</v>
      </c>
      <c r="K7" s="1277">
        <v>0</v>
      </c>
      <c r="L7" s="1276">
        <f>(K7+M7)/2</f>
        <v>0</v>
      </c>
      <c r="M7" s="1277">
        <v>0</v>
      </c>
      <c r="N7" s="1276">
        <f>(M7+O7)/2</f>
        <v>0</v>
      </c>
      <c r="O7" s="1277">
        <v>0</v>
      </c>
      <c r="P7" s="1267"/>
      <c r="Q7" s="1275" t="s">
        <v>876</v>
      </c>
      <c r="R7" s="1382">
        <f>'환기량 산정'!B8</f>
        <v>0</v>
      </c>
      <c r="S7" s="1279">
        <f>HLOOKUP(INT($R7),$B$6:$O$17,3)+(HLOOKUP(INT($R7)+1,$B$6:$O$17,3)-HLOOKUP(INT($R7),$B$6:$O$17,3))*($R7-INT($R7))</f>
        <v>0.5</v>
      </c>
      <c r="T7" s="1279">
        <f t="shared" ref="T7:T16" si="0">HLOOKUP(INT($R7),$B$6:$O$17,4)+(HLOOKUP(INT($R7)+1,$B$6:$O$17,4)-HLOOKUP(INT($R7),$B$6:$O$17,4))*($R7-INT($R7))</f>
        <v>1</v>
      </c>
      <c r="U7" s="1279">
        <f>HLOOKUP(INT($R7),$B$6:$O$17,5)+(HLOOKUP(INT($R7)+1,$B$6:$O$17,5)-HLOOKUP(INT($R7),$B$6:$O$17,5))*($R7-INT($R7))</f>
        <v>1</v>
      </c>
      <c r="V7" s="1279">
        <f>HLOOKUP(INT($R7),$B$6:$O$17,6)+(HLOOKUP(INT($R7)+1,$B$6:$O$17,6)-HLOOKUP(INT($R7),$B$6:$O$17,6))*($R7-INT($R7))</f>
        <v>1</v>
      </c>
      <c r="W7" s="1279">
        <f>HLOOKUP(INT($R7),$B$6:$O$17,7)+(HLOOKUP(INT($R7)+1,$B$6:$O$17,7)-HLOOKUP(INT($R7),$B$6:$O$17,7))*($R7-INT($R7))</f>
        <v>1</v>
      </c>
      <c r="X7" s="1279">
        <f>HLOOKUP(INT($R7),$B$6:$O$17,8)+(HLOOKUP(INT($R7)+1,$B$6:$O$17,8)-HLOOKUP(INT($R7),$B$6:$O$17,8))*($R7-INT($R7))</f>
        <v>1.5</v>
      </c>
      <c r="Y7" s="1279">
        <f>HLOOKUP(INT($R7),$B$6:$O$17,9)+(HLOOKUP(INT($R7)+1,$B$6:$O$17,9)-HLOOKUP(INT($R7),$B$6:$O$17,9))*($R7-INT($R7))</f>
        <v>1.5</v>
      </c>
      <c r="Z7" s="1279">
        <f>HLOOKUP(INT($R7),$B$6:$O$17,10)+(HLOOKUP(INT($R7)+1,$B$6:$O$17,10)-HLOOKUP(INT($R7),$B$6:$O$17,10))*($R7-INT($R7))</f>
        <v>2.5</v>
      </c>
      <c r="AA7" s="1267"/>
      <c r="AB7" s="1275" t="s">
        <v>876</v>
      </c>
      <c r="AC7" s="1382">
        <f>'환기량 산정'!G8</f>
        <v>1.784</v>
      </c>
      <c r="AD7" s="1279">
        <f>HLOOKUP(INT($AC7),$B$6:$O$17,3)+(HLOOKUP(INT($AC7)+1,$B$6:$O$17,3)-HLOOKUP(INT($AC7),$B$6:$O$17,3))*($AC7-INT($AC7))</f>
        <v>0.94599999999999995</v>
      </c>
      <c r="AE7" s="1279">
        <f>HLOOKUP(INT($AC7),$B$6:$O$17,4)+(HLOOKUP(INT($AC7)+1,$B$6:$O$17,4)-HLOOKUP(INT($AC7),$B$6:$O$17,4))*($AC7-INT($AC7))</f>
        <v>1</v>
      </c>
      <c r="AF7" s="1279">
        <f>HLOOKUP(INT($AC7),$B$6:$O$17,5)+(HLOOKUP(INT($AC7)+1,$B$6:$O$17,5)-HLOOKUP(INT($AC7),$B$6:$O$17,5))*($AC7-INT($AC7))</f>
        <v>1</v>
      </c>
      <c r="AG7" s="1279">
        <f>HLOOKUP(INT($AC7),$B$6:$O$17,6)+(HLOOKUP(INT($AC7)+1,$B$6:$O$17,6)-HLOOKUP(INT($AC7),$B$6:$O$17,6))*($AC7-INT($AC7))</f>
        <v>1.446</v>
      </c>
      <c r="AH7" s="1279">
        <f>HLOOKUP(INT($AC7),$B$6:$O$17,7)+(HLOOKUP(INT($AC7)+1,$B$6:$O$17,7)-HLOOKUP(INT($AC7),$B$6:$O$17,7))*($AC7-INT($AC7))</f>
        <v>1.446</v>
      </c>
      <c r="AI7" s="1279">
        <f>HLOOKUP(INT($AC7),$B$6:$O$17,8)+(HLOOKUP(INT($AC7)+1,$B$6:$O$17,8)-HLOOKUP(INT($AC7),$B$6:$O$17,8))*($AC7-INT($AC7))</f>
        <v>1.946</v>
      </c>
      <c r="AJ7" s="1279">
        <f>HLOOKUP(INT($AC7),$B$6:$O$17,9)+(HLOOKUP(INT($AC7)+1,$B$6:$O$17,9)-HLOOKUP(INT($AC7),$B$6:$O$17,9))*($AC7-INT($AC7))</f>
        <v>2.3919999999999999</v>
      </c>
      <c r="AK7" s="1279">
        <f>HLOOKUP(INT($AC7),$B$6:$O$17,10)+(HLOOKUP(INT($AC7)+1,$B$6:$O$17,10)-HLOOKUP(INT($AC7),$B$6:$O$17,10))*($AC7-INT($AC7))</f>
        <v>3.8380000000000001</v>
      </c>
      <c r="AL7" s="1267"/>
      <c r="AM7" s="1280" t="s">
        <v>869</v>
      </c>
      <c r="AN7" s="1278">
        <v>0</v>
      </c>
      <c r="AO7" s="1281">
        <f>AN7</f>
        <v>0</v>
      </c>
      <c r="AP7" s="1281">
        <f t="shared" ref="AP7:AU7" si="1">AO7</f>
        <v>0</v>
      </c>
      <c r="AQ7" s="1281">
        <f t="shared" si="1"/>
        <v>0</v>
      </c>
      <c r="AR7" s="1281">
        <f t="shared" si="1"/>
        <v>0</v>
      </c>
      <c r="AS7" s="1281">
        <f t="shared" si="1"/>
        <v>0</v>
      </c>
      <c r="AT7" s="1281">
        <f t="shared" si="1"/>
        <v>0</v>
      </c>
      <c r="AU7" s="1281">
        <f t="shared" si="1"/>
        <v>0</v>
      </c>
    </row>
    <row r="8" spans="1:47">
      <c r="A8" s="1282">
        <v>10</v>
      </c>
      <c r="B8" s="1283">
        <f t="shared" ref="B8:B17" si="2">C8</f>
        <v>0.5</v>
      </c>
      <c r="C8" s="1284">
        <v>0.5</v>
      </c>
      <c r="D8" s="1283">
        <f t="shared" ref="D8:D17" si="3">(C8+E8)/2</f>
        <v>0.5</v>
      </c>
      <c r="E8" s="1284">
        <v>0.5</v>
      </c>
      <c r="F8" s="1283">
        <f t="shared" ref="F8:F17" si="4">(E8+G8)/2</f>
        <v>0.5</v>
      </c>
      <c r="G8" s="1284">
        <v>0.5</v>
      </c>
      <c r="H8" s="1283">
        <f t="shared" ref="H8:H17" si="5">(G8+I8)/2</f>
        <v>0.5</v>
      </c>
      <c r="I8" s="1284">
        <v>0.5</v>
      </c>
      <c r="J8" s="1283">
        <f t="shared" ref="J8:J17" si="6">(I8+K8)/2</f>
        <v>0.75</v>
      </c>
      <c r="K8" s="1284">
        <v>1</v>
      </c>
      <c r="L8" s="1283">
        <f t="shared" ref="L8:L17" si="7">(K8+M8)/2</f>
        <v>1</v>
      </c>
      <c r="M8" s="1284">
        <v>1</v>
      </c>
      <c r="N8" s="1283">
        <f t="shared" ref="N8:N17" si="8">(M8+O8)/2</f>
        <v>1</v>
      </c>
      <c r="O8" s="1284">
        <v>1</v>
      </c>
      <c r="P8" s="1267"/>
      <c r="Q8" s="1275" t="s">
        <v>3</v>
      </c>
      <c r="R8" s="1382">
        <f>'환기량 산정'!C8</f>
        <v>0</v>
      </c>
      <c r="S8" s="1279">
        <f t="shared" ref="S8:S16" si="9">HLOOKUP(INT($R8),$B$6:$O$17,3)+(HLOOKUP(INT($R8)+1,$B$6:$O$17,3)-HLOOKUP(INT($R8),$B$6:$O$17,3))*($R8-INT($R8))</f>
        <v>0.5</v>
      </c>
      <c r="T8" s="1279">
        <f t="shared" si="0"/>
        <v>1</v>
      </c>
      <c r="U8" s="1279">
        <f t="shared" ref="U8:U16" si="10">HLOOKUP(INT($R8),$B$6:$O$17,5)+(HLOOKUP(INT($R8)+1,$B$6:$O$17,5)-HLOOKUP(INT($R8),$B$6:$O$17,5))*($R8-INT($R8))</f>
        <v>1</v>
      </c>
      <c r="V8" s="1279">
        <f t="shared" ref="V8:V16" si="11">HLOOKUP(INT($R8),$B$6:$O$17,6)+(HLOOKUP(INT($R8)+1,$B$6:$O$17,6)-HLOOKUP(INT($R8),$B$6:$O$17,6))*($R8-INT($R8))</f>
        <v>1</v>
      </c>
      <c r="W8" s="1279">
        <f t="shared" ref="W8:W16" si="12">HLOOKUP(INT($R8),$B$6:$O$17,7)+(HLOOKUP(INT($R8)+1,$B$6:$O$17,7)-HLOOKUP(INT($R8),$B$6:$O$17,7))*($R8-INT($R8))</f>
        <v>1</v>
      </c>
      <c r="X8" s="1279">
        <f t="shared" ref="X8:X16" si="13">HLOOKUP(INT($R8),$B$6:$O$17,8)+(HLOOKUP(INT($R8)+1,$B$6:$O$17,8)-HLOOKUP(INT($R8),$B$6:$O$17,8))*($R8-INT($R8))</f>
        <v>1.5</v>
      </c>
      <c r="Y8" s="1279">
        <f t="shared" ref="Y8:Y16" si="14">HLOOKUP(INT($R8),$B$6:$O$17,9)+(HLOOKUP(INT($R8)+1,$B$6:$O$17,9)-HLOOKUP(INT($R8),$B$6:$O$17,9))*($R8-INT($R8))</f>
        <v>1.5</v>
      </c>
      <c r="Z8" s="1279">
        <f t="shared" ref="Z8:Z16" si="15">HLOOKUP(INT($R8),$B$6:$O$17,10)+(HLOOKUP(INT($R8)+1,$B$6:$O$17,10)-HLOOKUP(INT($R8),$B$6:$O$17,10))*($R8-INT($R8))</f>
        <v>2.5</v>
      </c>
      <c r="AA8" s="1267"/>
      <c r="AB8" s="1275" t="s">
        <v>3</v>
      </c>
      <c r="AC8" s="1382">
        <f>'환기량 산정'!H8</f>
        <v>0</v>
      </c>
      <c r="AD8" s="1279">
        <f t="shared" ref="AD8:AD16" si="16">HLOOKUP(INT($AC8),$B$6:$O$17,3)+(HLOOKUP(INT($AC8)+1,$B$6:$O$17,3)-HLOOKUP(INT($AC8),$B$6:$O$17,3))*($AC8-INT($AC8))</f>
        <v>0.5</v>
      </c>
      <c r="AE8" s="1279">
        <f t="shared" ref="AE8:AE16" si="17">HLOOKUP(INT($AC8),$B$6:$O$17,4)+(HLOOKUP(INT($AC8)+1,$B$6:$O$17,4)-HLOOKUP(INT($AC8),$B$6:$O$17,4))*($AC8-INT($AC8))</f>
        <v>1</v>
      </c>
      <c r="AF8" s="1279">
        <f t="shared" ref="AF8:AF16" si="18">HLOOKUP(INT($AC8),$B$6:$O$17,5)+(HLOOKUP(INT($AC8)+1,$B$6:$O$17,5)-HLOOKUP(INT($AC8),$B$6:$O$17,5))*($AC8-INT($AC8))</f>
        <v>1</v>
      </c>
      <c r="AG8" s="1279">
        <f t="shared" ref="AG8:AG16" si="19">HLOOKUP(INT($AC8),$B$6:$O$17,6)+(HLOOKUP(INT($AC8)+1,$B$6:$O$17,6)-HLOOKUP(INT($AC8),$B$6:$O$17,6))*($AC8-INT($AC8))</f>
        <v>1</v>
      </c>
      <c r="AH8" s="1279">
        <f t="shared" ref="AH8:AH16" si="20">HLOOKUP(INT($AC8),$B$6:$O$17,7)+(HLOOKUP(INT($AC8)+1,$B$6:$O$17,7)-HLOOKUP(INT($AC8),$B$6:$O$17,7))*($AC8-INT($AC8))</f>
        <v>1</v>
      </c>
      <c r="AI8" s="1279">
        <f t="shared" ref="AI8:AI16" si="21">HLOOKUP(INT($AC8),$B$6:$O$17,8)+(HLOOKUP(INT($AC8)+1,$B$6:$O$17,8)-HLOOKUP(INT($AC8),$B$6:$O$17,8))*($AC8-INT($AC8))</f>
        <v>1.5</v>
      </c>
      <c r="AJ8" s="1279">
        <f t="shared" ref="AJ8:AJ16" si="22">HLOOKUP(INT($AC8),$B$6:$O$17,9)+(HLOOKUP(INT($AC8)+1,$B$6:$O$17,9)-HLOOKUP(INT($AC8),$B$6:$O$17,9))*($AC8-INT($AC8))</f>
        <v>1.5</v>
      </c>
      <c r="AK8" s="1279">
        <f t="shared" ref="AK8:AK16" si="23">HLOOKUP(INT($AC8),$B$6:$O$17,10)+(HLOOKUP(INT($AC8)+1,$B$6:$O$17,10)-HLOOKUP(INT($AC8),$B$6:$O$17,10))*($AC8-INT($AC8))</f>
        <v>2.5</v>
      </c>
      <c r="AL8" s="1267"/>
      <c r="AM8" s="1267" t="s">
        <v>877</v>
      </c>
      <c r="AN8" s="1279">
        <f t="shared" ref="AN8:AU8" si="24">AN11+(AN13-AN11)*(AN7-AN10)</f>
        <v>0.5</v>
      </c>
      <c r="AO8" s="1279">
        <f t="shared" si="24"/>
        <v>1</v>
      </c>
      <c r="AP8" s="1279">
        <f t="shared" si="24"/>
        <v>1</v>
      </c>
      <c r="AQ8" s="1279">
        <f t="shared" si="24"/>
        <v>1</v>
      </c>
      <c r="AR8" s="1279">
        <f t="shared" si="24"/>
        <v>1</v>
      </c>
      <c r="AS8" s="1279">
        <f t="shared" si="24"/>
        <v>1.5</v>
      </c>
      <c r="AT8" s="1279">
        <f t="shared" si="24"/>
        <v>1.5</v>
      </c>
      <c r="AU8" s="1279">
        <f t="shared" si="24"/>
        <v>2.5</v>
      </c>
    </row>
    <row r="9" spans="1:47">
      <c r="A9" s="1282">
        <v>20</v>
      </c>
      <c r="B9" s="1283">
        <f t="shared" si="2"/>
        <v>0.5</v>
      </c>
      <c r="C9" s="1284">
        <v>0.5</v>
      </c>
      <c r="D9" s="1283">
        <f t="shared" si="3"/>
        <v>0.5</v>
      </c>
      <c r="E9" s="1284">
        <v>0.5</v>
      </c>
      <c r="F9" s="1283">
        <f t="shared" si="4"/>
        <v>0.5</v>
      </c>
      <c r="G9" s="1284">
        <v>0.5</v>
      </c>
      <c r="H9" s="1283">
        <f t="shared" si="5"/>
        <v>0.75</v>
      </c>
      <c r="I9" s="1284">
        <v>1</v>
      </c>
      <c r="J9" s="1283">
        <f t="shared" si="6"/>
        <v>1</v>
      </c>
      <c r="K9" s="1284">
        <v>1</v>
      </c>
      <c r="L9" s="1283">
        <f t="shared" si="7"/>
        <v>1</v>
      </c>
      <c r="M9" s="1284">
        <v>1</v>
      </c>
      <c r="N9" s="1283">
        <f t="shared" si="8"/>
        <v>1.25</v>
      </c>
      <c r="O9" s="1284">
        <v>1.5</v>
      </c>
      <c r="P9" s="1267"/>
      <c r="Q9" s="1275" t="s">
        <v>878</v>
      </c>
      <c r="R9" s="1382">
        <f>'환기량 산정'!D8</f>
        <v>0</v>
      </c>
      <c r="S9" s="1279">
        <f t="shared" si="9"/>
        <v>0.5</v>
      </c>
      <c r="T9" s="1279">
        <f t="shared" si="0"/>
        <v>1</v>
      </c>
      <c r="U9" s="1279">
        <f t="shared" si="10"/>
        <v>1</v>
      </c>
      <c r="V9" s="1279">
        <f t="shared" si="11"/>
        <v>1</v>
      </c>
      <c r="W9" s="1279">
        <f t="shared" si="12"/>
        <v>1</v>
      </c>
      <c r="X9" s="1279">
        <f t="shared" si="13"/>
        <v>1.5</v>
      </c>
      <c r="Y9" s="1279">
        <f t="shared" si="14"/>
        <v>1.5</v>
      </c>
      <c r="Z9" s="1279">
        <f t="shared" si="15"/>
        <v>2.5</v>
      </c>
      <c r="AA9" s="1267"/>
      <c r="AB9" s="1275" t="s">
        <v>878</v>
      </c>
      <c r="AC9" s="1382">
        <f>'환기량 산정'!I8</f>
        <v>0</v>
      </c>
      <c r="AD9" s="1279">
        <f t="shared" si="16"/>
        <v>0.5</v>
      </c>
      <c r="AE9" s="1279">
        <f t="shared" si="17"/>
        <v>1</v>
      </c>
      <c r="AF9" s="1279">
        <f t="shared" si="18"/>
        <v>1</v>
      </c>
      <c r="AG9" s="1279">
        <f t="shared" si="19"/>
        <v>1</v>
      </c>
      <c r="AH9" s="1279">
        <f t="shared" si="20"/>
        <v>1</v>
      </c>
      <c r="AI9" s="1279">
        <f t="shared" si="21"/>
        <v>1.5</v>
      </c>
      <c r="AJ9" s="1279">
        <f t="shared" si="22"/>
        <v>1.5</v>
      </c>
      <c r="AK9" s="1279">
        <f t="shared" si="23"/>
        <v>2.5</v>
      </c>
      <c r="AL9" s="1267"/>
      <c r="AM9" s="1267"/>
      <c r="AN9" s="1275"/>
      <c r="AO9" s="1275"/>
      <c r="AP9" s="1275"/>
      <c r="AQ9" s="1275"/>
      <c r="AR9" s="1275"/>
      <c r="AS9" s="1275"/>
      <c r="AT9" s="1275"/>
      <c r="AU9" s="1275"/>
    </row>
    <row r="10" spans="1:47">
      <c r="A10" s="1282">
        <v>30</v>
      </c>
      <c r="B10" s="1283">
        <f t="shared" si="2"/>
        <v>0.5</v>
      </c>
      <c r="C10" s="1284">
        <v>0.5</v>
      </c>
      <c r="D10" s="1283">
        <f t="shared" si="3"/>
        <v>0.5</v>
      </c>
      <c r="E10" s="1284">
        <v>0.5</v>
      </c>
      <c r="F10" s="1283">
        <f t="shared" si="4"/>
        <v>0.5</v>
      </c>
      <c r="G10" s="1284">
        <v>0.5</v>
      </c>
      <c r="H10" s="1283">
        <f t="shared" si="5"/>
        <v>0.75</v>
      </c>
      <c r="I10" s="1284">
        <v>1</v>
      </c>
      <c r="J10" s="1283">
        <f t="shared" si="6"/>
        <v>1</v>
      </c>
      <c r="K10" s="1284">
        <v>1</v>
      </c>
      <c r="L10" s="1283">
        <f t="shared" si="7"/>
        <v>1.25</v>
      </c>
      <c r="M10" s="1284">
        <v>1.5</v>
      </c>
      <c r="N10" s="1283">
        <f t="shared" si="8"/>
        <v>1.75</v>
      </c>
      <c r="O10" s="1284">
        <v>2</v>
      </c>
      <c r="P10" s="1267"/>
      <c r="Q10" s="1275" t="s">
        <v>879</v>
      </c>
      <c r="R10" s="1382">
        <f>'환기량 산정'!E8</f>
        <v>0</v>
      </c>
      <c r="S10" s="1279">
        <f t="shared" si="9"/>
        <v>0.5</v>
      </c>
      <c r="T10" s="1279">
        <f t="shared" si="0"/>
        <v>1</v>
      </c>
      <c r="U10" s="1279">
        <f t="shared" si="10"/>
        <v>1</v>
      </c>
      <c r="V10" s="1279">
        <f t="shared" si="11"/>
        <v>1</v>
      </c>
      <c r="W10" s="1279">
        <f t="shared" si="12"/>
        <v>1</v>
      </c>
      <c r="X10" s="1279">
        <f t="shared" si="13"/>
        <v>1.5</v>
      </c>
      <c r="Y10" s="1279">
        <f t="shared" si="14"/>
        <v>1.5</v>
      </c>
      <c r="Z10" s="1279">
        <f t="shared" si="15"/>
        <v>2.5</v>
      </c>
      <c r="AA10" s="1267"/>
      <c r="AB10" s="1275" t="s">
        <v>879</v>
      </c>
      <c r="AC10" s="1382">
        <f>'환기량 산정'!J8</f>
        <v>0</v>
      </c>
      <c r="AD10" s="1279">
        <f t="shared" si="16"/>
        <v>0.5</v>
      </c>
      <c r="AE10" s="1279">
        <f t="shared" si="17"/>
        <v>1</v>
      </c>
      <c r="AF10" s="1279">
        <f t="shared" si="18"/>
        <v>1</v>
      </c>
      <c r="AG10" s="1279">
        <f t="shared" si="19"/>
        <v>1</v>
      </c>
      <c r="AH10" s="1279">
        <f t="shared" si="20"/>
        <v>1</v>
      </c>
      <c r="AI10" s="1279">
        <f t="shared" si="21"/>
        <v>1.5</v>
      </c>
      <c r="AJ10" s="1279">
        <f t="shared" si="22"/>
        <v>1.5</v>
      </c>
      <c r="AK10" s="1279">
        <f t="shared" si="23"/>
        <v>2.5</v>
      </c>
      <c r="AL10" s="1267"/>
      <c r="AM10" s="1285" t="s">
        <v>880</v>
      </c>
      <c r="AN10" s="1286">
        <f>INT(AN7)</f>
        <v>0</v>
      </c>
      <c r="AO10" s="1286">
        <f t="shared" ref="AO10:AU10" si="25">INT(AO7)</f>
        <v>0</v>
      </c>
      <c r="AP10" s="1286">
        <f t="shared" si="25"/>
        <v>0</v>
      </c>
      <c r="AQ10" s="1286">
        <f t="shared" si="25"/>
        <v>0</v>
      </c>
      <c r="AR10" s="1286">
        <f t="shared" si="25"/>
        <v>0</v>
      </c>
      <c r="AS10" s="1286">
        <f t="shared" si="25"/>
        <v>0</v>
      </c>
      <c r="AT10" s="1286">
        <f t="shared" si="25"/>
        <v>0</v>
      </c>
      <c r="AU10" s="1286">
        <f t="shared" si="25"/>
        <v>0</v>
      </c>
    </row>
    <row r="11" spans="1:47">
      <c r="A11" s="1287">
        <v>40</v>
      </c>
      <c r="B11" s="1288">
        <f t="shared" si="2"/>
        <v>1</v>
      </c>
      <c r="C11" s="1289">
        <v>1</v>
      </c>
      <c r="D11" s="1288">
        <f t="shared" si="3"/>
        <v>1</v>
      </c>
      <c r="E11" s="1289">
        <v>1</v>
      </c>
      <c r="F11" s="1288">
        <f t="shared" si="4"/>
        <v>1</v>
      </c>
      <c r="G11" s="1289">
        <v>1</v>
      </c>
      <c r="H11" s="1288">
        <f t="shared" si="5"/>
        <v>1</v>
      </c>
      <c r="I11" s="1289">
        <v>1</v>
      </c>
      <c r="J11" s="1288">
        <f t="shared" si="6"/>
        <v>1.25</v>
      </c>
      <c r="K11" s="1289">
        <v>1.5</v>
      </c>
      <c r="L11" s="1288">
        <f t="shared" si="7"/>
        <v>1.75</v>
      </c>
      <c r="M11" s="1289">
        <v>2</v>
      </c>
      <c r="N11" s="1288">
        <f t="shared" si="8"/>
        <v>2.25</v>
      </c>
      <c r="O11" s="1289">
        <v>2.5</v>
      </c>
      <c r="P11" s="1267"/>
      <c r="Q11" s="1275" t="s">
        <v>881</v>
      </c>
      <c r="R11" s="1382">
        <f>'환기량 산정'!F8</f>
        <v>0</v>
      </c>
      <c r="S11" s="1279">
        <f t="shared" si="9"/>
        <v>0.5</v>
      </c>
      <c r="T11" s="1279">
        <f t="shared" si="0"/>
        <v>1</v>
      </c>
      <c r="U11" s="1279">
        <f t="shared" si="10"/>
        <v>1</v>
      </c>
      <c r="V11" s="1279">
        <f t="shared" si="11"/>
        <v>1</v>
      </c>
      <c r="W11" s="1279">
        <f t="shared" si="12"/>
        <v>1</v>
      </c>
      <c r="X11" s="1279">
        <f t="shared" si="13"/>
        <v>1.5</v>
      </c>
      <c r="Y11" s="1279">
        <f t="shared" si="14"/>
        <v>1.5</v>
      </c>
      <c r="Z11" s="1279">
        <f t="shared" si="15"/>
        <v>2.5</v>
      </c>
      <c r="AA11" s="1267"/>
      <c r="AB11" s="1275" t="s">
        <v>881</v>
      </c>
      <c r="AC11" s="1382">
        <f>'환기량 산정'!K8</f>
        <v>0</v>
      </c>
      <c r="AD11" s="1279">
        <f t="shared" si="16"/>
        <v>0.5</v>
      </c>
      <c r="AE11" s="1279">
        <f t="shared" si="17"/>
        <v>1</v>
      </c>
      <c r="AF11" s="1279">
        <f t="shared" si="18"/>
        <v>1</v>
      </c>
      <c r="AG11" s="1279">
        <f t="shared" si="19"/>
        <v>1</v>
      </c>
      <c r="AH11" s="1279">
        <f t="shared" si="20"/>
        <v>1</v>
      </c>
      <c r="AI11" s="1279">
        <f t="shared" si="21"/>
        <v>1.5</v>
      </c>
      <c r="AJ11" s="1279">
        <f t="shared" si="22"/>
        <v>1.5</v>
      </c>
      <c r="AK11" s="1279">
        <f t="shared" si="23"/>
        <v>2.5</v>
      </c>
      <c r="AL11" s="1267"/>
      <c r="AM11" s="1285" t="s">
        <v>882</v>
      </c>
      <c r="AN11" s="1290">
        <f t="shared" ref="AN11:AU11" si="26">HLOOKUP(AN10,$B$6:$O$17,AN14)</f>
        <v>0.5</v>
      </c>
      <c r="AO11" s="1290">
        <f t="shared" si="26"/>
        <v>1</v>
      </c>
      <c r="AP11" s="1290">
        <f t="shared" si="26"/>
        <v>1</v>
      </c>
      <c r="AQ11" s="1290">
        <f t="shared" si="26"/>
        <v>1</v>
      </c>
      <c r="AR11" s="1290">
        <f t="shared" si="26"/>
        <v>1</v>
      </c>
      <c r="AS11" s="1290">
        <f t="shared" si="26"/>
        <v>1.5</v>
      </c>
      <c r="AT11" s="1290">
        <f t="shared" si="26"/>
        <v>1.5</v>
      </c>
      <c r="AU11" s="1290">
        <f t="shared" si="26"/>
        <v>2.5</v>
      </c>
    </row>
    <row r="12" spans="1:47">
      <c r="A12" s="1287">
        <v>50</v>
      </c>
      <c r="B12" s="1288">
        <f t="shared" si="2"/>
        <v>1</v>
      </c>
      <c r="C12" s="1289">
        <v>1</v>
      </c>
      <c r="D12" s="1288">
        <f t="shared" si="3"/>
        <v>1</v>
      </c>
      <c r="E12" s="1289">
        <v>1</v>
      </c>
      <c r="F12" s="1288">
        <f t="shared" si="4"/>
        <v>1</v>
      </c>
      <c r="G12" s="1289">
        <v>1</v>
      </c>
      <c r="H12" s="1288">
        <f t="shared" si="5"/>
        <v>1</v>
      </c>
      <c r="I12" s="1289">
        <v>1</v>
      </c>
      <c r="J12" s="1288">
        <f t="shared" si="6"/>
        <v>1.25</v>
      </c>
      <c r="K12" s="1289">
        <v>1.5</v>
      </c>
      <c r="L12" s="1288">
        <f t="shared" si="7"/>
        <v>1.75</v>
      </c>
      <c r="M12" s="1289">
        <v>2</v>
      </c>
      <c r="N12" s="1288">
        <f t="shared" si="8"/>
        <v>2.5</v>
      </c>
      <c r="O12" s="1289">
        <v>3</v>
      </c>
      <c r="P12" s="1267"/>
      <c r="Q12" s="1275" t="s">
        <v>883</v>
      </c>
      <c r="R12" s="1382">
        <f>'환기량 산정'!B13</f>
        <v>0</v>
      </c>
      <c r="S12" s="1279">
        <f t="shared" si="9"/>
        <v>0.5</v>
      </c>
      <c r="T12" s="1279">
        <f t="shared" si="0"/>
        <v>1</v>
      </c>
      <c r="U12" s="1279">
        <f t="shared" si="10"/>
        <v>1</v>
      </c>
      <c r="V12" s="1279">
        <f t="shared" si="11"/>
        <v>1</v>
      </c>
      <c r="W12" s="1279">
        <f t="shared" si="12"/>
        <v>1</v>
      </c>
      <c r="X12" s="1279">
        <f t="shared" si="13"/>
        <v>1.5</v>
      </c>
      <c r="Y12" s="1279">
        <f t="shared" si="14"/>
        <v>1.5</v>
      </c>
      <c r="Z12" s="1279">
        <f t="shared" si="15"/>
        <v>2.5</v>
      </c>
      <c r="AA12" s="1267"/>
      <c r="AB12" s="1275" t="s">
        <v>883</v>
      </c>
      <c r="AC12" s="1382">
        <f>'환기량 산정'!G13</f>
        <v>0</v>
      </c>
      <c r="AD12" s="1279">
        <f t="shared" si="16"/>
        <v>0.5</v>
      </c>
      <c r="AE12" s="1279">
        <f t="shared" si="17"/>
        <v>1</v>
      </c>
      <c r="AF12" s="1279">
        <f t="shared" si="18"/>
        <v>1</v>
      </c>
      <c r="AG12" s="1279">
        <f t="shared" si="19"/>
        <v>1</v>
      </c>
      <c r="AH12" s="1279">
        <f t="shared" si="20"/>
        <v>1</v>
      </c>
      <c r="AI12" s="1279">
        <f t="shared" si="21"/>
        <v>1.5</v>
      </c>
      <c r="AJ12" s="1279">
        <f t="shared" si="22"/>
        <v>1.5</v>
      </c>
      <c r="AK12" s="1279">
        <f t="shared" si="23"/>
        <v>2.5</v>
      </c>
      <c r="AL12" s="1267"/>
      <c r="AM12" s="1285" t="s">
        <v>884</v>
      </c>
      <c r="AN12" s="1286">
        <f>AN10+1</f>
        <v>1</v>
      </c>
      <c r="AO12" s="1286">
        <f t="shared" ref="AO12:AU12" si="27">AO10+1</f>
        <v>1</v>
      </c>
      <c r="AP12" s="1286">
        <f t="shared" si="27"/>
        <v>1</v>
      </c>
      <c r="AQ12" s="1286">
        <f t="shared" si="27"/>
        <v>1</v>
      </c>
      <c r="AR12" s="1286">
        <f t="shared" si="27"/>
        <v>1</v>
      </c>
      <c r="AS12" s="1286">
        <f t="shared" si="27"/>
        <v>1</v>
      </c>
      <c r="AT12" s="1286">
        <f t="shared" si="27"/>
        <v>1</v>
      </c>
      <c r="AU12" s="1286">
        <f t="shared" si="27"/>
        <v>1</v>
      </c>
    </row>
    <row r="13" spans="1:47">
      <c r="A13" s="1287">
        <v>60</v>
      </c>
      <c r="B13" s="1288">
        <f t="shared" si="2"/>
        <v>1</v>
      </c>
      <c r="C13" s="1289">
        <v>1</v>
      </c>
      <c r="D13" s="1288">
        <f t="shared" si="3"/>
        <v>1</v>
      </c>
      <c r="E13" s="1289">
        <v>1</v>
      </c>
      <c r="F13" s="1288">
        <f t="shared" si="4"/>
        <v>1</v>
      </c>
      <c r="G13" s="1289">
        <v>1</v>
      </c>
      <c r="H13" s="1288">
        <f t="shared" si="5"/>
        <v>1.25</v>
      </c>
      <c r="I13" s="1289">
        <v>1.5</v>
      </c>
      <c r="J13" s="1288">
        <f t="shared" si="6"/>
        <v>1.75</v>
      </c>
      <c r="K13" s="1289">
        <v>2</v>
      </c>
      <c r="L13" s="1288">
        <f t="shared" si="7"/>
        <v>2.5</v>
      </c>
      <c r="M13" s="1289">
        <v>3</v>
      </c>
      <c r="N13" s="1288">
        <f t="shared" si="8"/>
        <v>3.75</v>
      </c>
      <c r="O13" s="1289">
        <v>4.5</v>
      </c>
      <c r="P13" s="1267"/>
      <c r="Q13" s="1275" t="s">
        <v>885</v>
      </c>
      <c r="R13" s="1382">
        <f>'환기량 산정'!C13</f>
        <v>0</v>
      </c>
      <c r="S13" s="1279">
        <f t="shared" si="9"/>
        <v>0.5</v>
      </c>
      <c r="T13" s="1279">
        <f t="shared" si="0"/>
        <v>1</v>
      </c>
      <c r="U13" s="1279">
        <f t="shared" si="10"/>
        <v>1</v>
      </c>
      <c r="V13" s="1279">
        <f t="shared" si="11"/>
        <v>1</v>
      </c>
      <c r="W13" s="1279">
        <f t="shared" si="12"/>
        <v>1</v>
      </c>
      <c r="X13" s="1279">
        <f t="shared" si="13"/>
        <v>1.5</v>
      </c>
      <c r="Y13" s="1279">
        <f t="shared" si="14"/>
        <v>1.5</v>
      </c>
      <c r="Z13" s="1279">
        <f t="shared" si="15"/>
        <v>2.5</v>
      </c>
      <c r="AA13" s="1267"/>
      <c r="AB13" s="1275" t="s">
        <v>885</v>
      </c>
      <c r="AC13" s="1382">
        <f>'환기량 산정'!H13</f>
        <v>0</v>
      </c>
      <c r="AD13" s="1279">
        <f t="shared" si="16"/>
        <v>0.5</v>
      </c>
      <c r="AE13" s="1279">
        <f t="shared" si="17"/>
        <v>1</v>
      </c>
      <c r="AF13" s="1279">
        <f t="shared" si="18"/>
        <v>1</v>
      </c>
      <c r="AG13" s="1279">
        <f t="shared" si="19"/>
        <v>1</v>
      </c>
      <c r="AH13" s="1279">
        <f t="shared" si="20"/>
        <v>1</v>
      </c>
      <c r="AI13" s="1279">
        <f t="shared" si="21"/>
        <v>1.5</v>
      </c>
      <c r="AJ13" s="1279">
        <f t="shared" si="22"/>
        <v>1.5</v>
      </c>
      <c r="AK13" s="1279">
        <f t="shared" si="23"/>
        <v>2.5</v>
      </c>
      <c r="AL13" s="1267"/>
      <c r="AM13" s="1285" t="s">
        <v>886</v>
      </c>
      <c r="AN13" s="1290">
        <f t="shared" ref="AN13:AU13" si="28">HLOOKUP(AN12,$B$6:$O$17,AN14)</f>
        <v>0.75</v>
      </c>
      <c r="AO13" s="1290">
        <f t="shared" si="28"/>
        <v>1</v>
      </c>
      <c r="AP13" s="1290">
        <f t="shared" si="28"/>
        <v>1</v>
      </c>
      <c r="AQ13" s="1290">
        <f t="shared" si="28"/>
        <v>1.25</v>
      </c>
      <c r="AR13" s="1290">
        <f t="shared" si="28"/>
        <v>1.25</v>
      </c>
      <c r="AS13" s="1290">
        <f t="shared" si="28"/>
        <v>1.75</v>
      </c>
      <c r="AT13" s="1290">
        <f t="shared" si="28"/>
        <v>2</v>
      </c>
      <c r="AU13" s="1290">
        <f t="shared" si="28"/>
        <v>3.25</v>
      </c>
    </row>
    <row r="14" spans="1:47">
      <c r="A14" s="1282">
        <v>70</v>
      </c>
      <c r="B14" s="1283">
        <f t="shared" si="2"/>
        <v>1</v>
      </c>
      <c r="C14" s="1284">
        <v>1</v>
      </c>
      <c r="D14" s="1283">
        <f t="shared" si="3"/>
        <v>1</v>
      </c>
      <c r="E14" s="1284">
        <v>1</v>
      </c>
      <c r="F14" s="1283">
        <f t="shared" si="4"/>
        <v>1.25</v>
      </c>
      <c r="G14" s="1284">
        <v>1.5</v>
      </c>
      <c r="H14" s="1283">
        <f t="shared" si="5"/>
        <v>1.5</v>
      </c>
      <c r="I14" s="1284">
        <v>1.5</v>
      </c>
      <c r="J14" s="1283">
        <f t="shared" si="6"/>
        <v>2</v>
      </c>
      <c r="K14" s="1284">
        <v>2.5</v>
      </c>
      <c r="L14" s="1283">
        <f t="shared" si="7"/>
        <v>3.5</v>
      </c>
      <c r="M14" s="1284">
        <v>4.5</v>
      </c>
      <c r="N14" s="1283">
        <f t="shared" si="8"/>
        <v>6</v>
      </c>
      <c r="O14" s="1284">
        <v>7.5</v>
      </c>
      <c r="P14" s="1267"/>
      <c r="Q14" s="1275" t="s">
        <v>887</v>
      </c>
      <c r="R14" s="1382">
        <f>'환기량 산정'!D13</f>
        <v>0</v>
      </c>
      <c r="S14" s="1279">
        <f t="shared" si="9"/>
        <v>0.5</v>
      </c>
      <c r="T14" s="1279">
        <f t="shared" si="0"/>
        <v>1</v>
      </c>
      <c r="U14" s="1279">
        <f t="shared" si="10"/>
        <v>1</v>
      </c>
      <c r="V14" s="1279">
        <f t="shared" si="11"/>
        <v>1</v>
      </c>
      <c r="W14" s="1279">
        <f t="shared" si="12"/>
        <v>1</v>
      </c>
      <c r="X14" s="1279">
        <f t="shared" si="13"/>
        <v>1.5</v>
      </c>
      <c r="Y14" s="1279">
        <f t="shared" si="14"/>
        <v>1.5</v>
      </c>
      <c r="Z14" s="1279">
        <f t="shared" si="15"/>
        <v>2.5</v>
      </c>
      <c r="AA14" s="1267"/>
      <c r="AB14" s="1275" t="s">
        <v>887</v>
      </c>
      <c r="AC14" s="1382">
        <f>'환기량 산정'!I13</f>
        <v>0</v>
      </c>
      <c r="AD14" s="1279">
        <f t="shared" si="16"/>
        <v>0.5</v>
      </c>
      <c r="AE14" s="1279">
        <f t="shared" si="17"/>
        <v>1</v>
      </c>
      <c r="AF14" s="1279">
        <f t="shared" si="18"/>
        <v>1</v>
      </c>
      <c r="AG14" s="1279">
        <f t="shared" si="19"/>
        <v>1</v>
      </c>
      <c r="AH14" s="1279">
        <f t="shared" si="20"/>
        <v>1</v>
      </c>
      <c r="AI14" s="1279">
        <f t="shared" si="21"/>
        <v>1.5</v>
      </c>
      <c r="AJ14" s="1279">
        <f t="shared" si="22"/>
        <v>1.5</v>
      </c>
      <c r="AK14" s="1279">
        <f t="shared" si="23"/>
        <v>2.5</v>
      </c>
      <c r="AL14" s="1267"/>
      <c r="AM14" s="1267"/>
      <c r="AN14" s="1275">
        <v>3</v>
      </c>
      <c r="AO14" s="1275">
        <v>4</v>
      </c>
      <c r="AP14" s="1275">
        <v>5</v>
      </c>
      <c r="AQ14" s="1275">
        <v>6</v>
      </c>
      <c r="AR14" s="1275">
        <v>7</v>
      </c>
      <c r="AS14" s="1275">
        <v>8</v>
      </c>
      <c r="AT14" s="1275">
        <v>9</v>
      </c>
      <c r="AU14" s="1275">
        <v>10</v>
      </c>
    </row>
    <row r="15" spans="1:47">
      <c r="A15" s="1282">
        <v>80</v>
      </c>
      <c r="B15" s="1283">
        <f t="shared" si="2"/>
        <v>1</v>
      </c>
      <c r="C15" s="1284">
        <v>1</v>
      </c>
      <c r="D15" s="1283">
        <f t="shared" si="3"/>
        <v>1.25</v>
      </c>
      <c r="E15" s="1284">
        <v>1.5</v>
      </c>
      <c r="F15" s="1283">
        <f t="shared" si="4"/>
        <v>1.5</v>
      </c>
      <c r="G15" s="1284">
        <v>1.5</v>
      </c>
      <c r="H15" s="1283">
        <f t="shared" si="5"/>
        <v>2</v>
      </c>
      <c r="I15" s="1284">
        <v>2.5</v>
      </c>
      <c r="J15" s="1283">
        <f t="shared" si="6"/>
        <v>3.25</v>
      </c>
      <c r="K15" s="1284">
        <v>4</v>
      </c>
      <c r="L15" s="1283">
        <f t="shared" si="7"/>
        <v>5.25</v>
      </c>
      <c r="M15" s="1284">
        <v>6.5</v>
      </c>
      <c r="N15" s="1283">
        <f t="shared" si="8"/>
        <v>9.25</v>
      </c>
      <c r="O15" s="1284">
        <v>12</v>
      </c>
      <c r="P15" s="1267"/>
      <c r="Q15" s="1275" t="s">
        <v>888</v>
      </c>
      <c r="R15" s="1382">
        <f>'환기량 산정'!E13</f>
        <v>0</v>
      </c>
      <c r="S15" s="1279">
        <f t="shared" si="9"/>
        <v>0.5</v>
      </c>
      <c r="T15" s="1279">
        <f t="shared" si="0"/>
        <v>1</v>
      </c>
      <c r="U15" s="1279">
        <f t="shared" si="10"/>
        <v>1</v>
      </c>
      <c r="V15" s="1279">
        <f t="shared" si="11"/>
        <v>1</v>
      </c>
      <c r="W15" s="1279">
        <f t="shared" si="12"/>
        <v>1</v>
      </c>
      <c r="X15" s="1279">
        <f t="shared" si="13"/>
        <v>1.5</v>
      </c>
      <c r="Y15" s="1279">
        <f t="shared" si="14"/>
        <v>1.5</v>
      </c>
      <c r="Z15" s="1279">
        <f t="shared" si="15"/>
        <v>2.5</v>
      </c>
      <c r="AA15" s="1267"/>
      <c r="AB15" s="1275" t="s">
        <v>888</v>
      </c>
      <c r="AC15" s="1382">
        <f>'환기량 산정'!J13</f>
        <v>0</v>
      </c>
      <c r="AD15" s="1279">
        <f t="shared" si="16"/>
        <v>0.5</v>
      </c>
      <c r="AE15" s="1279">
        <f t="shared" si="17"/>
        <v>1</v>
      </c>
      <c r="AF15" s="1279">
        <f t="shared" si="18"/>
        <v>1</v>
      </c>
      <c r="AG15" s="1279">
        <f t="shared" si="19"/>
        <v>1</v>
      </c>
      <c r="AH15" s="1279">
        <f t="shared" si="20"/>
        <v>1</v>
      </c>
      <c r="AI15" s="1279">
        <f t="shared" si="21"/>
        <v>1.5</v>
      </c>
      <c r="AJ15" s="1279">
        <f t="shared" si="22"/>
        <v>1.5</v>
      </c>
      <c r="AK15" s="1279">
        <f t="shared" si="23"/>
        <v>2.5</v>
      </c>
      <c r="AL15" s="1267"/>
      <c r="AM15" s="1267"/>
      <c r="AN15" s="1267"/>
      <c r="AO15" s="1267"/>
      <c r="AP15" s="1267"/>
      <c r="AQ15" s="1267"/>
      <c r="AR15" s="1267"/>
      <c r="AS15" s="1267"/>
      <c r="AT15" s="1267"/>
      <c r="AU15" s="1267"/>
    </row>
    <row r="16" spans="1:47">
      <c r="A16" s="1275">
        <v>90</v>
      </c>
      <c r="B16" s="1276">
        <f t="shared" si="2"/>
        <v>1.5</v>
      </c>
      <c r="C16" s="1277">
        <v>1.5</v>
      </c>
      <c r="D16" s="1276">
        <f t="shared" si="3"/>
        <v>1.5</v>
      </c>
      <c r="E16" s="1277">
        <v>1.5</v>
      </c>
      <c r="F16" s="1276">
        <f t="shared" si="4"/>
        <v>1.5</v>
      </c>
      <c r="G16" s="1277">
        <v>1.5</v>
      </c>
      <c r="H16" s="1276">
        <f t="shared" si="5"/>
        <v>2.25</v>
      </c>
      <c r="I16" s="1277">
        <v>3</v>
      </c>
      <c r="J16" s="1276">
        <f t="shared" si="6"/>
        <v>4.5</v>
      </c>
      <c r="K16" s="1277">
        <v>6</v>
      </c>
      <c r="L16" s="1276">
        <f t="shared" si="7"/>
        <v>8.25</v>
      </c>
      <c r="M16" s="1277">
        <v>10.5</v>
      </c>
      <c r="N16" s="1276">
        <f t="shared" si="8"/>
        <v>14.75</v>
      </c>
      <c r="O16" s="1277">
        <v>19</v>
      </c>
      <c r="P16" s="1267"/>
      <c r="Q16" s="1275" t="s">
        <v>889</v>
      </c>
      <c r="R16" s="1382">
        <f>'환기량 산정'!F13</f>
        <v>0</v>
      </c>
      <c r="S16" s="1279">
        <f t="shared" si="9"/>
        <v>0.5</v>
      </c>
      <c r="T16" s="1279">
        <f t="shared" si="0"/>
        <v>1</v>
      </c>
      <c r="U16" s="1279">
        <f t="shared" si="10"/>
        <v>1</v>
      </c>
      <c r="V16" s="1279">
        <f t="shared" si="11"/>
        <v>1</v>
      </c>
      <c r="W16" s="1279">
        <f t="shared" si="12"/>
        <v>1</v>
      </c>
      <c r="X16" s="1279">
        <f t="shared" si="13"/>
        <v>1.5</v>
      </c>
      <c r="Y16" s="1279">
        <f t="shared" si="14"/>
        <v>1.5</v>
      </c>
      <c r="Z16" s="1279">
        <f t="shared" si="15"/>
        <v>2.5</v>
      </c>
      <c r="AA16" s="1267"/>
      <c r="AB16" s="1275" t="s">
        <v>889</v>
      </c>
      <c r="AC16" s="1382">
        <f>'환기량 산정'!K13</f>
        <v>0</v>
      </c>
      <c r="AD16" s="1279">
        <f t="shared" si="16"/>
        <v>0.5</v>
      </c>
      <c r="AE16" s="1279">
        <f t="shared" si="17"/>
        <v>1</v>
      </c>
      <c r="AF16" s="1279">
        <f t="shared" si="18"/>
        <v>1</v>
      </c>
      <c r="AG16" s="1279">
        <f t="shared" si="19"/>
        <v>1</v>
      </c>
      <c r="AH16" s="1279">
        <f t="shared" si="20"/>
        <v>1</v>
      </c>
      <c r="AI16" s="1279">
        <f t="shared" si="21"/>
        <v>1.5</v>
      </c>
      <c r="AJ16" s="1279">
        <f t="shared" si="22"/>
        <v>1.5</v>
      </c>
      <c r="AK16" s="1279">
        <f t="shared" si="23"/>
        <v>2.5</v>
      </c>
      <c r="AL16" s="1267"/>
      <c r="AM16" s="1267"/>
      <c r="AN16" s="1267"/>
      <c r="AO16" s="1267"/>
      <c r="AP16" s="1267"/>
      <c r="AQ16" s="1267"/>
      <c r="AR16" s="1267"/>
      <c r="AS16" s="1267"/>
      <c r="AT16" s="1267"/>
      <c r="AU16" s="1267"/>
    </row>
    <row r="17" spans="1:47">
      <c r="A17" s="1275">
        <v>100</v>
      </c>
      <c r="B17" s="1276">
        <f t="shared" si="2"/>
        <v>2.5</v>
      </c>
      <c r="C17" s="1277">
        <v>2.5</v>
      </c>
      <c r="D17" s="1276">
        <f t="shared" si="3"/>
        <v>2</v>
      </c>
      <c r="E17" s="1277">
        <v>1.5</v>
      </c>
      <c r="F17" s="1276">
        <f t="shared" si="4"/>
        <v>1.75</v>
      </c>
      <c r="G17" s="1277">
        <v>2</v>
      </c>
      <c r="H17" s="1276">
        <f t="shared" si="5"/>
        <v>2.75</v>
      </c>
      <c r="I17" s="1277">
        <v>3.5</v>
      </c>
      <c r="J17" s="1276">
        <f t="shared" si="6"/>
        <v>5.5</v>
      </c>
      <c r="K17" s="1277">
        <v>7.5</v>
      </c>
      <c r="L17" s="1276">
        <f t="shared" si="7"/>
        <v>11</v>
      </c>
      <c r="M17" s="1277">
        <v>14.5</v>
      </c>
      <c r="N17" s="1276">
        <f t="shared" si="8"/>
        <v>19.5</v>
      </c>
      <c r="O17" s="1277">
        <v>24.5</v>
      </c>
      <c r="P17" s="1267"/>
      <c r="Q17" s="1267"/>
      <c r="R17" s="1267"/>
      <c r="S17" s="1267"/>
      <c r="T17" s="1267"/>
      <c r="U17" s="1267"/>
      <c r="V17" s="1267"/>
      <c r="W17" s="1267"/>
      <c r="X17" s="1267"/>
      <c r="Y17" s="1267"/>
      <c r="Z17" s="1267"/>
      <c r="AA17" s="1267"/>
      <c r="AB17" s="1267"/>
      <c r="AC17" s="1267"/>
      <c r="AD17" s="1267"/>
      <c r="AE17" s="1267"/>
      <c r="AF17" s="1267"/>
      <c r="AG17" s="1267"/>
      <c r="AH17" s="1267"/>
      <c r="AI17" s="1267"/>
      <c r="AJ17" s="1267"/>
      <c r="AK17" s="1267"/>
      <c r="AL17" s="1267"/>
      <c r="AM17" s="1267"/>
      <c r="AN17" s="1267"/>
      <c r="AO17" s="1267"/>
      <c r="AP17" s="1267"/>
      <c r="AQ17" s="1267"/>
      <c r="AR17" s="1267"/>
      <c r="AS17" s="1267"/>
      <c r="AT17" s="1267"/>
      <c r="AU17" s="1267"/>
    </row>
    <row r="18" spans="1:47">
      <c r="A18" s="1270" t="s">
        <v>890</v>
      </c>
      <c r="B18" s="1267"/>
      <c r="C18" s="1267"/>
      <c r="D18" s="1267"/>
      <c r="E18" s="1267"/>
      <c r="F18" s="1267"/>
      <c r="G18" s="1267"/>
      <c r="H18" s="1267"/>
      <c r="I18" s="1267"/>
      <c r="J18" s="1267"/>
      <c r="K18" s="1267"/>
      <c r="L18" s="1267"/>
      <c r="M18" s="1267"/>
      <c r="N18" s="1267"/>
      <c r="O18" s="1267"/>
      <c r="P18" s="1267"/>
      <c r="Q18" s="1267"/>
      <c r="R18" s="1267"/>
      <c r="S18" s="1267"/>
      <c r="T18" s="1267"/>
      <c r="U18" s="1267"/>
      <c r="V18" s="1267"/>
      <c r="W18" s="1267"/>
      <c r="X18" s="1267"/>
      <c r="Y18" s="1267"/>
      <c r="Z18" s="1267"/>
      <c r="AA18" s="1267"/>
      <c r="AB18" s="1267"/>
      <c r="AC18" s="1267"/>
      <c r="AD18" s="1267"/>
      <c r="AE18" s="1267"/>
      <c r="AF18" s="1267"/>
      <c r="AG18" s="1267"/>
      <c r="AH18" s="1267"/>
      <c r="AI18" s="1267"/>
      <c r="AJ18" s="1267"/>
      <c r="AK18" s="1267"/>
      <c r="AL18" s="1267"/>
      <c r="AM18" s="1267"/>
      <c r="AN18" s="1267"/>
      <c r="AO18" s="1267"/>
      <c r="AP18" s="1267"/>
      <c r="AQ18" s="1267"/>
      <c r="AR18" s="1267"/>
      <c r="AS18" s="1267"/>
      <c r="AT18" s="1267"/>
      <c r="AU18" s="1267"/>
    </row>
    <row r="19" spans="1:47">
      <c r="A19" s="1271"/>
      <c r="B19" s="1271"/>
      <c r="C19" s="1522" t="s">
        <v>869</v>
      </c>
      <c r="D19" s="1522"/>
      <c r="E19" s="1522"/>
      <c r="F19" s="1522"/>
      <c r="G19" s="1522"/>
      <c r="H19" s="1522"/>
      <c r="I19" s="1522"/>
      <c r="J19" s="1522"/>
      <c r="K19" s="1522"/>
      <c r="L19" s="1522"/>
      <c r="M19" s="1522"/>
      <c r="N19" s="1522"/>
      <c r="O19" s="1522"/>
      <c r="P19" s="1267"/>
      <c r="Q19" s="1270" t="s">
        <v>891</v>
      </c>
      <c r="R19" s="1267"/>
      <c r="S19" s="1267"/>
      <c r="T19" s="1267"/>
      <c r="U19" s="1267"/>
      <c r="V19" s="1267"/>
      <c r="W19" s="1267"/>
      <c r="X19" s="1267"/>
      <c r="Y19" s="1267"/>
      <c r="Z19" s="1267"/>
      <c r="AA19" s="1267"/>
      <c r="AB19" s="1270" t="s">
        <v>892</v>
      </c>
      <c r="AC19" s="1267"/>
      <c r="AD19" s="1267"/>
      <c r="AE19" s="1267"/>
      <c r="AF19" s="1267"/>
      <c r="AG19" s="1267"/>
      <c r="AH19" s="1267"/>
      <c r="AI19" s="1267"/>
      <c r="AJ19" s="1267"/>
      <c r="AK19" s="1267"/>
      <c r="AL19" s="1267"/>
      <c r="AM19" s="1272" t="s">
        <v>872</v>
      </c>
      <c r="AN19" s="1267"/>
      <c r="AO19" s="1267"/>
      <c r="AP19" s="1267"/>
      <c r="AQ19" s="1267"/>
      <c r="AR19" s="1267"/>
      <c r="AS19" s="1267"/>
      <c r="AT19" s="1267"/>
      <c r="AU19" s="1267"/>
    </row>
    <row r="20" spans="1:47">
      <c r="A20" s="1273" t="s">
        <v>873</v>
      </c>
      <c r="B20" s="1274">
        <v>-100</v>
      </c>
      <c r="C20" s="1273">
        <v>-6</v>
      </c>
      <c r="D20" s="1274">
        <f>(C20+E20)/2</f>
        <v>-5</v>
      </c>
      <c r="E20" s="1273">
        <v>-4</v>
      </c>
      <c r="F20" s="1274">
        <f>(E20+G20)/2</f>
        <v>-3</v>
      </c>
      <c r="G20" s="1273">
        <v>-2</v>
      </c>
      <c r="H20" s="1274">
        <f>(G20+I20)/2</f>
        <v>-1</v>
      </c>
      <c r="I20" s="1273">
        <v>0</v>
      </c>
      <c r="J20" s="1274">
        <f>(I20+K20)/2</f>
        <v>1</v>
      </c>
      <c r="K20" s="1273">
        <v>2</v>
      </c>
      <c r="L20" s="1274">
        <f>(K20+M20)/2</f>
        <v>3</v>
      </c>
      <c r="M20" s="1273">
        <v>4</v>
      </c>
      <c r="N20" s="1274">
        <f>(M20+O20)/2</f>
        <v>5</v>
      </c>
      <c r="O20" s="1273">
        <v>6</v>
      </c>
      <c r="P20" s="1267"/>
      <c r="Q20" s="1273" t="s">
        <v>874</v>
      </c>
      <c r="R20" s="1273" t="s">
        <v>869</v>
      </c>
      <c r="S20" s="1273">
        <v>10</v>
      </c>
      <c r="T20" s="1273">
        <v>20</v>
      </c>
      <c r="U20" s="1273">
        <v>30</v>
      </c>
      <c r="V20" s="1273">
        <v>40</v>
      </c>
      <c r="W20" s="1273">
        <v>50</v>
      </c>
      <c r="X20" s="1273">
        <v>60</v>
      </c>
      <c r="Y20" s="1273">
        <v>70</v>
      </c>
      <c r="Z20" s="1273">
        <v>80</v>
      </c>
      <c r="AA20" s="1267"/>
      <c r="AB20" s="1273" t="s">
        <v>874</v>
      </c>
      <c r="AC20" s="1273" t="s">
        <v>869</v>
      </c>
      <c r="AD20" s="1273">
        <v>10</v>
      </c>
      <c r="AE20" s="1273">
        <v>20</v>
      </c>
      <c r="AF20" s="1273">
        <v>30</v>
      </c>
      <c r="AG20" s="1273">
        <v>40</v>
      </c>
      <c r="AH20" s="1273">
        <v>50</v>
      </c>
      <c r="AI20" s="1273">
        <v>60</v>
      </c>
      <c r="AJ20" s="1273">
        <v>70</v>
      </c>
      <c r="AK20" s="1273">
        <v>80</v>
      </c>
      <c r="AL20" s="1267"/>
      <c r="AM20" s="1273" t="s">
        <v>875</v>
      </c>
      <c r="AN20" s="1273">
        <v>10</v>
      </c>
      <c r="AO20" s="1273">
        <v>20</v>
      </c>
      <c r="AP20" s="1273">
        <v>30</v>
      </c>
      <c r="AQ20" s="1273">
        <v>40</v>
      </c>
      <c r="AR20" s="1273">
        <v>50</v>
      </c>
      <c r="AS20" s="1273">
        <v>60</v>
      </c>
      <c r="AT20" s="1273">
        <v>70</v>
      </c>
      <c r="AU20" s="1273">
        <v>80</v>
      </c>
    </row>
    <row r="21" spans="1:47">
      <c r="A21" s="1275">
        <v>0</v>
      </c>
      <c r="B21" s="1276">
        <f>C21</f>
        <v>0.17399999999999999</v>
      </c>
      <c r="C21" s="1277">
        <v>0.17399999999999999</v>
      </c>
      <c r="D21" s="1276">
        <f>(C21+E21)/2</f>
        <v>0.17399999999999999</v>
      </c>
      <c r="E21" s="1277">
        <v>0.17399999999999999</v>
      </c>
      <c r="F21" s="1276">
        <f>(E21+G21)/2</f>
        <v>0.17399999999999999</v>
      </c>
      <c r="G21" s="1277">
        <v>0.17399999999999999</v>
      </c>
      <c r="H21" s="1276">
        <f>(G21+I21)/2</f>
        <v>0.17399999999999999</v>
      </c>
      <c r="I21" s="1277">
        <v>0.17399999999999999</v>
      </c>
      <c r="J21" s="1276">
        <f>(I21+K21)/2</f>
        <v>0.17399999999999999</v>
      </c>
      <c r="K21" s="1277">
        <v>0.17399999999999999</v>
      </c>
      <c r="L21" s="1276">
        <f>(K21+M21)/2</f>
        <v>0.17399999999999999</v>
      </c>
      <c r="M21" s="1277">
        <v>0.17399999999999999</v>
      </c>
      <c r="N21" s="1276">
        <f>(M21+O21)/2</f>
        <v>0.17399999999999999</v>
      </c>
      <c r="O21" s="1277">
        <v>0.17399999999999999</v>
      </c>
      <c r="P21" s="1267"/>
      <c r="Q21" s="1275" t="s">
        <v>876</v>
      </c>
      <c r="R21" s="1286">
        <f t="shared" ref="R21:R30" si="29">R7</f>
        <v>0</v>
      </c>
      <c r="S21" s="1279">
        <f>HLOOKUP(INT($R21),$B$20:$O$31,3)+(HLOOKUP(INT($R21)+1,$B$20:$O$31,3)-HLOOKUP(INT($R21),$B$20:$O$31,3))*($R21-INT($R21))</f>
        <v>0.65200000000000002</v>
      </c>
      <c r="T21" s="1279">
        <f>HLOOKUP(INT($R21),$B$20:$O$31,4)+(HLOOKUP(INT($R21)+1,$B$20:$O$31,4)-HLOOKUP(INT($R21),$B$20:$O$31,4))*($R21-INT($R21))</f>
        <v>0.78300000000000003</v>
      </c>
      <c r="U21" s="1279">
        <f>HLOOKUP(INT($R21),$B$20:$O$31,5)+(HLOOKUP(INT($R21)+1,$B$20:$O$31,5)-HLOOKUP(INT($R21),$B$20:$O$31,5))*($R21-INT($R21))</f>
        <v>0.87</v>
      </c>
      <c r="V21" s="1279">
        <f>HLOOKUP(INT($R21),$B$20:$O$31,6)+(HLOOKUP(INT($R21)+1,$B$20:$O$31,6)-HLOOKUP(INT($R21),$B$20:$O$31,6))*($R21-INT($R21))</f>
        <v>1</v>
      </c>
      <c r="W21" s="1279">
        <f>HLOOKUP(INT($R21),$B$20:$O$31,7)+(HLOOKUP(INT($R21)+1,$B$20:$O$31,7)-HLOOKUP(INT($R21),$B$20:$O$31,7))*($R21-INT($R21))</f>
        <v>1.1739999999999999</v>
      </c>
      <c r="X21" s="1279">
        <f>HLOOKUP(INT($R21),$B$20:$O$31,8)+(HLOOKUP(INT($R21)+1,$B$20:$O$31,8)-HLOOKUP(INT($R21),$B$20:$O$31,8))*($R21-INT($R21))</f>
        <v>1.2170000000000001</v>
      </c>
      <c r="Y21" s="1279">
        <f>HLOOKUP(INT($R21),$B$20:$O$31,9)+(HLOOKUP(INT($R21)+1,$B$20:$O$31,9)-HLOOKUP(INT($R21),$B$20:$O$31,9))*($R21-INT($R21))</f>
        <v>1.391</v>
      </c>
      <c r="Z21" s="1279">
        <f>HLOOKUP(INT($R21),$B$20:$O$31,10)+(HLOOKUP(INT($R21)+1,$B$20:$O$31,10)-HLOOKUP(INT($R21),$B$20:$O$31,10))*($R21-INT($R21))</f>
        <v>1.6519999999999999</v>
      </c>
      <c r="AA21" s="1267"/>
      <c r="AB21" s="1275" t="s">
        <v>876</v>
      </c>
      <c r="AC21" s="1286">
        <f t="shared" ref="AC21:AC30" si="30">AC7</f>
        <v>1.784</v>
      </c>
      <c r="AD21" s="1279">
        <f>HLOOKUP(INT($AC21),$B$20:$O$31,3)+(HLOOKUP(INT($AC21)+1,$B$20:$O$31,3)-HLOOKUP(INT($AC21),$B$20:$O$31,3))*($AC21-INT($AC21))</f>
        <v>0.69124799999999997</v>
      </c>
      <c r="AE21" s="1279">
        <f>HLOOKUP(INT($AC21),$B$20:$O$31,4)+(HLOOKUP(INT($AC21)+1,$B$20:$O$31,4)-HLOOKUP(INT($AC21),$B$20:$O$31,4))*($AC21-INT($AC21))</f>
        <v>0.86060400000000004</v>
      </c>
      <c r="AF21" s="1279">
        <f>HLOOKUP(INT($AC21),$B$20:$O$31,5)+(HLOOKUP(INT($AC21)+1,$B$20:$O$31,5)-HLOOKUP(INT($AC21),$B$20:$O$31,5))*($AC21-INT($AC21))</f>
        <v>0.98596000000000006</v>
      </c>
      <c r="AG21" s="1279">
        <f>HLOOKUP(INT($AC21),$B$20:$O$31,6)+(HLOOKUP(INT($AC21)+1,$B$20:$O$31,6)-HLOOKUP(INT($AC21),$B$20:$O$31,6))*($AC21-INT($AC21))</f>
        <v>1.1935640000000001</v>
      </c>
      <c r="AH21" s="1279">
        <f>HLOOKUP(INT($AC21),$B$20:$O$31,7)+(HLOOKUP(INT($AC21)+1,$B$20:$O$31,7)-HLOOKUP(INT($AC21),$B$20:$O$31,7))*($AC21-INT($AC21))</f>
        <v>1.445168</v>
      </c>
      <c r="AI21" s="1279">
        <f>HLOOKUP(INT($AC21),$B$20:$O$31,8)+(HLOOKUP(INT($AC21)+1,$B$20:$O$31,8)-HLOOKUP(INT($AC21),$B$20:$O$31,8))*($AC21-INT($AC21))</f>
        <v>1.6050199999999999</v>
      </c>
      <c r="AJ21" s="1279">
        <f>HLOOKUP(INT($AC21),$B$20:$O$31,9)+(HLOOKUP(INT($AC21)+1,$B$20:$O$31,9)-HLOOKUP(INT($AC21),$B$20:$O$31,9))*($AC21-INT($AC21))</f>
        <v>1.8182680000000002</v>
      </c>
      <c r="AK21" s="1279">
        <f>HLOOKUP(INT($AC21),$B$20:$O$31,10)+(HLOOKUP(INT($AC21)+1,$B$20:$O$31,10)-HLOOKUP(INT($AC21),$B$20:$O$31,10))*($AC21-INT($AC21))</f>
        <v>2.233584</v>
      </c>
      <c r="AL21" s="1267"/>
      <c r="AM21" s="1280" t="s">
        <v>869</v>
      </c>
      <c r="AN21" s="1278">
        <f>R30</f>
        <v>0</v>
      </c>
      <c r="AO21" s="1281">
        <f>AN21</f>
        <v>0</v>
      </c>
      <c r="AP21" s="1281">
        <f t="shared" ref="AP21:AU21" si="31">AO21</f>
        <v>0</v>
      </c>
      <c r="AQ21" s="1281">
        <f t="shared" si="31"/>
        <v>0</v>
      </c>
      <c r="AR21" s="1281">
        <f t="shared" si="31"/>
        <v>0</v>
      </c>
      <c r="AS21" s="1281">
        <f t="shared" si="31"/>
        <v>0</v>
      </c>
      <c r="AT21" s="1281">
        <f t="shared" si="31"/>
        <v>0</v>
      </c>
      <c r="AU21" s="1281">
        <f t="shared" si="31"/>
        <v>0</v>
      </c>
    </row>
    <row r="22" spans="1:47">
      <c r="A22" s="1282">
        <v>10</v>
      </c>
      <c r="B22" s="1283">
        <f t="shared" ref="B22:B31" si="32">C22</f>
        <v>0.47799999999999998</v>
      </c>
      <c r="C22" s="1284">
        <v>0.47799999999999998</v>
      </c>
      <c r="D22" s="1283">
        <f t="shared" ref="D22:D31" si="33">(C22+E22)/2</f>
        <v>0.5</v>
      </c>
      <c r="E22" s="1284">
        <v>0.52200000000000002</v>
      </c>
      <c r="F22" s="1283">
        <f t="shared" ref="F22:F31" si="34">(E22+G22)/2</f>
        <v>0.54349999999999998</v>
      </c>
      <c r="G22" s="1284">
        <v>0.56499999999999995</v>
      </c>
      <c r="H22" s="1283">
        <f t="shared" ref="H22:H31" si="35">(G22+I22)/2</f>
        <v>0.60850000000000004</v>
      </c>
      <c r="I22" s="1284">
        <v>0.65200000000000002</v>
      </c>
      <c r="J22" s="1283">
        <f t="shared" ref="J22:J31" si="36">(I22+K22)/2</f>
        <v>0.67399999999999993</v>
      </c>
      <c r="K22" s="1284">
        <v>0.69599999999999995</v>
      </c>
      <c r="L22" s="1283">
        <f t="shared" ref="L22:L31" si="37">(K22+M22)/2</f>
        <v>0.73950000000000005</v>
      </c>
      <c r="M22" s="1284">
        <v>0.78300000000000003</v>
      </c>
      <c r="N22" s="1283">
        <f t="shared" ref="N22:N31" si="38">(M22+O22)/2</f>
        <v>0.82650000000000001</v>
      </c>
      <c r="O22" s="1284">
        <v>0.87</v>
      </c>
      <c r="P22" s="1267"/>
      <c r="Q22" s="1275" t="s">
        <v>3</v>
      </c>
      <c r="R22" s="1286">
        <f t="shared" si="29"/>
        <v>0</v>
      </c>
      <c r="S22" s="1279">
        <f t="shared" ref="S22:S30" si="39">HLOOKUP(INT($R22),$B$20:$O$31,3)+(HLOOKUP(INT($R22)+1,$B$20:$O$31,3)-HLOOKUP(INT($R22),$B$20:$O$31,3))*($R22-INT($R22))</f>
        <v>0.65200000000000002</v>
      </c>
      <c r="T22" s="1279">
        <f t="shared" ref="T22:T30" si="40">HLOOKUP(INT($R22),$B$20:$O$31,4)+(HLOOKUP(INT($R22)+1,$B$20:$O$31,4)-HLOOKUP(INT($R22),$B$20:$O$31,4))*($R22-INT($R22))</f>
        <v>0.78300000000000003</v>
      </c>
      <c r="U22" s="1279">
        <f t="shared" ref="U22:U30" si="41">HLOOKUP(INT($R22),$B$20:$O$31,5)+(HLOOKUP(INT($R22)+1,$B$20:$O$31,5)-HLOOKUP(INT($R22),$B$20:$O$31,5))*($R22-INT($R22))</f>
        <v>0.87</v>
      </c>
      <c r="V22" s="1279">
        <f t="shared" ref="V22:V30" si="42">HLOOKUP(INT($R22),$B$20:$O$31,6)+(HLOOKUP(INT($R22)+1,$B$20:$O$31,6)-HLOOKUP(INT($R22),$B$20:$O$31,6))*($R22-INT($R22))</f>
        <v>1</v>
      </c>
      <c r="W22" s="1279">
        <f t="shared" ref="W22:W30" si="43">HLOOKUP(INT($R22),$B$20:$O$31,7)+(HLOOKUP(INT($R22)+1,$B$20:$O$31,7)-HLOOKUP(INT($R22),$B$20:$O$31,7))*($R22-INT($R22))</f>
        <v>1.1739999999999999</v>
      </c>
      <c r="X22" s="1279">
        <f t="shared" ref="X22:X30" si="44">HLOOKUP(INT($R22),$B$20:$O$31,8)+(HLOOKUP(INT($R22)+1,$B$20:$O$31,8)-HLOOKUP(INT($R22),$B$20:$O$31,8))*($R22-INT($R22))</f>
        <v>1.2170000000000001</v>
      </c>
      <c r="Y22" s="1279">
        <f t="shared" ref="Y22:Y30" si="45">HLOOKUP(INT($R22),$B$20:$O$31,9)+(HLOOKUP(INT($R22)+1,$B$20:$O$31,9)-HLOOKUP(INT($R22),$B$20:$O$31,9))*($R22-INT($R22))</f>
        <v>1.391</v>
      </c>
      <c r="Z22" s="1279">
        <f t="shared" ref="Z22:Z30" si="46">HLOOKUP(INT($R22),$B$20:$O$31,10)+(HLOOKUP(INT($R22)+1,$B$20:$O$31,10)-HLOOKUP(INT($R22),$B$20:$O$31,10))*($R22-INT($R22))</f>
        <v>1.6519999999999999</v>
      </c>
      <c r="AA22" s="1267"/>
      <c r="AB22" s="1275" t="s">
        <v>3</v>
      </c>
      <c r="AC22" s="1286">
        <f t="shared" si="30"/>
        <v>0</v>
      </c>
      <c r="AD22" s="1279">
        <f t="shared" ref="AD22:AD30" si="47">HLOOKUP(INT($AC22),$B$20:$O$31,3)+(HLOOKUP(INT($AC22)+1,$B$20:$O$31,3)-HLOOKUP(INT($AC22),$B$20:$O$31,3))*($AC22-INT($AC22))</f>
        <v>0.65200000000000002</v>
      </c>
      <c r="AE22" s="1279">
        <f t="shared" ref="AE22:AE30" si="48">HLOOKUP(INT($AC22),$B$20:$O$31,4)+(HLOOKUP(INT($AC22)+1,$B$20:$O$31,4)-HLOOKUP(INT($AC22),$B$20:$O$31,4))*($AC22-INT($AC22))</f>
        <v>0.78300000000000003</v>
      </c>
      <c r="AF22" s="1279">
        <f t="shared" ref="AF22:AF30" si="49">HLOOKUP(INT($AC22),$B$20:$O$31,5)+(HLOOKUP(INT($AC22)+1,$B$20:$O$31,5)-HLOOKUP(INT($AC22),$B$20:$O$31,5))*($AC22-INT($AC22))</f>
        <v>0.87</v>
      </c>
      <c r="AG22" s="1279">
        <f t="shared" ref="AG22:AG30" si="50">HLOOKUP(INT($AC22),$B$20:$O$31,6)+(HLOOKUP(INT($AC22)+1,$B$20:$O$31,6)-HLOOKUP(INT($AC22),$B$20:$O$31,6))*($AC22-INT($AC22))</f>
        <v>1</v>
      </c>
      <c r="AH22" s="1279">
        <f t="shared" ref="AH22:AH30" si="51">HLOOKUP(INT($AC22),$B$20:$O$31,7)+(HLOOKUP(INT($AC22)+1,$B$20:$O$31,7)-HLOOKUP(INT($AC22),$B$20:$O$31,7))*($AC22-INT($AC22))</f>
        <v>1.1739999999999999</v>
      </c>
      <c r="AI22" s="1279">
        <f t="shared" ref="AI22:AI30" si="52">HLOOKUP(INT($AC22),$B$20:$O$31,8)+(HLOOKUP(INT($AC22)+1,$B$20:$O$31,8)-HLOOKUP(INT($AC22),$B$20:$O$31,8))*($AC22-INT($AC22))</f>
        <v>1.2170000000000001</v>
      </c>
      <c r="AJ22" s="1279">
        <f t="shared" ref="AJ22:AJ30" si="53">HLOOKUP(INT($AC22),$B$20:$O$31,9)+(HLOOKUP(INT($AC22)+1,$B$20:$O$31,9)-HLOOKUP(INT($AC22),$B$20:$O$31,9))*($AC22-INT($AC22))</f>
        <v>1.391</v>
      </c>
      <c r="AK22" s="1279">
        <f t="shared" ref="AK22:AK30" si="54">HLOOKUP(INT($AC22),$B$20:$O$31,10)+(HLOOKUP(INT($AC22)+1,$B$20:$O$31,10)-HLOOKUP(INT($AC22),$B$20:$O$31,10))*($AC22-INT($AC22))</f>
        <v>1.6519999999999999</v>
      </c>
      <c r="AL22" s="1267"/>
      <c r="AM22" s="1267" t="s">
        <v>877</v>
      </c>
      <c r="AN22" s="1279">
        <f t="shared" ref="AN22:AU22" si="55">AN25+(AN27-AN25)*(AN21-AN24)</f>
        <v>0.65200000000000002</v>
      </c>
      <c r="AO22" s="1279">
        <f t="shared" si="55"/>
        <v>0.78300000000000003</v>
      </c>
      <c r="AP22" s="1279">
        <f t="shared" si="55"/>
        <v>0.87</v>
      </c>
      <c r="AQ22" s="1279">
        <f t="shared" si="55"/>
        <v>1</v>
      </c>
      <c r="AR22" s="1279">
        <f t="shared" si="55"/>
        <v>1.1739999999999999</v>
      </c>
      <c r="AS22" s="1279">
        <f t="shared" si="55"/>
        <v>1.2170000000000001</v>
      </c>
      <c r="AT22" s="1279">
        <f t="shared" si="55"/>
        <v>1.391</v>
      </c>
      <c r="AU22" s="1279">
        <f t="shared" si="55"/>
        <v>1.6519999999999999</v>
      </c>
    </row>
    <row r="23" spans="1:47">
      <c r="A23" s="1282">
        <v>20</v>
      </c>
      <c r="B23" s="1283">
        <f t="shared" si="32"/>
        <v>0.47799999999999998</v>
      </c>
      <c r="C23" s="1284">
        <v>0.47799999999999998</v>
      </c>
      <c r="D23" s="1283">
        <f t="shared" si="33"/>
        <v>0.52149999999999996</v>
      </c>
      <c r="E23" s="1284">
        <v>0.56499999999999995</v>
      </c>
      <c r="F23" s="1283">
        <f t="shared" si="34"/>
        <v>0.60850000000000004</v>
      </c>
      <c r="G23" s="1284">
        <v>0.65200000000000002</v>
      </c>
      <c r="H23" s="1283">
        <f t="shared" si="35"/>
        <v>0.71750000000000003</v>
      </c>
      <c r="I23" s="1284">
        <v>0.78300000000000003</v>
      </c>
      <c r="J23" s="1283">
        <f t="shared" si="36"/>
        <v>0.82650000000000001</v>
      </c>
      <c r="K23" s="1284">
        <v>0.87</v>
      </c>
      <c r="L23" s="1283">
        <f t="shared" si="37"/>
        <v>0.93500000000000005</v>
      </c>
      <c r="M23" s="1284">
        <v>1</v>
      </c>
      <c r="N23" s="1283">
        <f t="shared" si="38"/>
        <v>1.087</v>
      </c>
      <c r="O23" s="1284">
        <v>1.1739999999999999</v>
      </c>
      <c r="P23" s="1267"/>
      <c r="Q23" s="1275" t="s">
        <v>878</v>
      </c>
      <c r="R23" s="1286">
        <f t="shared" si="29"/>
        <v>0</v>
      </c>
      <c r="S23" s="1279">
        <f t="shared" si="39"/>
        <v>0.65200000000000002</v>
      </c>
      <c r="T23" s="1279">
        <f t="shared" si="40"/>
        <v>0.78300000000000003</v>
      </c>
      <c r="U23" s="1279">
        <f t="shared" si="41"/>
        <v>0.87</v>
      </c>
      <c r="V23" s="1279">
        <f t="shared" si="42"/>
        <v>1</v>
      </c>
      <c r="W23" s="1279">
        <f t="shared" si="43"/>
        <v>1.1739999999999999</v>
      </c>
      <c r="X23" s="1279">
        <f t="shared" si="44"/>
        <v>1.2170000000000001</v>
      </c>
      <c r="Y23" s="1279">
        <f t="shared" si="45"/>
        <v>1.391</v>
      </c>
      <c r="Z23" s="1279">
        <f t="shared" si="46"/>
        <v>1.6519999999999999</v>
      </c>
      <c r="AA23" s="1267"/>
      <c r="AB23" s="1275" t="s">
        <v>878</v>
      </c>
      <c r="AC23" s="1286">
        <f t="shared" si="30"/>
        <v>0</v>
      </c>
      <c r="AD23" s="1279">
        <f t="shared" si="47"/>
        <v>0.65200000000000002</v>
      </c>
      <c r="AE23" s="1279">
        <f t="shared" si="48"/>
        <v>0.78300000000000003</v>
      </c>
      <c r="AF23" s="1279">
        <f t="shared" si="49"/>
        <v>0.87</v>
      </c>
      <c r="AG23" s="1279">
        <f t="shared" si="50"/>
        <v>1</v>
      </c>
      <c r="AH23" s="1279">
        <f t="shared" si="51"/>
        <v>1.1739999999999999</v>
      </c>
      <c r="AI23" s="1279">
        <f t="shared" si="52"/>
        <v>1.2170000000000001</v>
      </c>
      <c r="AJ23" s="1279">
        <f t="shared" si="53"/>
        <v>1.391</v>
      </c>
      <c r="AK23" s="1279">
        <f t="shared" si="54"/>
        <v>1.6519999999999999</v>
      </c>
      <c r="AL23" s="1267"/>
      <c r="AM23" s="1267"/>
      <c r="AN23" s="1275"/>
      <c r="AO23" s="1275"/>
      <c r="AP23" s="1275"/>
      <c r="AQ23" s="1275"/>
      <c r="AR23" s="1275"/>
      <c r="AS23" s="1275"/>
      <c r="AT23" s="1275"/>
      <c r="AU23" s="1275"/>
    </row>
    <row r="24" spans="1:47">
      <c r="A24" s="1282">
        <v>30</v>
      </c>
      <c r="B24" s="1283">
        <f t="shared" si="32"/>
        <v>0.47799999999999998</v>
      </c>
      <c r="C24" s="1284">
        <v>0.47799999999999998</v>
      </c>
      <c r="D24" s="1283">
        <f t="shared" si="33"/>
        <v>0.54349999999999998</v>
      </c>
      <c r="E24" s="1284">
        <v>0.60899999999999999</v>
      </c>
      <c r="F24" s="1283">
        <f t="shared" si="34"/>
        <v>0.65249999999999997</v>
      </c>
      <c r="G24" s="1284">
        <v>0.69599999999999995</v>
      </c>
      <c r="H24" s="1283">
        <f t="shared" si="35"/>
        <v>0.78299999999999992</v>
      </c>
      <c r="I24" s="1284">
        <v>0.87</v>
      </c>
      <c r="J24" s="1283">
        <f t="shared" si="36"/>
        <v>0.93500000000000005</v>
      </c>
      <c r="K24" s="1284">
        <v>1</v>
      </c>
      <c r="L24" s="1283">
        <f t="shared" si="37"/>
        <v>1.087</v>
      </c>
      <c r="M24" s="1284">
        <v>1.1739999999999999</v>
      </c>
      <c r="N24" s="1283">
        <f t="shared" si="38"/>
        <v>1.2610000000000001</v>
      </c>
      <c r="O24" s="1284">
        <v>1.3480000000000001</v>
      </c>
      <c r="P24" s="1267"/>
      <c r="Q24" s="1275" t="s">
        <v>879</v>
      </c>
      <c r="R24" s="1286">
        <f t="shared" si="29"/>
        <v>0</v>
      </c>
      <c r="S24" s="1279">
        <f t="shared" si="39"/>
        <v>0.65200000000000002</v>
      </c>
      <c r="T24" s="1279">
        <f t="shared" si="40"/>
        <v>0.78300000000000003</v>
      </c>
      <c r="U24" s="1279">
        <f t="shared" si="41"/>
        <v>0.87</v>
      </c>
      <c r="V24" s="1279">
        <f t="shared" si="42"/>
        <v>1</v>
      </c>
      <c r="W24" s="1279">
        <f t="shared" si="43"/>
        <v>1.1739999999999999</v>
      </c>
      <c r="X24" s="1279">
        <f t="shared" si="44"/>
        <v>1.2170000000000001</v>
      </c>
      <c r="Y24" s="1279">
        <f t="shared" si="45"/>
        <v>1.391</v>
      </c>
      <c r="Z24" s="1279">
        <f t="shared" si="46"/>
        <v>1.6519999999999999</v>
      </c>
      <c r="AA24" s="1267"/>
      <c r="AB24" s="1275" t="s">
        <v>879</v>
      </c>
      <c r="AC24" s="1286">
        <f t="shared" si="30"/>
        <v>0</v>
      </c>
      <c r="AD24" s="1279">
        <f t="shared" si="47"/>
        <v>0.65200000000000002</v>
      </c>
      <c r="AE24" s="1279">
        <f t="shared" si="48"/>
        <v>0.78300000000000003</v>
      </c>
      <c r="AF24" s="1279">
        <f t="shared" si="49"/>
        <v>0.87</v>
      </c>
      <c r="AG24" s="1279">
        <f t="shared" si="50"/>
        <v>1</v>
      </c>
      <c r="AH24" s="1279">
        <f t="shared" si="51"/>
        <v>1.1739999999999999</v>
      </c>
      <c r="AI24" s="1279">
        <f t="shared" si="52"/>
        <v>1.2170000000000001</v>
      </c>
      <c r="AJ24" s="1279">
        <f t="shared" si="53"/>
        <v>1.391</v>
      </c>
      <c r="AK24" s="1279">
        <f t="shared" si="54"/>
        <v>1.6519999999999999</v>
      </c>
      <c r="AL24" s="1267"/>
      <c r="AM24" s="1285" t="s">
        <v>880</v>
      </c>
      <c r="AN24" s="1286">
        <f>INT(AN21)</f>
        <v>0</v>
      </c>
      <c r="AO24" s="1286">
        <f t="shared" ref="AO24:AU24" si="56">INT(AO21)</f>
        <v>0</v>
      </c>
      <c r="AP24" s="1286">
        <f t="shared" si="56"/>
        <v>0</v>
      </c>
      <c r="AQ24" s="1286">
        <f t="shared" si="56"/>
        <v>0</v>
      </c>
      <c r="AR24" s="1286">
        <f t="shared" si="56"/>
        <v>0</v>
      </c>
      <c r="AS24" s="1286">
        <f t="shared" si="56"/>
        <v>0</v>
      </c>
      <c r="AT24" s="1286">
        <f t="shared" si="56"/>
        <v>0</v>
      </c>
      <c r="AU24" s="1286">
        <f t="shared" si="56"/>
        <v>0</v>
      </c>
    </row>
    <row r="25" spans="1:47">
      <c r="A25" s="1287">
        <v>40</v>
      </c>
      <c r="B25" s="1288">
        <f t="shared" si="32"/>
        <v>0.52200000000000002</v>
      </c>
      <c r="C25" s="1289">
        <v>0.52200000000000002</v>
      </c>
      <c r="D25" s="1288">
        <f t="shared" si="33"/>
        <v>0.5655</v>
      </c>
      <c r="E25" s="1289">
        <v>0.60899999999999999</v>
      </c>
      <c r="F25" s="1288">
        <f t="shared" si="34"/>
        <v>0.69599999999999995</v>
      </c>
      <c r="G25" s="1289">
        <v>0.78300000000000003</v>
      </c>
      <c r="H25" s="1288">
        <f t="shared" si="35"/>
        <v>0.89149999999999996</v>
      </c>
      <c r="I25" s="1289">
        <v>1</v>
      </c>
      <c r="J25" s="1288">
        <f t="shared" si="36"/>
        <v>1.1085</v>
      </c>
      <c r="K25" s="1289">
        <v>1.2170000000000001</v>
      </c>
      <c r="L25" s="1288">
        <f t="shared" si="37"/>
        <v>1.3475000000000001</v>
      </c>
      <c r="M25" s="1289">
        <v>1.478</v>
      </c>
      <c r="N25" s="1288">
        <f t="shared" si="38"/>
        <v>1.6085</v>
      </c>
      <c r="O25" s="1289">
        <v>1.7390000000000001</v>
      </c>
      <c r="P25" s="1267"/>
      <c r="Q25" s="1275" t="s">
        <v>881</v>
      </c>
      <c r="R25" s="1286">
        <f t="shared" si="29"/>
        <v>0</v>
      </c>
      <c r="S25" s="1279">
        <f t="shared" si="39"/>
        <v>0.65200000000000002</v>
      </c>
      <c r="T25" s="1279">
        <f t="shared" si="40"/>
        <v>0.78300000000000003</v>
      </c>
      <c r="U25" s="1279">
        <f t="shared" si="41"/>
        <v>0.87</v>
      </c>
      <c r="V25" s="1279">
        <f t="shared" si="42"/>
        <v>1</v>
      </c>
      <c r="W25" s="1279">
        <f t="shared" si="43"/>
        <v>1.1739999999999999</v>
      </c>
      <c r="X25" s="1279">
        <f t="shared" si="44"/>
        <v>1.2170000000000001</v>
      </c>
      <c r="Y25" s="1279">
        <f t="shared" si="45"/>
        <v>1.391</v>
      </c>
      <c r="Z25" s="1279">
        <f t="shared" si="46"/>
        <v>1.6519999999999999</v>
      </c>
      <c r="AA25" s="1267"/>
      <c r="AB25" s="1275" t="s">
        <v>881</v>
      </c>
      <c r="AC25" s="1286">
        <f t="shared" si="30"/>
        <v>0</v>
      </c>
      <c r="AD25" s="1279">
        <f t="shared" si="47"/>
        <v>0.65200000000000002</v>
      </c>
      <c r="AE25" s="1279">
        <f t="shared" si="48"/>
        <v>0.78300000000000003</v>
      </c>
      <c r="AF25" s="1279">
        <f t="shared" si="49"/>
        <v>0.87</v>
      </c>
      <c r="AG25" s="1279">
        <f t="shared" si="50"/>
        <v>1</v>
      </c>
      <c r="AH25" s="1279">
        <f t="shared" si="51"/>
        <v>1.1739999999999999</v>
      </c>
      <c r="AI25" s="1279">
        <f t="shared" si="52"/>
        <v>1.2170000000000001</v>
      </c>
      <c r="AJ25" s="1279">
        <f t="shared" si="53"/>
        <v>1.391</v>
      </c>
      <c r="AK25" s="1279">
        <f t="shared" si="54"/>
        <v>1.6519999999999999</v>
      </c>
      <c r="AL25" s="1267"/>
      <c r="AM25" s="1285" t="s">
        <v>882</v>
      </c>
      <c r="AN25" s="1290">
        <f t="shared" ref="AN25:AU25" si="57">HLOOKUP(AN24,$B$20:$O$31,AN28)</f>
        <v>0.65200000000000002</v>
      </c>
      <c r="AO25" s="1290">
        <f t="shared" si="57"/>
        <v>0.78300000000000003</v>
      </c>
      <c r="AP25" s="1290">
        <f t="shared" si="57"/>
        <v>0.87</v>
      </c>
      <c r="AQ25" s="1290">
        <f t="shared" si="57"/>
        <v>1</v>
      </c>
      <c r="AR25" s="1290">
        <f t="shared" si="57"/>
        <v>1.1739999999999999</v>
      </c>
      <c r="AS25" s="1290">
        <f t="shared" si="57"/>
        <v>1.2170000000000001</v>
      </c>
      <c r="AT25" s="1290">
        <f t="shared" si="57"/>
        <v>1.391</v>
      </c>
      <c r="AU25" s="1290">
        <f t="shared" si="57"/>
        <v>1.6519999999999999</v>
      </c>
    </row>
    <row r="26" spans="1:47">
      <c r="A26" s="1287">
        <v>50</v>
      </c>
      <c r="B26" s="1288">
        <f t="shared" si="32"/>
        <v>0.52200000000000002</v>
      </c>
      <c r="C26" s="1289">
        <v>0.52200000000000002</v>
      </c>
      <c r="D26" s="1288">
        <f t="shared" si="33"/>
        <v>0.58699999999999997</v>
      </c>
      <c r="E26" s="1289">
        <v>0.65200000000000002</v>
      </c>
      <c r="F26" s="1288">
        <f t="shared" si="34"/>
        <v>0.76100000000000001</v>
      </c>
      <c r="G26" s="1289">
        <v>0.87</v>
      </c>
      <c r="H26" s="1288">
        <f t="shared" si="35"/>
        <v>1.022</v>
      </c>
      <c r="I26" s="1289">
        <v>1.1739999999999999</v>
      </c>
      <c r="J26" s="1288">
        <f t="shared" si="36"/>
        <v>1.3260000000000001</v>
      </c>
      <c r="K26" s="1289">
        <v>1.478</v>
      </c>
      <c r="L26" s="1288">
        <f t="shared" si="37"/>
        <v>1.6520000000000001</v>
      </c>
      <c r="M26" s="1289">
        <v>1.8260000000000001</v>
      </c>
      <c r="N26" s="1288">
        <f t="shared" si="38"/>
        <v>1.9565000000000001</v>
      </c>
      <c r="O26" s="1289">
        <v>2.0870000000000002</v>
      </c>
      <c r="P26" s="1267"/>
      <c r="Q26" s="1275" t="s">
        <v>883</v>
      </c>
      <c r="R26" s="1286">
        <f t="shared" si="29"/>
        <v>0</v>
      </c>
      <c r="S26" s="1279">
        <f t="shared" si="39"/>
        <v>0.65200000000000002</v>
      </c>
      <c r="T26" s="1279">
        <f t="shared" si="40"/>
        <v>0.78300000000000003</v>
      </c>
      <c r="U26" s="1279">
        <f t="shared" si="41"/>
        <v>0.87</v>
      </c>
      <c r="V26" s="1279">
        <f t="shared" si="42"/>
        <v>1</v>
      </c>
      <c r="W26" s="1279">
        <f t="shared" si="43"/>
        <v>1.1739999999999999</v>
      </c>
      <c r="X26" s="1279">
        <f t="shared" si="44"/>
        <v>1.2170000000000001</v>
      </c>
      <c r="Y26" s="1279">
        <f t="shared" si="45"/>
        <v>1.391</v>
      </c>
      <c r="Z26" s="1279">
        <f t="shared" si="46"/>
        <v>1.6519999999999999</v>
      </c>
      <c r="AA26" s="1267"/>
      <c r="AB26" s="1275" t="s">
        <v>883</v>
      </c>
      <c r="AC26" s="1286">
        <f t="shared" si="30"/>
        <v>0</v>
      </c>
      <c r="AD26" s="1279">
        <f t="shared" si="47"/>
        <v>0.65200000000000002</v>
      </c>
      <c r="AE26" s="1279">
        <f t="shared" si="48"/>
        <v>0.78300000000000003</v>
      </c>
      <c r="AF26" s="1279">
        <f t="shared" si="49"/>
        <v>0.87</v>
      </c>
      <c r="AG26" s="1279">
        <f t="shared" si="50"/>
        <v>1</v>
      </c>
      <c r="AH26" s="1279">
        <f t="shared" si="51"/>
        <v>1.1739999999999999</v>
      </c>
      <c r="AI26" s="1279">
        <f t="shared" si="52"/>
        <v>1.2170000000000001</v>
      </c>
      <c r="AJ26" s="1279">
        <f t="shared" si="53"/>
        <v>1.391</v>
      </c>
      <c r="AK26" s="1279">
        <f t="shared" si="54"/>
        <v>1.6519999999999999</v>
      </c>
      <c r="AL26" s="1267"/>
      <c r="AM26" s="1285" t="s">
        <v>884</v>
      </c>
      <c r="AN26" s="1286">
        <f>AN24+1</f>
        <v>1</v>
      </c>
      <c r="AO26" s="1286">
        <f t="shared" ref="AO26:AU26" si="58">AO24+1</f>
        <v>1</v>
      </c>
      <c r="AP26" s="1286">
        <f t="shared" si="58"/>
        <v>1</v>
      </c>
      <c r="AQ26" s="1286">
        <f t="shared" si="58"/>
        <v>1</v>
      </c>
      <c r="AR26" s="1286">
        <f t="shared" si="58"/>
        <v>1</v>
      </c>
      <c r="AS26" s="1286">
        <f t="shared" si="58"/>
        <v>1</v>
      </c>
      <c r="AT26" s="1286">
        <f t="shared" si="58"/>
        <v>1</v>
      </c>
      <c r="AU26" s="1286">
        <f t="shared" si="58"/>
        <v>1</v>
      </c>
    </row>
    <row r="27" spans="1:47">
      <c r="A27" s="1287">
        <v>60</v>
      </c>
      <c r="B27" s="1288">
        <f t="shared" si="32"/>
        <v>0.56499999999999995</v>
      </c>
      <c r="C27" s="1289">
        <v>0.56499999999999995</v>
      </c>
      <c r="D27" s="1288">
        <f t="shared" si="33"/>
        <v>0.63049999999999995</v>
      </c>
      <c r="E27" s="1289">
        <v>0.69599999999999995</v>
      </c>
      <c r="F27" s="1288">
        <f t="shared" si="34"/>
        <v>0.80449999999999999</v>
      </c>
      <c r="G27" s="1289">
        <v>0.91300000000000003</v>
      </c>
      <c r="H27" s="1288">
        <f t="shared" si="35"/>
        <v>1.0649999999999999</v>
      </c>
      <c r="I27" s="1289">
        <v>1.2170000000000001</v>
      </c>
      <c r="J27" s="1288">
        <f t="shared" si="36"/>
        <v>1.4344999999999999</v>
      </c>
      <c r="K27" s="1289">
        <v>1.6519999999999999</v>
      </c>
      <c r="L27" s="1288">
        <f t="shared" si="37"/>
        <v>1.891</v>
      </c>
      <c r="M27" s="1289">
        <v>2.13</v>
      </c>
      <c r="N27" s="1288">
        <f t="shared" si="38"/>
        <v>2.3694999999999999</v>
      </c>
      <c r="O27" s="1289">
        <v>2.609</v>
      </c>
      <c r="P27" s="1267"/>
      <c r="Q27" s="1275" t="s">
        <v>885</v>
      </c>
      <c r="R27" s="1286">
        <f t="shared" si="29"/>
        <v>0</v>
      </c>
      <c r="S27" s="1279">
        <f t="shared" si="39"/>
        <v>0.65200000000000002</v>
      </c>
      <c r="T27" s="1279">
        <f t="shared" si="40"/>
        <v>0.78300000000000003</v>
      </c>
      <c r="U27" s="1279">
        <f t="shared" si="41"/>
        <v>0.87</v>
      </c>
      <c r="V27" s="1279">
        <f t="shared" si="42"/>
        <v>1</v>
      </c>
      <c r="W27" s="1279">
        <f t="shared" si="43"/>
        <v>1.1739999999999999</v>
      </c>
      <c r="X27" s="1279">
        <f t="shared" si="44"/>
        <v>1.2170000000000001</v>
      </c>
      <c r="Y27" s="1279">
        <f t="shared" si="45"/>
        <v>1.391</v>
      </c>
      <c r="Z27" s="1279">
        <f t="shared" si="46"/>
        <v>1.6519999999999999</v>
      </c>
      <c r="AA27" s="1267"/>
      <c r="AB27" s="1275" t="s">
        <v>885</v>
      </c>
      <c r="AC27" s="1286">
        <f t="shared" si="30"/>
        <v>0</v>
      </c>
      <c r="AD27" s="1279">
        <f t="shared" si="47"/>
        <v>0.65200000000000002</v>
      </c>
      <c r="AE27" s="1279">
        <f t="shared" si="48"/>
        <v>0.78300000000000003</v>
      </c>
      <c r="AF27" s="1279">
        <f t="shared" si="49"/>
        <v>0.87</v>
      </c>
      <c r="AG27" s="1279">
        <f t="shared" si="50"/>
        <v>1</v>
      </c>
      <c r="AH27" s="1279">
        <f t="shared" si="51"/>
        <v>1.1739999999999999</v>
      </c>
      <c r="AI27" s="1279">
        <f t="shared" si="52"/>
        <v>1.2170000000000001</v>
      </c>
      <c r="AJ27" s="1279">
        <f t="shared" si="53"/>
        <v>1.391</v>
      </c>
      <c r="AK27" s="1279">
        <f t="shared" si="54"/>
        <v>1.6519999999999999</v>
      </c>
      <c r="AL27" s="1267"/>
      <c r="AM27" s="1285" t="s">
        <v>886</v>
      </c>
      <c r="AN27" s="1290">
        <f t="shared" ref="AN27:AU27" si="59">HLOOKUP(AN26,$B$20:$O$31,AN28)</f>
        <v>0.67399999999999993</v>
      </c>
      <c r="AO27" s="1290">
        <f t="shared" si="59"/>
        <v>0.82650000000000001</v>
      </c>
      <c r="AP27" s="1290">
        <f t="shared" si="59"/>
        <v>0.93500000000000005</v>
      </c>
      <c r="AQ27" s="1290">
        <f t="shared" si="59"/>
        <v>1.1085</v>
      </c>
      <c r="AR27" s="1290">
        <f t="shared" si="59"/>
        <v>1.3260000000000001</v>
      </c>
      <c r="AS27" s="1290">
        <f t="shared" si="59"/>
        <v>1.4344999999999999</v>
      </c>
      <c r="AT27" s="1290">
        <f t="shared" si="59"/>
        <v>1.6305000000000001</v>
      </c>
      <c r="AU27" s="1290">
        <f t="shared" si="59"/>
        <v>1.9779999999999998</v>
      </c>
    </row>
    <row r="28" spans="1:47">
      <c r="A28" s="1282">
        <v>70</v>
      </c>
      <c r="B28" s="1283">
        <f t="shared" si="32"/>
        <v>0.56499999999999995</v>
      </c>
      <c r="C28" s="1284">
        <v>0.56499999999999995</v>
      </c>
      <c r="D28" s="1283">
        <f t="shared" si="33"/>
        <v>0.67399999999999993</v>
      </c>
      <c r="E28" s="1284">
        <v>0.78300000000000003</v>
      </c>
      <c r="F28" s="1283">
        <f t="shared" si="34"/>
        <v>0.93500000000000005</v>
      </c>
      <c r="G28" s="1284">
        <v>1.087</v>
      </c>
      <c r="H28" s="1283">
        <f t="shared" si="35"/>
        <v>1.2389999999999999</v>
      </c>
      <c r="I28" s="1284">
        <v>1.391</v>
      </c>
      <c r="J28" s="1283">
        <f t="shared" si="36"/>
        <v>1.6305000000000001</v>
      </c>
      <c r="K28" s="1284">
        <v>1.87</v>
      </c>
      <c r="L28" s="1283">
        <f t="shared" si="37"/>
        <v>2.0869999999999997</v>
      </c>
      <c r="M28" s="1284">
        <v>2.3039999999999998</v>
      </c>
      <c r="N28" s="1283">
        <f t="shared" si="38"/>
        <v>2.6734999999999998</v>
      </c>
      <c r="O28" s="1284">
        <v>3.0430000000000001</v>
      </c>
      <c r="P28" s="1267"/>
      <c r="Q28" s="1275" t="s">
        <v>887</v>
      </c>
      <c r="R28" s="1286">
        <f t="shared" si="29"/>
        <v>0</v>
      </c>
      <c r="S28" s="1279">
        <f t="shared" si="39"/>
        <v>0.65200000000000002</v>
      </c>
      <c r="T28" s="1279">
        <f t="shared" si="40"/>
        <v>0.78300000000000003</v>
      </c>
      <c r="U28" s="1279">
        <f t="shared" si="41"/>
        <v>0.87</v>
      </c>
      <c r="V28" s="1279">
        <f t="shared" si="42"/>
        <v>1</v>
      </c>
      <c r="W28" s="1279">
        <f t="shared" si="43"/>
        <v>1.1739999999999999</v>
      </c>
      <c r="X28" s="1279">
        <f t="shared" si="44"/>
        <v>1.2170000000000001</v>
      </c>
      <c r="Y28" s="1279">
        <f t="shared" si="45"/>
        <v>1.391</v>
      </c>
      <c r="Z28" s="1279">
        <f t="shared" si="46"/>
        <v>1.6519999999999999</v>
      </c>
      <c r="AA28" s="1267"/>
      <c r="AB28" s="1275" t="s">
        <v>887</v>
      </c>
      <c r="AC28" s="1286">
        <f t="shared" si="30"/>
        <v>0</v>
      </c>
      <c r="AD28" s="1279">
        <f t="shared" si="47"/>
        <v>0.65200000000000002</v>
      </c>
      <c r="AE28" s="1279">
        <f t="shared" si="48"/>
        <v>0.78300000000000003</v>
      </c>
      <c r="AF28" s="1279">
        <f t="shared" si="49"/>
        <v>0.87</v>
      </c>
      <c r="AG28" s="1279">
        <f t="shared" si="50"/>
        <v>1</v>
      </c>
      <c r="AH28" s="1279">
        <f t="shared" si="51"/>
        <v>1.1739999999999999</v>
      </c>
      <c r="AI28" s="1279">
        <f t="shared" si="52"/>
        <v>1.2170000000000001</v>
      </c>
      <c r="AJ28" s="1279">
        <f t="shared" si="53"/>
        <v>1.391</v>
      </c>
      <c r="AK28" s="1279">
        <f t="shared" si="54"/>
        <v>1.6519999999999999</v>
      </c>
      <c r="AL28" s="1267"/>
      <c r="AM28" s="1267"/>
      <c r="AN28" s="1275">
        <v>3</v>
      </c>
      <c r="AO28" s="1275">
        <v>4</v>
      </c>
      <c r="AP28" s="1275">
        <v>5</v>
      </c>
      <c r="AQ28" s="1275">
        <v>6</v>
      </c>
      <c r="AR28" s="1275">
        <v>7</v>
      </c>
      <c r="AS28" s="1275">
        <v>8</v>
      </c>
      <c r="AT28" s="1275">
        <v>9</v>
      </c>
      <c r="AU28" s="1275">
        <v>10</v>
      </c>
    </row>
    <row r="29" spans="1:47">
      <c r="A29" s="1282">
        <v>80</v>
      </c>
      <c r="B29" s="1283">
        <f t="shared" si="32"/>
        <v>0.56499999999999995</v>
      </c>
      <c r="C29" s="1284">
        <v>0.56499999999999995</v>
      </c>
      <c r="D29" s="1283">
        <f t="shared" si="33"/>
        <v>0.69550000000000001</v>
      </c>
      <c r="E29" s="1284">
        <v>0.82599999999999996</v>
      </c>
      <c r="F29" s="1283">
        <f t="shared" si="34"/>
        <v>1.0215000000000001</v>
      </c>
      <c r="G29" s="1284">
        <v>1.2170000000000001</v>
      </c>
      <c r="H29" s="1283">
        <f t="shared" si="35"/>
        <v>1.4344999999999999</v>
      </c>
      <c r="I29" s="1284">
        <v>1.6519999999999999</v>
      </c>
      <c r="J29" s="1283">
        <f t="shared" si="36"/>
        <v>1.9779999999999998</v>
      </c>
      <c r="K29" s="1284">
        <v>2.3039999999999998</v>
      </c>
      <c r="L29" s="1283">
        <f t="shared" si="37"/>
        <v>2.5869999999999997</v>
      </c>
      <c r="M29" s="1284">
        <v>2.87</v>
      </c>
      <c r="N29" s="1283">
        <f t="shared" si="38"/>
        <v>3.3045</v>
      </c>
      <c r="O29" s="1284">
        <v>3.7389999999999999</v>
      </c>
      <c r="P29" s="1267"/>
      <c r="Q29" s="1275" t="s">
        <v>888</v>
      </c>
      <c r="R29" s="1286">
        <f t="shared" si="29"/>
        <v>0</v>
      </c>
      <c r="S29" s="1279">
        <f t="shared" si="39"/>
        <v>0.65200000000000002</v>
      </c>
      <c r="T29" s="1279">
        <f t="shared" si="40"/>
        <v>0.78300000000000003</v>
      </c>
      <c r="U29" s="1279">
        <f t="shared" si="41"/>
        <v>0.87</v>
      </c>
      <c r="V29" s="1279">
        <f t="shared" si="42"/>
        <v>1</v>
      </c>
      <c r="W29" s="1279">
        <f t="shared" si="43"/>
        <v>1.1739999999999999</v>
      </c>
      <c r="X29" s="1279">
        <f t="shared" si="44"/>
        <v>1.2170000000000001</v>
      </c>
      <c r="Y29" s="1279">
        <f t="shared" si="45"/>
        <v>1.391</v>
      </c>
      <c r="Z29" s="1279">
        <f t="shared" si="46"/>
        <v>1.6519999999999999</v>
      </c>
      <c r="AA29" s="1267"/>
      <c r="AB29" s="1275" t="s">
        <v>888</v>
      </c>
      <c r="AC29" s="1286">
        <f t="shared" si="30"/>
        <v>0</v>
      </c>
      <c r="AD29" s="1279">
        <f t="shared" si="47"/>
        <v>0.65200000000000002</v>
      </c>
      <c r="AE29" s="1279">
        <f t="shared" si="48"/>
        <v>0.78300000000000003</v>
      </c>
      <c r="AF29" s="1279">
        <f t="shared" si="49"/>
        <v>0.87</v>
      </c>
      <c r="AG29" s="1279">
        <f t="shared" si="50"/>
        <v>1</v>
      </c>
      <c r="AH29" s="1279">
        <f t="shared" si="51"/>
        <v>1.1739999999999999</v>
      </c>
      <c r="AI29" s="1279">
        <f t="shared" si="52"/>
        <v>1.2170000000000001</v>
      </c>
      <c r="AJ29" s="1279">
        <f t="shared" si="53"/>
        <v>1.391</v>
      </c>
      <c r="AK29" s="1279">
        <f t="shared" si="54"/>
        <v>1.6519999999999999</v>
      </c>
      <c r="AL29" s="1267"/>
      <c r="AM29" s="1267"/>
      <c r="AN29" s="1267"/>
      <c r="AO29" s="1267"/>
      <c r="AP29" s="1267"/>
      <c r="AQ29" s="1267"/>
      <c r="AR29" s="1267"/>
      <c r="AS29" s="1267"/>
      <c r="AT29" s="1267"/>
      <c r="AU29" s="1267"/>
    </row>
    <row r="30" spans="1:47">
      <c r="A30" s="1275">
        <v>90</v>
      </c>
      <c r="B30" s="1276">
        <f t="shared" si="32"/>
        <v>0.65200000000000002</v>
      </c>
      <c r="C30" s="1277">
        <v>0.65200000000000002</v>
      </c>
      <c r="D30" s="1276">
        <f t="shared" si="33"/>
        <v>0.80449999999999999</v>
      </c>
      <c r="E30" s="1277">
        <v>0.95699999999999996</v>
      </c>
      <c r="F30" s="1276">
        <f t="shared" si="34"/>
        <v>1.1739999999999999</v>
      </c>
      <c r="G30" s="1277">
        <v>1.391</v>
      </c>
      <c r="H30" s="1276">
        <f t="shared" si="35"/>
        <v>1.6955</v>
      </c>
      <c r="I30" s="1277">
        <v>2</v>
      </c>
      <c r="J30" s="1276">
        <f t="shared" si="36"/>
        <v>2.4130000000000003</v>
      </c>
      <c r="K30" s="1277">
        <v>2.8260000000000001</v>
      </c>
      <c r="L30" s="1276">
        <f t="shared" si="37"/>
        <v>3.1955</v>
      </c>
      <c r="M30" s="1277">
        <v>3.5649999999999999</v>
      </c>
      <c r="N30" s="1276">
        <f t="shared" si="38"/>
        <v>3.891</v>
      </c>
      <c r="O30" s="1277">
        <v>4.2169999999999996</v>
      </c>
      <c r="P30" s="1267"/>
      <c r="Q30" s="1275" t="s">
        <v>889</v>
      </c>
      <c r="R30" s="1286">
        <f t="shared" si="29"/>
        <v>0</v>
      </c>
      <c r="S30" s="1279">
        <f t="shared" si="39"/>
        <v>0.65200000000000002</v>
      </c>
      <c r="T30" s="1279">
        <f t="shared" si="40"/>
        <v>0.78300000000000003</v>
      </c>
      <c r="U30" s="1279">
        <f t="shared" si="41"/>
        <v>0.87</v>
      </c>
      <c r="V30" s="1279">
        <f t="shared" si="42"/>
        <v>1</v>
      </c>
      <c r="W30" s="1279">
        <f t="shared" si="43"/>
        <v>1.1739999999999999</v>
      </c>
      <c r="X30" s="1279">
        <f t="shared" si="44"/>
        <v>1.2170000000000001</v>
      </c>
      <c r="Y30" s="1279">
        <f t="shared" si="45"/>
        <v>1.391</v>
      </c>
      <c r="Z30" s="1279">
        <f t="shared" si="46"/>
        <v>1.6519999999999999</v>
      </c>
      <c r="AA30" s="1267"/>
      <c r="AB30" s="1275" t="s">
        <v>889</v>
      </c>
      <c r="AC30" s="1286">
        <f t="shared" si="30"/>
        <v>0</v>
      </c>
      <c r="AD30" s="1279">
        <f t="shared" si="47"/>
        <v>0.65200000000000002</v>
      </c>
      <c r="AE30" s="1279">
        <f t="shared" si="48"/>
        <v>0.78300000000000003</v>
      </c>
      <c r="AF30" s="1279">
        <f t="shared" si="49"/>
        <v>0.87</v>
      </c>
      <c r="AG30" s="1279">
        <f t="shared" si="50"/>
        <v>1</v>
      </c>
      <c r="AH30" s="1279">
        <f t="shared" si="51"/>
        <v>1.1739999999999999</v>
      </c>
      <c r="AI30" s="1279">
        <f t="shared" si="52"/>
        <v>1.2170000000000001</v>
      </c>
      <c r="AJ30" s="1279">
        <f t="shared" si="53"/>
        <v>1.391</v>
      </c>
      <c r="AK30" s="1279">
        <f t="shared" si="54"/>
        <v>1.6519999999999999</v>
      </c>
      <c r="AL30" s="1267"/>
      <c r="AM30" s="1267"/>
      <c r="AN30" s="1267"/>
      <c r="AO30" s="1267"/>
      <c r="AP30" s="1267"/>
      <c r="AQ30" s="1267"/>
      <c r="AR30" s="1267"/>
      <c r="AS30" s="1267"/>
      <c r="AT30" s="1267"/>
      <c r="AU30" s="1267"/>
    </row>
    <row r="31" spans="1:47">
      <c r="A31" s="1275">
        <v>100</v>
      </c>
      <c r="B31" s="1276">
        <f t="shared" si="32"/>
        <v>0.87</v>
      </c>
      <c r="C31" s="1277">
        <v>0.87</v>
      </c>
      <c r="D31" s="1276">
        <f t="shared" si="33"/>
        <v>1</v>
      </c>
      <c r="E31" s="1277">
        <v>1.1299999999999999</v>
      </c>
      <c r="F31" s="1276">
        <f t="shared" si="34"/>
        <v>1.391</v>
      </c>
      <c r="G31" s="1277">
        <v>1.6519999999999999</v>
      </c>
      <c r="H31" s="1276">
        <f t="shared" si="35"/>
        <v>2.0434999999999999</v>
      </c>
      <c r="I31" s="1277">
        <v>2.4350000000000001</v>
      </c>
      <c r="J31" s="1276">
        <f t="shared" si="36"/>
        <v>2.8694999999999999</v>
      </c>
      <c r="K31" s="1277">
        <v>3.3039999999999998</v>
      </c>
      <c r="L31" s="1276">
        <f t="shared" si="37"/>
        <v>3.6955</v>
      </c>
      <c r="M31" s="1277">
        <v>4.0869999999999997</v>
      </c>
      <c r="N31" s="1276">
        <f t="shared" si="38"/>
        <v>4.3479999999999999</v>
      </c>
      <c r="O31" s="1277">
        <v>4.609</v>
      </c>
      <c r="P31" s="1267"/>
      <c r="Q31" s="1267"/>
      <c r="R31" s="1267"/>
      <c r="S31" s="1267"/>
      <c r="T31" s="1267"/>
      <c r="U31" s="1267"/>
      <c r="V31" s="1267"/>
      <c r="W31" s="1267"/>
      <c r="X31" s="1267"/>
      <c r="Y31" s="1267"/>
      <c r="Z31" s="1267"/>
      <c r="AA31" s="1267"/>
      <c r="AB31" s="1267"/>
      <c r="AC31" s="1267"/>
      <c r="AD31" s="1267"/>
      <c r="AE31" s="1267"/>
      <c r="AF31" s="1267"/>
      <c r="AG31" s="1267"/>
      <c r="AH31" s="1267"/>
      <c r="AI31" s="1267"/>
      <c r="AJ31" s="1267"/>
      <c r="AK31" s="1267"/>
      <c r="AL31" s="1267"/>
      <c r="AM31" s="1267"/>
      <c r="AN31" s="1267"/>
      <c r="AO31" s="1267"/>
      <c r="AP31" s="1267"/>
      <c r="AQ31" s="1267"/>
      <c r="AR31" s="1267"/>
      <c r="AS31" s="1267"/>
      <c r="AT31" s="1267"/>
      <c r="AU31" s="1267"/>
    </row>
    <row r="32" spans="1:47">
      <c r="A32" s="1270" t="s">
        <v>893</v>
      </c>
      <c r="B32" s="1267"/>
      <c r="C32" s="1267"/>
      <c r="D32" s="1267"/>
      <c r="E32" s="1267"/>
      <c r="F32" s="1267"/>
      <c r="G32" s="1267"/>
      <c r="H32" s="1267"/>
      <c r="I32" s="1267"/>
      <c r="J32" s="1267"/>
      <c r="K32" s="1267"/>
      <c r="L32" s="1267"/>
      <c r="M32" s="1267"/>
      <c r="N32" s="1267"/>
      <c r="O32" s="1267"/>
      <c r="P32" s="1267"/>
      <c r="Q32" s="1267"/>
      <c r="R32" s="1267"/>
      <c r="S32" s="1267"/>
      <c r="T32" s="1267"/>
      <c r="U32" s="1267"/>
      <c r="V32" s="1267"/>
      <c r="W32" s="1267"/>
      <c r="X32" s="1267"/>
      <c r="Y32" s="1267"/>
      <c r="Z32" s="1267"/>
      <c r="AA32" s="1267"/>
      <c r="AB32" s="1267"/>
      <c r="AC32" s="1267"/>
      <c r="AD32" s="1267"/>
      <c r="AE32" s="1267"/>
      <c r="AF32" s="1267"/>
      <c r="AG32" s="1267"/>
      <c r="AH32" s="1267"/>
      <c r="AI32" s="1267"/>
      <c r="AJ32" s="1267"/>
      <c r="AK32" s="1267"/>
      <c r="AL32" s="1267"/>
      <c r="AM32" s="1267"/>
      <c r="AN32" s="1267"/>
      <c r="AO32" s="1267"/>
      <c r="AP32" s="1267"/>
      <c r="AQ32" s="1267"/>
      <c r="AR32" s="1267"/>
      <c r="AS32" s="1267"/>
      <c r="AT32" s="1267"/>
      <c r="AU32" s="1267"/>
    </row>
    <row r="33" spans="1:47">
      <c r="A33" s="1271"/>
      <c r="B33" s="1271"/>
      <c r="C33" s="1522" t="s">
        <v>869</v>
      </c>
      <c r="D33" s="1522"/>
      <c r="E33" s="1522"/>
      <c r="F33" s="1522"/>
      <c r="G33" s="1522"/>
      <c r="H33" s="1522"/>
      <c r="I33" s="1522"/>
      <c r="J33" s="1522"/>
      <c r="K33" s="1522"/>
      <c r="L33" s="1522"/>
      <c r="M33" s="1522"/>
      <c r="N33" s="1522"/>
      <c r="O33" s="1522"/>
      <c r="P33" s="1267"/>
      <c r="Q33" s="1270" t="s">
        <v>894</v>
      </c>
      <c r="R33" s="1267"/>
      <c r="S33" s="1267"/>
      <c r="T33" s="1267"/>
      <c r="U33" s="1267"/>
      <c r="V33" s="1267"/>
      <c r="W33" s="1267"/>
      <c r="X33" s="1267"/>
      <c r="Y33" s="1267"/>
      <c r="Z33" s="1267"/>
      <c r="AA33" s="1267"/>
      <c r="AB33" s="1270" t="s">
        <v>895</v>
      </c>
      <c r="AC33" s="1267"/>
      <c r="AD33" s="1267"/>
      <c r="AE33" s="1267"/>
      <c r="AF33" s="1267"/>
      <c r="AG33" s="1267"/>
      <c r="AH33" s="1267"/>
      <c r="AI33" s="1267"/>
      <c r="AJ33" s="1267"/>
      <c r="AK33" s="1267"/>
      <c r="AL33" s="1267"/>
      <c r="AM33" s="1272" t="s">
        <v>872</v>
      </c>
      <c r="AN33" s="1267"/>
      <c r="AO33" s="1267"/>
      <c r="AP33" s="1267"/>
      <c r="AQ33" s="1267"/>
      <c r="AR33" s="1267"/>
      <c r="AS33" s="1267"/>
      <c r="AT33" s="1267"/>
      <c r="AU33" s="1267"/>
    </row>
    <row r="34" spans="1:47">
      <c r="A34" s="1273" t="s">
        <v>873</v>
      </c>
      <c r="B34" s="1274">
        <v>-100</v>
      </c>
      <c r="C34" s="1273">
        <v>-6</v>
      </c>
      <c r="D34" s="1274">
        <f>(C34+E34)/2</f>
        <v>-5</v>
      </c>
      <c r="E34" s="1273">
        <v>-4</v>
      </c>
      <c r="F34" s="1274">
        <f>(E34+G34)/2</f>
        <v>-3</v>
      </c>
      <c r="G34" s="1273">
        <v>-2</v>
      </c>
      <c r="H34" s="1274">
        <f>(G34+I34)/2</f>
        <v>-1</v>
      </c>
      <c r="I34" s="1273">
        <v>0</v>
      </c>
      <c r="J34" s="1274">
        <f>(I34+K34)/2</f>
        <v>1</v>
      </c>
      <c r="K34" s="1273">
        <v>2</v>
      </c>
      <c r="L34" s="1274">
        <f>(K34+M34)/2</f>
        <v>3</v>
      </c>
      <c r="M34" s="1273">
        <v>4</v>
      </c>
      <c r="N34" s="1274">
        <f>(M34+O34)/2</f>
        <v>5</v>
      </c>
      <c r="O34" s="1273">
        <v>6</v>
      </c>
      <c r="P34" s="1267"/>
      <c r="Q34" s="1273" t="s">
        <v>874</v>
      </c>
      <c r="R34" s="1273" t="s">
        <v>869</v>
      </c>
      <c r="S34" s="1273">
        <v>10</v>
      </c>
      <c r="T34" s="1273">
        <v>20</v>
      </c>
      <c r="U34" s="1273">
        <v>30</v>
      </c>
      <c r="V34" s="1273">
        <v>40</v>
      </c>
      <c r="W34" s="1273">
        <v>50</v>
      </c>
      <c r="X34" s="1273">
        <v>60</v>
      </c>
      <c r="Y34" s="1273">
        <v>70</v>
      </c>
      <c r="Z34" s="1273">
        <v>80</v>
      </c>
      <c r="AA34" s="1267"/>
      <c r="AB34" s="1273" t="s">
        <v>874</v>
      </c>
      <c r="AC34" s="1273" t="s">
        <v>869</v>
      </c>
      <c r="AD34" s="1273">
        <v>10</v>
      </c>
      <c r="AE34" s="1273">
        <v>20</v>
      </c>
      <c r="AF34" s="1273">
        <v>30</v>
      </c>
      <c r="AG34" s="1273">
        <v>40</v>
      </c>
      <c r="AH34" s="1273">
        <v>50</v>
      </c>
      <c r="AI34" s="1273">
        <v>60</v>
      </c>
      <c r="AJ34" s="1273">
        <v>70</v>
      </c>
      <c r="AK34" s="1273">
        <v>80</v>
      </c>
      <c r="AL34" s="1267"/>
      <c r="AM34" s="1273" t="s">
        <v>875</v>
      </c>
      <c r="AN34" s="1273">
        <v>10</v>
      </c>
      <c r="AO34" s="1273">
        <v>20</v>
      </c>
      <c r="AP34" s="1273">
        <v>30</v>
      </c>
      <c r="AQ34" s="1273">
        <v>40</v>
      </c>
      <c r="AR34" s="1273">
        <v>50</v>
      </c>
      <c r="AS34" s="1273">
        <v>60</v>
      </c>
      <c r="AT34" s="1273">
        <v>70</v>
      </c>
      <c r="AU34" s="1273">
        <v>80</v>
      </c>
    </row>
    <row r="35" spans="1:47">
      <c r="A35" s="1275">
        <v>0</v>
      </c>
      <c r="B35" s="1276">
        <f>C35</f>
        <v>0.14299999999999999</v>
      </c>
      <c r="C35" s="1277">
        <v>0.14299999999999999</v>
      </c>
      <c r="D35" s="1276">
        <f>(C35+E35)/2</f>
        <v>0.14299999999999999</v>
      </c>
      <c r="E35" s="1277">
        <v>0.14299999999999999</v>
      </c>
      <c r="F35" s="1276">
        <f>(E35+G35)/2</f>
        <v>0.14299999999999999</v>
      </c>
      <c r="G35" s="1277">
        <v>0.14299999999999999</v>
      </c>
      <c r="H35" s="1276">
        <f>(G35+I35)/2</f>
        <v>0.14299999999999999</v>
      </c>
      <c r="I35" s="1277">
        <v>0.14299999999999999</v>
      </c>
      <c r="J35" s="1276">
        <f>(I35+K35)/2</f>
        <v>0.14299999999999999</v>
      </c>
      <c r="K35" s="1277">
        <v>0.14299999999999999</v>
      </c>
      <c r="L35" s="1276">
        <f>(K35+M35)/2</f>
        <v>0.14299999999999999</v>
      </c>
      <c r="M35" s="1277">
        <v>0.14299999999999999</v>
      </c>
      <c r="N35" s="1276">
        <f>(M35+O35)/2</f>
        <v>0.14299999999999999</v>
      </c>
      <c r="O35" s="1277">
        <v>0.14299999999999999</v>
      </c>
      <c r="P35" s="1267"/>
      <c r="Q35" s="1275" t="s">
        <v>876</v>
      </c>
      <c r="R35" s="1286">
        <f t="shared" ref="R35:R44" si="60">R21</f>
        <v>0</v>
      </c>
      <c r="S35" s="1279">
        <f>HLOOKUP(INT($R35),$B$34:$O$45,3)+(HLOOKUP(INT($R35)+1,$B$34:$O$45,3)-HLOOKUP(INT($R35),$B$34:$O$45,3))*($R35-INT($R35))</f>
        <v>0.61899999999999999</v>
      </c>
      <c r="T35" s="1279">
        <f>HLOOKUP(INT($R35),$B$34:$O$45,4)+(HLOOKUP(INT($R35)+1,$B$34:$O$45,4)-HLOOKUP(INT($R35),$B$34:$O$45,4))*($R35-INT($R35))</f>
        <v>0.78600000000000003</v>
      </c>
      <c r="U35" s="1279">
        <f>HLOOKUP(INT($R35),$B$34:$O$45,5)+(HLOOKUP(INT($R35)+1,$B$34:$O$45,5)-HLOOKUP(INT($R35),$B$34:$O$45,5))*($R35-INT($R35))</f>
        <v>0.83299999999999996</v>
      </c>
      <c r="V35" s="1279">
        <f>HLOOKUP(INT($R35),$B$34:$O$45,6)+(HLOOKUP(INT($R35)+1,$B$34:$O$45,6)-HLOOKUP(INT($R35),$B$34:$O$45,6))*($R35-INT($R35))</f>
        <v>1</v>
      </c>
      <c r="W35" s="1279">
        <f>HLOOKUP(INT($R35),$B$34:$O$45,7)+(HLOOKUP(INT($R35)+1,$B$34:$O$45,7)-HLOOKUP(INT($R35),$B$34:$O$45,7))*($R35-INT($R35))</f>
        <v>1.143</v>
      </c>
      <c r="X35" s="1279">
        <f>HLOOKUP(INT($R35),$B$34:$O$45,8)+(HLOOKUP(INT($R35)+1,$B$34:$O$45,8)-HLOOKUP(INT($R35),$B$34:$O$45,8))*($R35-INT($R35))</f>
        <v>1.405</v>
      </c>
      <c r="Y35" s="1279">
        <f>HLOOKUP(INT($R35),$B$34:$O$45,9)+(HLOOKUP(INT($R35)+1,$B$34:$O$45,9)-HLOOKUP(INT($R35),$B$34:$O$45,9))*($R35-INT($R35))</f>
        <v>1.643</v>
      </c>
      <c r="Z35" s="1279">
        <f>HLOOKUP(INT($R35),$B$34:$O$45,10)+(HLOOKUP(INT($R35)+1,$B$34:$O$45,10)-HLOOKUP(INT($R35),$B$34:$O$45,10))*($R35-INT($R35))</f>
        <v>2.1669999999999998</v>
      </c>
      <c r="AA35" s="1267"/>
      <c r="AB35" s="1275" t="s">
        <v>876</v>
      </c>
      <c r="AC35" s="1286">
        <f t="shared" ref="AC35:AC44" si="61">AC21</f>
        <v>1.784</v>
      </c>
      <c r="AD35" s="1279">
        <f>HLOOKUP(INT($AC35),$B$34:$O$45,3)+(HLOOKUP(INT($AC35)+1,$B$34:$O$45,3)-HLOOKUP(INT($AC35),$B$34:$O$45,3))*($AC35-INT($AC35))</f>
        <v>0.68233199999999994</v>
      </c>
      <c r="AE35" s="1279">
        <f>HLOOKUP(INT($AC35),$B$34:$O$45,4)+(HLOOKUP(INT($AC35)+1,$B$34:$O$45,4)-HLOOKUP(INT($AC35),$B$34:$O$45,4))*($AC35-INT($AC35))</f>
        <v>0.89214800000000005</v>
      </c>
      <c r="AF35" s="1279">
        <f>HLOOKUP(INT($AC35),$B$34:$O$45,5)+(HLOOKUP(INT($AC35)+1,$B$34:$O$45,5)-HLOOKUP(INT($AC35),$B$34:$O$45,5))*($AC35-INT($AC35))</f>
        <v>1.088112</v>
      </c>
      <c r="AG35" s="1279">
        <f>HLOOKUP(INT($AC35),$B$34:$O$45,6)+(HLOOKUP(INT($AC35)+1,$B$34:$O$45,6)-HLOOKUP(INT($AC35),$B$34:$O$45,6))*($AC35-INT($AC35))</f>
        <v>1.255112</v>
      </c>
      <c r="AH35" s="1279">
        <f>HLOOKUP(INT($AC35),$B$34:$O$45,7)+(HLOOKUP(INT($AC35)+1,$B$34:$O$45,7)-HLOOKUP(INT($AC35),$B$34:$O$45,7))*($AC35-INT($AC35))</f>
        <v>1.418628</v>
      </c>
      <c r="AI35" s="1279">
        <f>HLOOKUP(INT($AC35),$B$34:$O$45,8)+(HLOOKUP(INT($AC35)+1,$B$34:$O$45,8)-HLOOKUP(INT($AC35),$B$34:$O$45,8))*($AC35-INT($AC35))</f>
        <v>1.680628</v>
      </c>
      <c r="AJ35" s="1279">
        <f>HLOOKUP(INT($AC35),$B$34:$O$45,9)+(HLOOKUP(INT($AC35)+1,$B$34:$O$45,9)-HLOOKUP(INT($AC35),$B$34:$O$45,9))*($AC35-INT($AC35))</f>
        <v>2.25848</v>
      </c>
      <c r="AK35" s="1279">
        <f>HLOOKUP(INT($AC35),$B$34:$O$45,10)+(HLOOKUP(INT($AC35)+1,$B$34:$O$45,10)-HLOOKUP(INT($AC35),$B$34:$O$45,10))*($AC35-INT($AC35))</f>
        <v>2.8467039999999999</v>
      </c>
      <c r="AL35" s="1267"/>
      <c r="AM35" s="1280" t="s">
        <v>869</v>
      </c>
      <c r="AN35" s="1278">
        <f>R44</f>
        <v>0</v>
      </c>
      <c r="AO35" s="1281">
        <f>AN35</f>
        <v>0</v>
      </c>
      <c r="AP35" s="1281">
        <f t="shared" ref="AP35:AU35" si="62">AO35</f>
        <v>0</v>
      </c>
      <c r="AQ35" s="1281">
        <f t="shared" si="62"/>
        <v>0</v>
      </c>
      <c r="AR35" s="1281">
        <f t="shared" si="62"/>
        <v>0</v>
      </c>
      <c r="AS35" s="1281">
        <f t="shared" si="62"/>
        <v>0</v>
      </c>
      <c r="AT35" s="1281">
        <f t="shared" si="62"/>
        <v>0</v>
      </c>
      <c r="AU35" s="1281">
        <f t="shared" si="62"/>
        <v>0</v>
      </c>
    </row>
    <row r="36" spans="1:47">
      <c r="A36" s="1282">
        <v>10</v>
      </c>
      <c r="B36" s="1283">
        <f t="shared" ref="B36:B45" si="63">C36</f>
        <v>0.42899999999999999</v>
      </c>
      <c r="C36" s="1284">
        <v>0.42899999999999999</v>
      </c>
      <c r="D36" s="1283">
        <f t="shared" ref="D36:D45" si="64">(C36+E36)/2</f>
        <v>0.45250000000000001</v>
      </c>
      <c r="E36" s="1284">
        <v>0.47599999999999998</v>
      </c>
      <c r="F36" s="1283">
        <f t="shared" ref="F36:F45" si="65">(E36+G36)/2</f>
        <v>0.5</v>
      </c>
      <c r="G36" s="1284">
        <v>0.52400000000000002</v>
      </c>
      <c r="H36" s="1283">
        <f t="shared" ref="H36:H45" si="66">(G36+I36)/2</f>
        <v>0.57150000000000001</v>
      </c>
      <c r="I36" s="1284">
        <v>0.61899999999999999</v>
      </c>
      <c r="J36" s="1283">
        <f t="shared" ref="J36:J45" si="67">(I36+K36)/2</f>
        <v>0.65449999999999997</v>
      </c>
      <c r="K36" s="1284">
        <v>0.69</v>
      </c>
      <c r="L36" s="1283">
        <f t="shared" ref="L36:L45" si="68">(K36+M36)/2</f>
        <v>0.73799999999999999</v>
      </c>
      <c r="M36" s="1284">
        <v>0.78600000000000003</v>
      </c>
      <c r="N36" s="1283">
        <f t="shared" ref="N36:N45" si="69">(M36+O36)/2</f>
        <v>0.82150000000000001</v>
      </c>
      <c r="O36" s="1284">
        <v>0.85699999999999998</v>
      </c>
      <c r="P36" s="1267"/>
      <c r="Q36" s="1275" t="s">
        <v>3</v>
      </c>
      <c r="R36" s="1286">
        <f t="shared" si="60"/>
        <v>0</v>
      </c>
      <c r="S36" s="1279">
        <f t="shared" ref="S36:S44" si="70">HLOOKUP(INT($R36),$B$34:$O$45,3)+(HLOOKUP(INT($R36)+1,$B$34:$O$45,3)-HLOOKUP(INT($R36),$B$34:$O$45,3))*($R36-INT($R36))</f>
        <v>0.61899999999999999</v>
      </c>
      <c r="T36" s="1279">
        <f t="shared" ref="T36:T44" si="71">HLOOKUP(INT($R36),$B$34:$O$45,4)+(HLOOKUP(INT($R36)+1,$B$34:$O$45,4)-HLOOKUP(INT($R36),$B$34:$O$45,4))*($R36-INT($R36))</f>
        <v>0.78600000000000003</v>
      </c>
      <c r="U36" s="1279">
        <f t="shared" ref="U36:U44" si="72">HLOOKUP(INT($R36),$B$34:$O$45,5)+(HLOOKUP(INT($R36)+1,$B$34:$O$45,5)-HLOOKUP(INT($R36),$B$34:$O$45,5))*($R36-INT($R36))</f>
        <v>0.83299999999999996</v>
      </c>
      <c r="V36" s="1279">
        <f t="shared" ref="V36:V44" si="73">HLOOKUP(INT($R36),$B$34:$O$45,6)+(HLOOKUP(INT($R36)+1,$B$34:$O$45,6)-HLOOKUP(INT($R36),$B$34:$O$45,6))*($R36-INT($R36))</f>
        <v>1</v>
      </c>
      <c r="W36" s="1279">
        <f t="shared" ref="W36:W44" si="74">HLOOKUP(INT($R36),$B$34:$O$45,7)+(HLOOKUP(INT($R36)+1,$B$34:$O$45,7)-HLOOKUP(INT($R36),$B$34:$O$45,7))*($R36-INT($R36))</f>
        <v>1.143</v>
      </c>
      <c r="X36" s="1279">
        <f t="shared" ref="X36:X44" si="75">HLOOKUP(INT($R36),$B$34:$O$45,8)+(HLOOKUP(INT($R36)+1,$B$34:$O$45,8)-HLOOKUP(INT($R36),$B$34:$O$45,8))*($R36-INT($R36))</f>
        <v>1.405</v>
      </c>
      <c r="Y36" s="1279">
        <f t="shared" ref="Y36:Y44" si="76">HLOOKUP(INT($R36),$B$34:$O$45,9)+(HLOOKUP(INT($R36)+1,$B$34:$O$45,9)-HLOOKUP(INT($R36),$B$34:$O$45,9))*($R36-INT($R36))</f>
        <v>1.643</v>
      </c>
      <c r="Z36" s="1279">
        <f t="shared" ref="Z36:Z44" si="77">HLOOKUP(INT($R36),$B$34:$O$45,10)+(HLOOKUP(INT($R36)+1,$B$34:$O$45,10)-HLOOKUP(INT($R36),$B$34:$O$45,10))*($R36-INT($R36))</f>
        <v>2.1669999999999998</v>
      </c>
      <c r="AA36" s="1267"/>
      <c r="AB36" s="1275" t="s">
        <v>3</v>
      </c>
      <c r="AC36" s="1286">
        <f t="shared" si="61"/>
        <v>0</v>
      </c>
      <c r="AD36" s="1279">
        <f t="shared" ref="AD36:AD44" si="78">HLOOKUP(INT($AC36),$B$34:$O$45,3)+(HLOOKUP(INT($AC36)+1,$B$34:$O$45,3)-HLOOKUP(INT($AC36),$B$34:$O$45,3))*($AC36-INT($AC36))</f>
        <v>0.61899999999999999</v>
      </c>
      <c r="AE36" s="1279">
        <f t="shared" ref="AE36:AE44" si="79">HLOOKUP(INT($AC36),$B$34:$O$45,4)+(HLOOKUP(INT($AC36)+1,$B$34:$O$45,4)-HLOOKUP(INT($AC36),$B$34:$O$45,4))*($AC36-INT($AC36))</f>
        <v>0.78600000000000003</v>
      </c>
      <c r="AF36" s="1279">
        <f t="shared" ref="AF36:AF44" si="80">HLOOKUP(INT($AC36),$B$34:$O$45,5)+(HLOOKUP(INT($AC36)+1,$B$34:$O$45,5)-HLOOKUP(INT($AC36),$B$34:$O$45,5))*($AC36-INT($AC36))</f>
        <v>0.83299999999999996</v>
      </c>
      <c r="AG36" s="1279">
        <f t="shared" ref="AG36:AG44" si="81">HLOOKUP(INT($AC36),$B$34:$O$45,6)+(HLOOKUP(INT($AC36)+1,$B$34:$O$45,6)-HLOOKUP(INT($AC36),$B$34:$O$45,6))*($AC36-INT($AC36))</f>
        <v>1</v>
      </c>
      <c r="AH36" s="1279">
        <f t="shared" ref="AH36:AH44" si="82">HLOOKUP(INT($AC36),$B$34:$O$45,7)+(HLOOKUP(INT($AC36)+1,$B$34:$O$45,7)-HLOOKUP(INT($AC36),$B$34:$O$45,7))*($AC36-INT($AC36))</f>
        <v>1.143</v>
      </c>
      <c r="AI36" s="1279">
        <f t="shared" ref="AI36:AI44" si="83">HLOOKUP(INT($AC36),$B$34:$O$45,8)+(HLOOKUP(INT($AC36)+1,$B$34:$O$45,8)-HLOOKUP(INT($AC36),$B$34:$O$45,8))*($AC36-INT($AC36))</f>
        <v>1.405</v>
      </c>
      <c r="AJ36" s="1279">
        <f t="shared" ref="AJ36:AJ44" si="84">HLOOKUP(INT($AC36),$B$34:$O$45,9)+(HLOOKUP(INT($AC36)+1,$B$34:$O$45,9)-HLOOKUP(INT($AC36),$B$34:$O$45,9))*($AC36-INT($AC36))</f>
        <v>1.643</v>
      </c>
      <c r="AK36" s="1279">
        <f t="shared" ref="AK36:AK44" si="85">HLOOKUP(INT($AC36),$B$34:$O$45,10)+(HLOOKUP(INT($AC36)+1,$B$34:$O$45,10)-HLOOKUP(INT($AC36),$B$34:$O$45,10))*($AC36-INT($AC36))</f>
        <v>2.1669999999999998</v>
      </c>
      <c r="AL36" s="1267"/>
      <c r="AM36" s="1267" t="s">
        <v>877</v>
      </c>
      <c r="AN36" s="1279">
        <f t="shared" ref="AN36:AU36" si="86">AN39+(AN41-AN39)*(AN35-AN38)</f>
        <v>0.61899999999999999</v>
      </c>
      <c r="AO36" s="1279">
        <f t="shared" si="86"/>
        <v>0.78600000000000003</v>
      </c>
      <c r="AP36" s="1279">
        <f t="shared" si="86"/>
        <v>0.83299999999999996</v>
      </c>
      <c r="AQ36" s="1279">
        <f t="shared" si="86"/>
        <v>1</v>
      </c>
      <c r="AR36" s="1279">
        <f t="shared" si="86"/>
        <v>1.143</v>
      </c>
      <c r="AS36" s="1279">
        <f t="shared" si="86"/>
        <v>1.405</v>
      </c>
      <c r="AT36" s="1279">
        <f t="shared" si="86"/>
        <v>1.643</v>
      </c>
      <c r="AU36" s="1279">
        <f t="shared" si="86"/>
        <v>2.1669999999999998</v>
      </c>
    </row>
    <row r="37" spans="1:47">
      <c r="A37" s="1282">
        <v>20</v>
      </c>
      <c r="B37" s="1283">
        <f t="shared" si="63"/>
        <v>0.47599999999999998</v>
      </c>
      <c r="C37" s="1284">
        <v>0.47599999999999998</v>
      </c>
      <c r="D37" s="1283">
        <f t="shared" si="64"/>
        <v>0.51200000000000001</v>
      </c>
      <c r="E37" s="1284">
        <v>0.54800000000000004</v>
      </c>
      <c r="F37" s="1283">
        <f t="shared" si="65"/>
        <v>0.60750000000000004</v>
      </c>
      <c r="G37" s="1284">
        <v>0.66700000000000004</v>
      </c>
      <c r="H37" s="1283">
        <f t="shared" si="66"/>
        <v>0.72650000000000003</v>
      </c>
      <c r="I37" s="1284">
        <v>0.78600000000000003</v>
      </c>
      <c r="J37" s="1283">
        <f t="shared" si="67"/>
        <v>0.84550000000000003</v>
      </c>
      <c r="K37" s="1284">
        <v>0.90500000000000003</v>
      </c>
      <c r="L37" s="1283">
        <f t="shared" si="68"/>
        <v>1</v>
      </c>
      <c r="M37" s="1284">
        <v>1.095</v>
      </c>
      <c r="N37" s="1283">
        <f t="shared" si="69"/>
        <v>1.2025000000000001</v>
      </c>
      <c r="O37" s="1284">
        <v>1.31</v>
      </c>
      <c r="P37" s="1267"/>
      <c r="Q37" s="1275" t="s">
        <v>878</v>
      </c>
      <c r="R37" s="1286">
        <f t="shared" si="60"/>
        <v>0</v>
      </c>
      <c r="S37" s="1279">
        <f t="shared" si="70"/>
        <v>0.61899999999999999</v>
      </c>
      <c r="T37" s="1279">
        <f t="shared" si="71"/>
        <v>0.78600000000000003</v>
      </c>
      <c r="U37" s="1279">
        <f t="shared" si="72"/>
        <v>0.83299999999999996</v>
      </c>
      <c r="V37" s="1279">
        <f t="shared" si="73"/>
        <v>1</v>
      </c>
      <c r="W37" s="1279">
        <f t="shared" si="74"/>
        <v>1.143</v>
      </c>
      <c r="X37" s="1279">
        <f t="shared" si="75"/>
        <v>1.405</v>
      </c>
      <c r="Y37" s="1279">
        <f t="shared" si="76"/>
        <v>1.643</v>
      </c>
      <c r="Z37" s="1279">
        <f t="shared" si="77"/>
        <v>2.1669999999999998</v>
      </c>
      <c r="AA37" s="1267"/>
      <c r="AB37" s="1275" t="s">
        <v>878</v>
      </c>
      <c r="AC37" s="1286">
        <f t="shared" si="61"/>
        <v>0</v>
      </c>
      <c r="AD37" s="1279">
        <f t="shared" si="78"/>
        <v>0.61899999999999999</v>
      </c>
      <c r="AE37" s="1279">
        <f t="shared" si="79"/>
        <v>0.78600000000000003</v>
      </c>
      <c r="AF37" s="1279">
        <f t="shared" si="80"/>
        <v>0.83299999999999996</v>
      </c>
      <c r="AG37" s="1279">
        <f t="shared" si="81"/>
        <v>1</v>
      </c>
      <c r="AH37" s="1279">
        <f t="shared" si="82"/>
        <v>1.143</v>
      </c>
      <c r="AI37" s="1279">
        <f t="shared" si="83"/>
        <v>1.405</v>
      </c>
      <c r="AJ37" s="1279">
        <f t="shared" si="84"/>
        <v>1.643</v>
      </c>
      <c r="AK37" s="1279">
        <f t="shared" si="85"/>
        <v>2.1669999999999998</v>
      </c>
      <c r="AL37" s="1267"/>
      <c r="AM37" s="1267"/>
      <c r="AN37" s="1275"/>
      <c r="AO37" s="1275"/>
      <c r="AP37" s="1275"/>
      <c r="AQ37" s="1275"/>
      <c r="AR37" s="1275"/>
      <c r="AS37" s="1275"/>
      <c r="AT37" s="1275"/>
      <c r="AU37" s="1275"/>
    </row>
    <row r="38" spans="1:47">
      <c r="A38" s="1282">
        <v>30</v>
      </c>
      <c r="B38" s="1283">
        <f t="shared" si="63"/>
        <v>0.47599999999999998</v>
      </c>
      <c r="C38" s="1284">
        <v>0.47599999999999998</v>
      </c>
      <c r="D38" s="1283">
        <f t="shared" si="64"/>
        <v>0.51200000000000001</v>
      </c>
      <c r="E38" s="1284">
        <v>0.54800000000000004</v>
      </c>
      <c r="F38" s="1283">
        <f t="shared" si="65"/>
        <v>0.61899999999999999</v>
      </c>
      <c r="G38" s="1284">
        <v>0.69</v>
      </c>
      <c r="H38" s="1283">
        <f t="shared" si="66"/>
        <v>0.76149999999999995</v>
      </c>
      <c r="I38" s="1284">
        <v>0.83299999999999996</v>
      </c>
      <c r="J38" s="1283">
        <f t="shared" si="67"/>
        <v>0.97599999999999998</v>
      </c>
      <c r="K38" s="1284">
        <v>1.119</v>
      </c>
      <c r="L38" s="1283">
        <f t="shared" si="68"/>
        <v>1.262</v>
      </c>
      <c r="M38" s="1284">
        <v>1.405</v>
      </c>
      <c r="N38" s="1283">
        <f t="shared" si="69"/>
        <v>1.536</v>
      </c>
      <c r="O38" s="1284">
        <v>1.667</v>
      </c>
      <c r="P38" s="1267"/>
      <c r="Q38" s="1275" t="s">
        <v>879</v>
      </c>
      <c r="R38" s="1286">
        <f t="shared" si="60"/>
        <v>0</v>
      </c>
      <c r="S38" s="1279">
        <f t="shared" si="70"/>
        <v>0.61899999999999999</v>
      </c>
      <c r="T38" s="1279">
        <f t="shared" si="71"/>
        <v>0.78600000000000003</v>
      </c>
      <c r="U38" s="1279">
        <f t="shared" si="72"/>
        <v>0.83299999999999996</v>
      </c>
      <c r="V38" s="1279">
        <f t="shared" si="73"/>
        <v>1</v>
      </c>
      <c r="W38" s="1279">
        <f t="shared" si="74"/>
        <v>1.143</v>
      </c>
      <c r="X38" s="1279">
        <f t="shared" si="75"/>
        <v>1.405</v>
      </c>
      <c r="Y38" s="1279">
        <f t="shared" si="76"/>
        <v>1.643</v>
      </c>
      <c r="Z38" s="1279">
        <f t="shared" si="77"/>
        <v>2.1669999999999998</v>
      </c>
      <c r="AA38" s="1267"/>
      <c r="AB38" s="1275" t="s">
        <v>879</v>
      </c>
      <c r="AC38" s="1286">
        <f t="shared" si="61"/>
        <v>0</v>
      </c>
      <c r="AD38" s="1279">
        <f t="shared" si="78"/>
        <v>0.61899999999999999</v>
      </c>
      <c r="AE38" s="1279">
        <f t="shared" si="79"/>
        <v>0.78600000000000003</v>
      </c>
      <c r="AF38" s="1279">
        <f t="shared" si="80"/>
        <v>0.83299999999999996</v>
      </c>
      <c r="AG38" s="1279">
        <f t="shared" si="81"/>
        <v>1</v>
      </c>
      <c r="AH38" s="1279">
        <f t="shared" si="82"/>
        <v>1.143</v>
      </c>
      <c r="AI38" s="1279">
        <f t="shared" si="83"/>
        <v>1.405</v>
      </c>
      <c r="AJ38" s="1279">
        <f t="shared" si="84"/>
        <v>1.643</v>
      </c>
      <c r="AK38" s="1279">
        <f t="shared" si="85"/>
        <v>2.1669999999999998</v>
      </c>
      <c r="AL38" s="1267"/>
      <c r="AM38" s="1285" t="s">
        <v>880</v>
      </c>
      <c r="AN38" s="1286">
        <f>INT(AN35)</f>
        <v>0</v>
      </c>
      <c r="AO38" s="1286">
        <f t="shared" ref="AO38:AU38" si="87">INT(AO35)</f>
        <v>0</v>
      </c>
      <c r="AP38" s="1286">
        <f t="shared" si="87"/>
        <v>0</v>
      </c>
      <c r="AQ38" s="1286">
        <f t="shared" si="87"/>
        <v>0</v>
      </c>
      <c r="AR38" s="1286">
        <f t="shared" si="87"/>
        <v>0</v>
      </c>
      <c r="AS38" s="1286">
        <f t="shared" si="87"/>
        <v>0</v>
      </c>
      <c r="AT38" s="1286">
        <f t="shared" si="87"/>
        <v>0</v>
      </c>
      <c r="AU38" s="1286">
        <f t="shared" si="87"/>
        <v>0</v>
      </c>
    </row>
    <row r="39" spans="1:47">
      <c r="A39" s="1287">
        <v>40</v>
      </c>
      <c r="B39" s="1288">
        <f t="shared" si="63"/>
        <v>0.5</v>
      </c>
      <c r="C39" s="1289">
        <v>0.5</v>
      </c>
      <c r="D39" s="1288">
        <f t="shared" si="64"/>
        <v>0.58350000000000002</v>
      </c>
      <c r="E39" s="1289">
        <v>0.66700000000000004</v>
      </c>
      <c r="F39" s="1288">
        <f t="shared" si="65"/>
        <v>0.72650000000000003</v>
      </c>
      <c r="G39" s="1289">
        <v>0.78600000000000003</v>
      </c>
      <c r="H39" s="1288">
        <f t="shared" si="66"/>
        <v>0.89300000000000002</v>
      </c>
      <c r="I39" s="1289">
        <v>1</v>
      </c>
      <c r="J39" s="1288">
        <f t="shared" si="67"/>
        <v>1.143</v>
      </c>
      <c r="K39" s="1289">
        <v>1.286</v>
      </c>
      <c r="L39" s="1288">
        <f t="shared" si="68"/>
        <v>1.5</v>
      </c>
      <c r="M39" s="1289">
        <v>1.714</v>
      </c>
      <c r="N39" s="1288">
        <f t="shared" si="69"/>
        <v>1.869</v>
      </c>
      <c r="O39" s="1289">
        <v>2.024</v>
      </c>
      <c r="P39" s="1267"/>
      <c r="Q39" s="1275" t="s">
        <v>881</v>
      </c>
      <c r="R39" s="1286">
        <f t="shared" si="60"/>
        <v>0</v>
      </c>
      <c r="S39" s="1279">
        <f t="shared" si="70"/>
        <v>0.61899999999999999</v>
      </c>
      <c r="T39" s="1279">
        <f t="shared" si="71"/>
        <v>0.78600000000000003</v>
      </c>
      <c r="U39" s="1279">
        <f t="shared" si="72"/>
        <v>0.83299999999999996</v>
      </c>
      <c r="V39" s="1279">
        <f t="shared" si="73"/>
        <v>1</v>
      </c>
      <c r="W39" s="1279">
        <f t="shared" si="74"/>
        <v>1.143</v>
      </c>
      <c r="X39" s="1279">
        <f t="shared" si="75"/>
        <v>1.405</v>
      </c>
      <c r="Y39" s="1279">
        <f t="shared" si="76"/>
        <v>1.643</v>
      </c>
      <c r="Z39" s="1279">
        <f t="shared" si="77"/>
        <v>2.1669999999999998</v>
      </c>
      <c r="AA39" s="1267"/>
      <c r="AB39" s="1275" t="s">
        <v>881</v>
      </c>
      <c r="AC39" s="1286">
        <f t="shared" si="61"/>
        <v>0</v>
      </c>
      <c r="AD39" s="1279">
        <f t="shared" si="78"/>
        <v>0.61899999999999999</v>
      </c>
      <c r="AE39" s="1279">
        <f t="shared" si="79"/>
        <v>0.78600000000000003</v>
      </c>
      <c r="AF39" s="1279">
        <f t="shared" si="80"/>
        <v>0.83299999999999996</v>
      </c>
      <c r="AG39" s="1279">
        <f t="shared" si="81"/>
        <v>1</v>
      </c>
      <c r="AH39" s="1279">
        <f t="shared" si="82"/>
        <v>1.143</v>
      </c>
      <c r="AI39" s="1279">
        <f t="shared" si="83"/>
        <v>1.405</v>
      </c>
      <c r="AJ39" s="1279">
        <f t="shared" si="84"/>
        <v>1.643</v>
      </c>
      <c r="AK39" s="1279">
        <f t="shared" si="85"/>
        <v>2.1669999999999998</v>
      </c>
      <c r="AL39" s="1267"/>
      <c r="AM39" s="1285" t="s">
        <v>882</v>
      </c>
      <c r="AN39" s="1290">
        <f t="shared" ref="AN39:AU39" si="88">HLOOKUP(AN38,$B$34:$O$45,AN42)</f>
        <v>0.61899999999999999</v>
      </c>
      <c r="AO39" s="1290">
        <f t="shared" si="88"/>
        <v>0.78600000000000003</v>
      </c>
      <c r="AP39" s="1290">
        <f t="shared" si="88"/>
        <v>0.83299999999999996</v>
      </c>
      <c r="AQ39" s="1290">
        <f t="shared" si="88"/>
        <v>1</v>
      </c>
      <c r="AR39" s="1290">
        <f t="shared" si="88"/>
        <v>1.143</v>
      </c>
      <c r="AS39" s="1290">
        <f t="shared" si="88"/>
        <v>1.405</v>
      </c>
      <c r="AT39" s="1290">
        <f t="shared" si="88"/>
        <v>1.643</v>
      </c>
      <c r="AU39" s="1290">
        <f t="shared" si="88"/>
        <v>2.1669999999999998</v>
      </c>
    </row>
    <row r="40" spans="1:47">
      <c r="A40" s="1287">
        <v>50</v>
      </c>
      <c r="B40" s="1288">
        <f t="shared" si="63"/>
        <v>0.47599999999999998</v>
      </c>
      <c r="C40" s="1289">
        <v>0.47599999999999998</v>
      </c>
      <c r="D40" s="1288">
        <f t="shared" si="64"/>
        <v>0.5595</v>
      </c>
      <c r="E40" s="1289">
        <v>0.64300000000000002</v>
      </c>
      <c r="F40" s="1288">
        <f t="shared" si="65"/>
        <v>0.76200000000000001</v>
      </c>
      <c r="G40" s="1289">
        <v>0.88100000000000001</v>
      </c>
      <c r="H40" s="1288">
        <f t="shared" si="66"/>
        <v>1.012</v>
      </c>
      <c r="I40" s="1289">
        <v>1.143</v>
      </c>
      <c r="J40" s="1288">
        <f t="shared" si="67"/>
        <v>1.2974999999999999</v>
      </c>
      <c r="K40" s="1289">
        <v>1.452</v>
      </c>
      <c r="L40" s="1288">
        <f t="shared" si="68"/>
        <v>1.7735000000000001</v>
      </c>
      <c r="M40" s="1289">
        <v>2.0950000000000002</v>
      </c>
      <c r="N40" s="1288">
        <f t="shared" si="69"/>
        <v>2.1665000000000001</v>
      </c>
      <c r="O40" s="1289">
        <v>2.238</v>
      </c>
      <c r="P40" s="1267"/>
      <c r="Q40" s="1275" t="s">
        <v>883</v>
      </c>
      <c r="R40" s="1286">
        <f t="shared" si="60"/>
        <v>0</v>
      </c>
      <c r="S40" s="1279">
        <f t="shared" si="70"/>
        <v>0.61899999999999999</v>
      </c>
      <c r="T40" s="1279">
        <f t="shared" si="71"/>
        <v>0.78600000000000003</v>
      </c>
      <c r="U40" s="1279">
        <f t="shared" si="72"/>
        <v>0.83299999999999996</v>
      </c>
      <c r="V40" s="1279">
        <f t="shared" si="73"/>
        <v>1</v>
      </c>
      <c r="W40" s="1279">
        <f t="shared" si="74"/>
        <v>1.143</v>
      </c>
      <c r="X40" s="1279">
        <f t="shared" si="75"/>
        <v>1.405</v>
      </c>
      <c r="Y40" s="1279">
        <f t="shared" si="76"/>
        <v>1.643</v>
      </c>
      <c r="Z40" s="1279">
        <f t="shared" si="77"/>
        <v>2.1669999999999998</v>
      </c>
      <c r="AA40" s="1267"/>
      <c r="AB40" s="1275" t="s">
        <v>883</v>
      </c>
      <c r="AC40" s="1286">
        <f t="shared" si="61"/>
        <v>0</v>
      </c>
      <c r="AD40" s="1279">
        <f t="shared" si="78"/>
        <v>0.61899999999999999</v>
      </c>
      <c r="AE40" s="1279">
        <f t="shared" si="79"/>
        <v>0.78600000000000003</v>
      </c>
      <c r="AF40" s="1279">
        <f t="shared" si="80"/>
        <v>0.83299999999999996</v>
      </c>
      <c r="AG40" s="1279">
        <f t="shared" si="81"/>
        <v>1</v>
      </c>
      <c r="AH40" s="1279">
        <f t="shared" si="82"/>
        <v>1.143</v>
      </c>
      <c r="AI40" s="1279">
        <f t="shared" si="83"/>
        <v>1.405</v>
      </c>
      <c r="AJ40" s="1279">
        <f t="shared" si="84"/>
        <v>1.643</v>
      </c>
      <c r="AK40" s="1279">
        <f t="shared" si="85"/>
        <v>2.1669999999999998</v>
      </c>
      <c r="AL40" s="1267"/>
      <c r="AM40" s="1285" t="s">
        <v>884</v>
      </c>
      <c r="AN40" s="1286">
        <f>AN38+1</f>
        <v>1</v>
      </c>
      <c r="AO40" s="1286">
        <f t="shared" ref="AO40:AU40" si="89">AO38+1</f>
        <v>1</v>
      </c>
      <c r="AP40" s="1286">
        <f t="shared" si="89"/>
        <v>1</v>
      </c>
      <c r="AQ40" s="1286">
        <f t="shared" si="89"/>
        <v>1</v>
      </c>
      <c r="AR40" s="1286">
        <f t="shared" si="89"/>
        <v>1</v>
      </c>
      <c r="AS40" s="1286">
        <f t="shared" si="89"/>
        <v>1</v>
      </c>
      <c r="AT40" s="1286">
        <f t="shared" si="89"/>
        <v>1</v>
      </c>
      <c r="AU40" s="1286">
        <f t="shared" si="89"/>
        <v>1</v>
      </c>
    </row>
    <row r="41" spans="1:47">
      <c r="A41" s="1287">
        <v>60</v>
      </c>
      <c r="B41" s="1288">
        <f t="shared" si="63"/>
        <v>0.54800000000000004</v>
      </c>
      <c r="C41" s="1289">
        <v>0.54800000000000004</v>
      </c>
      <c r="D41" s="1288">
        <f t="shared" si="64"/>
        <v>0.63100000000000001</v>
      </c>
      <c r="E41" s="1289">
        <v>0.71399999999999997</v>
      </c>
      <c r="F41" s="1288">
        <f t="shared" si="65"/>
        <v>0.85699999999999998</v>
      </c>
      <c r="G41" s="1289">
        <v>1</v>
      </c>
      <c r="H41" s="1288">
        <f t="shared" si="66"/>
        <v>1.2025000000000001</v>
      </c>
      <c r="I41" s="1289">
        <v>1.405</v>
      </c>
      <c r="J41" s="1288">
        <f t="shared" si="67"/>
        <v>1.5594999999999999</v>
      </c>
      <c r="K41" s="1289">
        <v>1.714</v>
      </c>
      <c r="L41" s="1288">
        <f t="shared" si="68"/>
        <v>2.1070000000000002</v>
      </c>
      <c r="M41" s="1289">
        <v>2.5</v>
      </c>
      <c r="N41" s="1288">
        <f t="shared" si="69"/>
        <v>2.6665000000000001</v>
      </c>
      <c r="O41" s="1289">
        <v>2.8330000000000002</v>
      </c>
      <c r="P41" s="1267"/>
      <c r="Q41" s="1275" t="s">
        <v>885</v>
      </c>
      <c r="R41" s="1286">
        <f t="shared" si="60"/>
        <v>0</v>
      </c>
      <c r="S41" s="1279">
        <f t="shared" si="70"/>
        <v>0.61899999999999999</v>
      </c>
      <c r="T41" s="1279">
        <f t="shared" si="71"/>
        <v>0.78600000000000003</v>
      </c>
      <c r="U41" s="1279">
        <f t="shared" si="72"/>
        <v>0.83299999999999996</v>
      </c>
      <c r="V41" s="1279">
        <f t="shared" si="73"/>
        <v>1</v>
      </c>
      <c r="W41" s="1279">
        <f t="shared" si="74"/>
        <v>1.143</v>
      </c>
      <c r="X41" s="1279">
        <f t="shared" si="75"/>
        <v>1.405</v>
      </c>
      <c r="Y41" s="1279">
        <f t="shared" si="76"/>
        <v>1.643</v>
      </c>
      <c r="Z41" s="1279">
        <f t="shared" si="77"/>
        <v>2.1669999999999998</v>
      </c>
      <c r="AA41" s="1267"/>
      <c r="AB41" s="1275" t="s">
        <v>885</v>
      </c>
      <c r="AC41" s="1286">
        <f t="shared" si="61"/>
        <v>0</v>
      </c>
      <c r="AD41" s="1279">
        <f t="shared" si="78"/>
        <v>0.61899999999999999</v>
      </c>
      <c r="AE41" s="1279">
        <f t="shared" si="79"/>
        <v>0.78600000000000003</v>
      </c>
      <c r="AF41" s="1279">
        <f t="shared" si="80"/>
        <v>0.83299999999999996</v>
      </c>
      <c r="AG41" s="1279">
        <f t="shared" si="81"/>
        <v>1</v>
      </c>
      <c r="AH41" s="1279">
        <f t="shared" si="82"/>
        <v>1.143</v>
      </c>
      <c r="AI41" s="1279">
        <f t="shared" si="83"/>
        <v>1.405</v>
      </c>
      <c r="AJ41" s="1279">
        <f t="shared" si="84"/>
        <v>1.643</v>
      </c>
      <c r="AK41" s="1279">
        <f t="shared" si="85"/>
        <v>2.1669999999999998</v>
      </c>
      <c r="AL41" s="1267"/>
      <c r="AM41" s="1285" t="s">
        <v>886</v>
      </c>
      <c r="AN41" s="1290">
        <f t="shared" ref="AN41:AU41" si="90">HLOOKUP(AN40,$B$34:$O$45,AN42)</f>
        <v>0.65449999999999997</v>
      </c>
      <c r="AO41" s="1290">
        <f t="shared" si="90"/>
        <v>0.84550000000000003</v>
      </c>
      <c r="AP41" s="1290">
        <f t="shared" si="90"/>
        <v>0.97599999999999998</v>
      </c>
      <c r="AQ41" s="1290">
        <f t="shared" si="90"/>
        <v>1.143</v>
      </c>
      <c r="AR41" s="1290">
        <f t="shared" si="90"/>
        <v>1.2974999999999999</v>
      </c>
      <c r="AS41" s="1290">
        <f t="shared" si="90"/>
        <v>1.5594999999999999</v>
      </c>
      <c r="AT41" s="1290">
        <f t="shared" si="90"/>
        <v>1.988</v>
      </c>
      <c r="AU41" s="1290">
        <f t="shared" si="90"/>
        <v>2.548</v>
      </c>
    </row>
    <row r="42" spans="1:47">
      <c r="A42" s="1282">
        <v>70</v>
      </c>
      <c r="B42" s="1283">
        <f t="shared" si="63"/>
        <v>0.59499999999999997</v>
      </c>
      <c r="C42" s="1284">
        <v>0.59499999999999997</v>
      </c>
      <c r="D42" s="1283">
        <f t="shared" si="64"/>
        <v>0.6905</v>
      </c>
      <c r="E42" s="1284">
        <v>0.78600000000000003</v>
      </c>
      <c r="F42" s="1283">
        <f t="shared" si="65"/>
        <v>0.9405</v>
      </c>
      <c r="G42" s="1284">
        <v>1.095</v>
      </c>
      <c r="H42" s="1283">
        <f t="shared" si="66"/>
        <v>1.369</v>
      </c>
      <c r="I42" s="1284">
        <v>1.643</v>
      </c>
      <c r="J42" s="1283">
        <f t="shared" si="67"/>
        <v>1.988</v>
      </c>
      <c r="K42" s="1284">
        <v>2.3330000000000002</v>
      </c>
      <c r="L42" s="1283">
        <f t="shared" si="68"/>
        <v>2.6189999999999998</v>
      </c>
      <c r="M42" s="1284">
        <v>2.9049999999999998</v>
      </c>
      <c r="N42" s="1283">
        <f t="shared" si="69"/>
        <v>3.1549999999999998</v>
      </c>
      <c r="O42" s="1284">
        <v>3.4049999999999998</v>
      </c>
      <c r="P42" s="1267"/>
      <c r="Q42" s="1275" t="s">
        <v>887</v>
      </c>
      <c r="R42" s="1286">
        <f t="shared" si="60"/>
        <v>0</v>
      </c>
      <c r="S42" s="1279">
        <f t="shared" si="70"/>
        <v>0.61899999999999999</v>
      </c>
      <c r="T42" s="1279">
        <f t="shared" si="71"/>
        <v>0.78600000000000003</v>
      </c>
      <c r="U42" s="1279">
        <f t="shared" si="72"/>
        <v>0.83299999999999996</v>
      </c>
      <c r="V42" s="1279">
        <f t="shared" si="73"/>
        <v>1</v>
      </c>
      <c r="W42" s="1279">
        <f t="shared" si="74"/>
        <v>1.143</v>
      </c>
      <c r="X42" s="1279">
        <f t="shared" si="75"/>
        <v>1.405</v>
      </c>
      <c r="Y42" s="1279">
        <f t="shared" si="76"/>
        <v>1.643</v>
      </c>
      <c r="Z42" s="1279">
        <f t="shared" si="77"/>
        <v>2.1669999999999998</v>
      </c>
      <c r="AA42" s="1267"/>
      <c r="AB42" s="1275" t="s">
        <v>887</v>
      </c>
      <c r="AC42" s="1286">
        <f t="shared" si="61"/>
        <v>0</v>
      </c>
      <c r="AD42" s="1279">
        <f t="shared" si="78"/>
        <v>0.61899999999999999</v>
      </c>
      <c r="AE42" s="1279">
        <f t="shared" si="79"/>
        <v>0.78600000000000003</v>
      </c>
      <c r="AF42" s="1279">
        <f t="shared" si="80"/>
        <v>0.83299999999999996</v>
      </c>
      <c r="AG42" s="1279">
        <f t="shared" si="81"/>
        <v>1</v>
      </c>
      <c r="AH42" s="1279">
        <f t="shared" si="82"/>
        <v>1.143</v>
      </c>
      <c r="AI42" s="1279">
        <f t="shared" si="83"/>
        <v>1.405</v>
      </c>
      <c r="AJ42" s="1279">
        <f t="shared" si="84"/>
        <v>1.643</v>
      </c>
      <c r="AK42" s="1279">
        <f t="shared" si="85"/>
        <v>2.1669999999999998</v>
      </c>
      <c r="AL42" s="1267"/>
      <c r="AM42" s="1267"/>
      <c r="AN42" s="1275">
        <v>3</v>
      </c>
      <c r="AO42" s="1275">
        <v>4</v>
      </c>
      <c r="AP42" s="1275">
        <v>5</v>
      </c>
      <c r="AQ42" s="1275">
        <v>6</v>
      </c>
      <c r="AR42" s="1275">
        <v>7</v>
      </c>
      <c r="AS42" s="1275">
        <v>8</v>
      </c>
      <c r="AT42" s="1275">
        <v>9</v>
      </c>
      <c r="AU42" s="1275">
        <v>10</v>
      </c>
    </row>
    <row r="43" spans="1:47">
      <c r="A43" s="1282">
        <v>80</v>
      </c>
      <c r="B43" s="1283">
        <f t="shared" si="63"/>
        <v>0.92900000000000005</v>
      </c>
      <c r="C43" s="1284">
        <v>0.92900000000000005</v>
      </c>
      <c r="D43" s="1283">
        <f t="shared" si="64"/>
        <v>1.012</v>
      </c>
      <c r="E43" s="1284">
        <v>1.095</v>
      </c>
      <c r="F43" s="1283">
        <f t="shared" si="65"/>
        <v>1.3094999999999999</v>
      </c>
      <c r="G43" s="1284">
        <v>1.524</v>
      </c>
      <c r="H43" s="1283">
        <f t="shared" si="66"/>
        <v>1.8454999999999999</v>
      </c>
      <c r="I43" s="1284">
        <v>2.1669999999999998</v>
      </c>
      <c r="J43" s="1283">
        <f t="shared" si="67"/>
        <v>2.548</v>
      </c>
      <c r="K43" s="1284">
        <v>2.9289999999999998</v>
      </c>
      <c r="L43" s="1283">
        <f t="shared" si="68"/>
        <v>3.2264999999999997</v>
      </c>
      <c r="M43" s="1284">
        <v>3.524</v>
      </c>
      <c r="N43" s="1283">
        <f t="shared" si="69"/>
        <v>3.8214999999999999</v>
      </c>
      <c r="O43" s="1284">
        <v>4.1189999999999998</v>
      </c>
      <c r="P43" s="1267"/>
      <c r="Q43" s="1275" t="s">
        <v>888</v>
      </c>
      <c r="R43" s="1286">
        <f t="shared" si="60"/>
        <v>0</v>
      </c>
      <c r="S43" s="1279">
        <f t="shared" si="70"/>
        <v>0.61899999999999999</v>
      </c>
      <c r="T43" s="1279">
        <f t="shared" si="71"/>
        <v>0.78600000000000003</v>
      </c>
      <c r="U43" s="1279">
        <f t="shared" si="72"/>
        <v>0.83299999999999996</v>
      </c>
      <c r="V43" s="1279">
        <f t="shared" si="73"/>
        <v>1</v>
      </c>
      <c r="W43" s="1279">
        <f t="shared" si="74"/>
        <v>1.143</v>
      </c>
      <c r="X43" s="1279">
        <f t="shared" si="75"/>
        <v>1.405</v>
      </c>
      <c r="Y43" s="1279">
        <f t="shared" si="76"/>
        <v>1.643</v>
      </c>
      <c r="Z43" s="1279">
        <f t="shared" si="77"/>
        <v>2.1669999999999998</v>
      </c>
      <c r="AA43" s="1267"/>
      <c r="AB43" s="1275" t="s">
        <v>888</v>
      </c>
      <c r="AC43" s="1286">
        <f t="shared" si="61"/>
        <v>0</v>
      </c>
      <c r="AD43" s="1279">
        <f t="shared" si="78"/>
        <v>0.61899999999999999</v>
      </c>
      <c r="AE43" s="1279">
        <f t="shared" si="79"/>
        <v>0.78600000000000003</v>
      </c>
      <c r="AF43" s="1279">
        <f t="shared" si="80"/>
        <v>0.83299999999999996</v>
      </c>
      <c r="AG43" s="1279">
        <f t="shared" si="81"/>
        <v>1</v>
      </c>
      <c r="AH43" s="1279">
        <f t="shared" si="82"/>
        <v>1.143</v>
      </c>
      <c r="AI43" s="1279">
        <f t="shared" si="83"/>
        <v>1.405</v>
      </c>
      <c r="AJ43" s="1279">
        <f t="shared" si="84"/>
        <v>1.643</v>
      </c>
      <c r="AK43" s="1279">
        <f t="shared" si="85"/>
        <v>2.1669999999999998</v>
      </c>
      <c r="AL43" s="1267"/>
      <c r="AM43" s="1267"/>
      <c r="AN43" s="1267"/>
      <c r="AO43" s="1267"/>
      <c r="AP43" s="1267"/>
      <c r="AQ43" s="1267"/>
      <c r="AR43" s="1267"/>
      <c r="AS43" s="1267"/>
      <c r="AT43" s="1267"/>
      <c r="AU43" s="1267"/>
    </row>
    <row r="44" spans="1:47">
      <c r="A44" s="1275">
        <v>90</v>
      </c>
      <c r="B44" s="1276">
        <f t="shared" si="63"/>
        <v>1.357</v>
      </c>
      <c r="C44" s="1277">
        <v>1.357</v>
      </c>
      <c r="D44" s="1276">
        <f t="shared" si="64"/>
        <v>1.476</v>
      </c>
      <c r="E44" s="1277">
        <v>1.595</v>
      </c>
      <c r="F44" s="1276">
        <f t="shared" si="65"/>
        <v>1.7854999999999999</v>
      </c>
      <c r="G44" s="1277">
        <v>1.976</v>
      </c>
      <c r="H44" s="1276">
        <f t="shared" si="66"/>
        <v>2.3330000000000002</v>
      </c>
      <c r="I44" s="1277">
        <v>2.69</v>
      </c>
      <c r="J44" s="1276">
        <f t="shared" si="67"/>
        <v>3.0830000000000002</v>
      </c>
      <c r="K44" s="1277">
        <v>3.476</v>
      </c>
      <c r="L44" s="1276">
        <f t="shared" si="68"/>
        <v>3.8094999999999999</v>
      </c>
      <c r="M44" s="1277">
        <v>4.1429999999999998</v>
      </c>
      <c r="N44" s="1276">
        <f t="shared" si="69"/>
        <v>4.5</v>
      </c>
      <c r="O44" s="1277">
        <v>4.8570000000000002</v>
      </c>
      <c r="P44" s="1267"/>
      <c r="Q44" s="1275" t="s">
        <v>889</v>
      </c>
      <c r="R44" s="1286">
        <f t="shared" si="60"/>
        <v>0</v>
      </c>
      <c r="S44" s="1279">
        <f t="shared" si="70"/>
        <v>0.61899999999999999</v>
      </c>
      <c r="T44" s="1279">
        <f t="shared" si="71"/>
        <v>0.78600000000000003</v>
      </c>
      <c r="U44" s="1279">
        <f t="shared" si="72"/>
        <v>0.83299999999999996</v>
      </c>
      <c r="V44" s="1279">
        <f t="shared" si="73"/>
        <v>1</v>
      </c>
      <c r="W44" s="1279">
        <f t="shared" si="74"/>
        <v>1.143</v>
      </c>
      <c r="X44" s="1279">
        <f t="shared" si="75"/>
        <v>1.405</v>
      </c>
      <c r="Y44" s="1279">
        <f t="shared" si="76"/>
        <v>1.643</v>
      </c>
      <c r="Z44" s="1279">
        <f t="shared" si="77"/>
        <v>2.1669999999999998</v>
      </c>
      <c r="AA44" s="1267"/>
      <c r="AB44" s="1275" t="s">
        <v>889</v>
      </c>
      <c r="AC44" s="1286">
        <f t="shared" si="61"/>
        <v>0</v>
      </c>
      <c r="AD44" s="1279">
        <f t="shared" si="78"/>
        <v>0.61899999999999999</v>
      </c>
      <c r="AE44" s="1279">
        <f t="shared" si="79"/>
        <v>0.78600000000000003</v>
      </c>
      <c r="AF44" s="1279">
        <f t="shared" si="80"/>
        <v>0.83299999999999996</v>
      </c>
      <c r="AG44" s="1279">
        <f t="shared" si="81"/>
        <v>1</v>
      </c>
      <c r="AH44" s="1279">
        <f t="shared" si="82"/>
        <v>1.143</v>
      </c>
      <c r="AI44" s="1279">
        <f t="shared" si="83"/>
        <v>1.405</v>
      </c>
      <c r="AJ44" s="1279">
        <f t="shared" si="84"/>
        <v>1.643</v>
      </c>
      <c r="AK44" s="1279">
        <f t="shared" si="85"/>
        <v>2.1669999999999998</v>
      </c>
      <c r="AL44" s="1267"/>
      <c r="AM44" s="1267"/>
      <c r="AN44" s="1267"/>
      <c r="AO44" s="1267"/>
      <c r="AP44" s="1267"/>
      <c r="AQ44" s="1267"/>
      <c r="AR44" s="1267"/>
      <c r="AS44" s="1267"/>
      <c r="AT44" s="1267"/>
      <c r="AU44" s="1267"/>
    </row>
    <row r="45" spans="1:47">
      <c r="A45" s="1275">
        <v>100</v>
      </c>
      <c r="B45" s="1276">
        <f t="shared" si="63"/>
        <v>1.833</v>
      </c>
      <c r="C45" s="1277">
        <v>1.833</v>
      </c>
      <c r="D45" s="1276">
        <f t="shared" si="64"/>
        <v>2</v>
      </c>
      <c r="E45" s="1277">
        <v>2.1669999999999998</v>
      </c>
      <c r="F45" s="1276">
        <f t="shared" si="65"/>
        <v>2.3929999999999998</v>
      </c>
      <c r="G45" s="1277">
        <v>2.6190000000000002</v>
      </c>
      <c r="H45" s="1276">
        <f t="shared" si="66"/>
        <v>2.8929999999999998</v>
      </c>
      <c r="I45" s="1277">
        <v>3.1669999999999998</v>
      </c>
      <c r="J45" s="1276">
        <f t="shared" si="67"/>
        <v>3.548</v>
      </c>
      <c r="K45" s="1277">
        <v>3.9289999999999998</v>
      </c>
      <c r="L45" s="1276">
        <f t="shared" si="68"/>
        <v>4.3215000000000003</v>
      </c>
      <c r="M45" s="1277">
        <v>4.7140000000000004</v>
      </c>
      <c r="N45" s="1276">
        <f t="shared" si="69"/>
        <v>5.0594999999999999</v>
      </c>
      <c r="O45" s="1277">
        <v>5.4050000000000002</v>
      </c>
      <c r="P45" s="1267"/>
      <c r="Q45" s="1267"/>
      <c r="R45" s="1267"/>
      <c r="S45" s="1267"/>
      <c r="T45" s="1267"/>
      <c r="U45" s="1267"/>
      <c r="V45" s="1267"/>
      <c r="W45" s="1267"/>
      <c r="X45" s="1267"/>
      <c r="Y45" s="1267"/>
      <c r="Z45" s="1267"/>
      <c r="AA45" s="1267"/>
      <c r="AB45" s="1267"/>
      <c r="AC45" s="1267"/>
      <c r="AD45" s="1267"/>
      <c r="AE45" s="1267"/>
      <c r="AF45" s="1267"/>
      <c r="AG45" s="1267"/>
      <c r="AH45" s="1267"/>
      <c r="AI45" s="1267"/>
      <c r="AJ45" s="1267"/>
      <c r="AK45" s="1267"/>
      <c r="AL45" s="1267"/>
      <c r="AM45" s="1267"/>
      <c r="AN45" s="1267"/>
      <c r="AO45" s="1267"/>
      <c r="AP45" s="1267"/>
      <c r="AQ45" s="1267"/>
      <c r="AR45" s="1267"/>
      <c r="AS45" s="1267"/>
      <c r="AT45" s="1267"/>
      <c r="AU45" s="1267"/>
    </row>
    <row r="46" spans="1:47">
      <c r="A46" s="1270" t="s">
        <v>896</v>
      </c>
      <c r="B46" s="1267"/>
      <c r="C46" s="1267"/>
      <c r="D46" s="1267"/>
      <c r="E46" s="1267"/>
      <c r="F46" s="1267"/>
      <c r="G46" s="1267"/>
      <c r="H46" s="1267"/>
      <c r="I46" s="1267"/>
      <c r="J46" s="1267"/>
      <c r="K46" s="1267"/>
      <c r="L46" s="1267"/>
      <c r="M46" s="1267"/>
      <c r="N46" s="1267"/>
      <c r="O46" s="1267"/>
      <c r="P46" s="1267"/>
      <c r="Q46" s="1267"/>
      <c r="R46" s="1267"/>
      <c r="S46" s="1267"/>
      <c r="T46" s="1267"/>
      <c r="U46" s="1267"/>
      <c r="V46" s="1267"/>
      <c r="W46" s="1267"/>
      <c r="X46" s="1267"/>
      <c r="Y46" s="1267"/>
      <c r="Z46" s="1267"/>
      <c r="AA46" s="1267"/>
      <c r="AB46" s="1267"/>
      <c r="AC46" s="1267"/>
      <c r="AD46" s="1267"/>
      <c r="AE46" s="1267"/>
      <c r="AF46" s="1267"/>
      <c r="AG46" s="1267"/>
      <c r="AH46" s="1267"/>
      <c r="AI46" s="1267"/>
      <c r="AJ46" s="1267"/>
      <c r="AK46" s="1267"/>
      <c r="AL46" s="1267"/>
      <c r="AM46" s="1267"/>
      <c r="AN46" s="1267"/>
      <c r="AO46" s="1267"/>
      <c r="AP46" s="1267"/>
      <c r="AQ46" s="1267"/>
      <c r="AR46" s="1267"/>
      <c r="AS46" s="1267"/>
      <c r="AT46" s="1267"/>
      <c r="AU46" s="1267"/>
    </row>
    <row r="47" spans="1:47">
      <c r="A47" s="1271"/>
      <c r="B47" s="1271"/>
      <c r="C47" s="1522" t="s">
        <v>869</v>
      </c>
      <c r="D47" s="1522"/>
      <c r="E47" s="1522"/>
      <c r="F47" s="1522"/>
      <c r="G47" s="1522"/>
      <c r="H47" s="1522"/>
      <c r="I47" s="1522"/>
      <c r="J47" s="1522"/>
      <c r="K47" s="1522"/>
      <c r="L47" s="1522"/>
      <c r="M47" s="1522"/>
      <c r="N47" s="1522"/>
      <c r="O47" s="1522"/>
      <c r="P47" s="1267"/>
      <c r="Q47" s="1270" t="s">
        <v>897</v>
      </c>
      <c r="R47" s="1267"/>
      <c r="S47" s="1267"/>
      <c r="T47" s="1267"/>
      <c r="U47" s="1267"/>
      <c r="V47" s="1267"/>
      <c r="W47" s="1267"/>
      <c r="X47" s="1267"/>
      <c r="Y47" s="1267"/>
      <c r="Z47" s="1267"/>
      <c r="AA47" s="1267"/>
      <c r="AB47" s="1270" t="s">
        <v>898</v>
      </c>
      <c r="AC47" s="1267"/>
      <c r="AD47" s="1267"/>
      <c r="AE47" s="1267"/>
      <c r="AF47" s="1267"/>
      <c r="AG47" s="1267"/>
      <c r="AH47" s="1267"/>
      <c r="AI47" s="1267"/>
      <c r="AJ47" s="1267"/>
      <c r="AK47" s="1267"/>
      <c r="AL47" s="1267"/>
      <c r="AM47" s="1272" t="s">
        <v>872</v>
      </c>
      <c r="AN47" s="1267"/>
      <c r="AO47" s="1267"/>
      <c r="AP47" s="1267"/>
      <c r="AQ47" s="1267"/>
      <c r="AR47" s="1267"/>
      <c r="AS47" s="1267"/>
      <c r="AT47" s="1267"/>
      <c r="AU47" s="1267"/>
    </row>
    <row r="48" spans="1:47">
      <c r="A48" s="1273" t="s">
        <v>873</v>
      </c>
      <c r="B48" s="1274">
        <v>-100</v>
      </c>
      <c r="C48" s="1273">
        <v>-6</v>
      </c>
      <c r="D48" s="1274">
        <f>(C48+E48)/2</f>
        <v>-5</v>
      </c>
      <c r="E48" s="1273">
        <v>-4</v>
      </c>
      <c r="F48" s="1274">
        <f>(E48+G48)/2</f>
        <v>-3</v>
      </c>
      <c r="G48" s="1273">
        <v>-2</v>
      </c>
      <c r="H48" s="1274">
        <f>(G48+I48)/2</f>
        <v>-1</v>
      </c>
      <c r="I48" s="1273">
        <v>0</v>
      </c>
      <c r="J48" s="1274">
        <f>(I48+K48)/2</f>
        <v>1</v>
      </c>
      <c r="K48" s="1273">
        <v>2</v>
      </c>
      <c r="L48" s="1274">
        <f>(K48+M48)/2</f>
        <v>3</v>
      </c>
      <c r="M48" s="1273">
        <v>4</v>
      </c>
      <c r="N48" s="1274">
        <f>(M48+O48)/2</f>
        <v>5</v>
      </c>
      <c r="O48" s="1273">
        <v>6</v>
      </c>
      <c r="P48" s="1267"/>
      <c r="Q48" s="1273" t="s">
        <v>874</v>
      </c>
      <c r="R48" s="1273" t="s">
        <v>869</v>
      </c>
      <c r="S48" s="1273">
        <v>10</v>
      </c>
      <c r="T48" s="1273">
        <v>20</v>
      </c>
      <c r="U48" s="1273">
        <v>30</v>
      </c>
      <c r="V48" s="1273">
        <v>40</v>
      </c>
      <c r="W48" s="1273">
        <v>50</v>
      </c>
      <c r="X48" s="1273">
        <v>60</v>
      </c>
      <c r="Y48" s="1273">
        <v>70</v>
      </c>
      <c r="Z48" s="1273">
        <v>80</v>
      </c>
      <c r="AA48" s="1267"/>
      <c r="AB48" s="1273" t="s">
        <v>874</v>
      </c>
      <c r="AC48" s="1273" t="s">
        <v>869</v>
      </c>
      <c r="AD48" s="1273">
        <v>10</v>
      </c>
      <c r="AE48" s="1273">
        <v>20</v>
      </c>
      <c r="AF48" s="1273">
        <v>30</v>
      </c>
      <c r="AG48" s="1273">
        <v>40</v>
      </c>
      <c r="AH48" s="1273">
        <v>50</v>
      </c>
      <c r="AI48" s="1273">
        <v>60</v>
      </c>
      <c r="AJ48" s="1273">
        <v>70</v>
      </c>
      <c r="AK48" s="1273">
        <v>80</v>
      </c>
      <c r="AL48" s="1267"/>
      <c r="AM48" s="1273" t="s">
        <v>875</v>
      </c>
      <c r="AN48" s="1273">
        <v>10</v>
      </c>
      <c r="AO48" s="1273">
        <v>20</v>
      </c>
      <c r="AP48" s="1273">
        <v>30</v>
      </c>
      <c r="AQ48" s="1273">
        <v>40</v>
      </c>
      <c r="AR48" s="1273">
        <v>50</v>
      </c>
      <c r="AS48" s="1273">
        <v>60</v>
      </c>
      <c r="AT48" s="1273">
        <v>70</v>
      </c>
      <c r="AU48" s="1273">
        <v>80</v>
      </c>
    </row>
    <row r="49" spans="1:47">
      <c r="A49" s="1275">
        <v>0</v>
      </c>
      <c r="B49" s="1276">
        <f>C49</f>
        <v>0.22500000000000001</v>
      </c>
      <c r="C49" s="1277">
        <v>0.22500000000000001</v>
      </c>
      <c r="D49" s="1276">
        <f>(C49+E49)/2</f>
        <v>0.184</v>
      </c>
      <c r="E49" s="1277">
        <v>0.14299999999999999</v>
      </c>
      <c r="F49" s="1276">
        <f>(E49+G49)/2</f>
        <v>0.14299999999999999</v>
      </c>
      <c r="G49" s="1277">
        <v>0.14299999999999999</v>
      </c>
      <c r="H49" s="1276">
        <f>(G49+I49)/2</f>
        <v>0.14299999999999999</v>
      </c>
      <c r="I49" s="1277">
        <v>0.14299999999999999</v>
      </c>
      <c r="J49" s="1276">
        <f>(I49+K49)/2</f>
        <v>0.14299999999999999</v>
      </c>
      <c r="K49" s="1277">
        <v>0.14299999999999999</v>
      </c>
      <c r="L49" s="1276">
        <f>(K49+M49)/2</f>
        <v>0.14299999999999999</v>
      </c>
      <c r="M49" s="1277">
        <v>0.14299999999999999</v>
      </c>
      <c r="N49" s="1276">
        <f>(M49+O49)/2</f>
        <v>0.14299999999999999</v>
      </c>
      <c r="O49" s="1277">
        <v>0.14299999999999999</v>
      </c>
      <c r="P49" s="1267"/>
      <c r="Q49" s="1275" t="s">
        <v>899</v>
      </c>
      <c r="R49" s="1286">
        <f t="shared" ref="R49:R58" si="91">R35</f>
        <v>0</v>
      </c>
      <c r="S49" s="1279">
        <f>HLOOKUP(INT($R49),$B$48:$O$59,3)+(HLOOKUP(INT($R49)+1,$B$48:$O$59,3)-HLOOKUP(INT($R49),$B$48:$O$59,3))*($R49-INT($R49))</f>
        <v>0.61899999999999999</v>
      </c>
      <c r="T49" s="1279">
        <f>HLOOKUP(INT($R49),$B$48:$O$59,4)+(HLOOKUP(INT($R49)+1,$B$48:$O$59,4)-HLOOKUP(INT($R49),$B$48:$O$59,4))*($R49-INT($R49))</f>
        <v>0.78600000000000003</v>
      </c>
      <c r="U49" s="1279">
        <f>HLOOKUP(INT($R49),$B$48:$O$59,5)+(HLOOKUP(INT($R49)+1,$B$48:$O$59,5)-HLOOKUP(INT($R49),$B$48:$O$59,5))*($R49-INT($R49))</f>
        <v>0.83299999999999996</v>
      </c>
      <c r="V49" s="1279">
        <f>HLOOKUP(INT($R49),$B$48:$O$59,6)+(HLOOKUP(INT($R49)+1,$B$48:$O$59,6)-HLOOKUP(INT($R49),$B$48:$O$59,6))*($R49-INT($R49))</f>
        <v>1</v>
      </c>
      <c r="W49" s="1279">
        <f>HLOOKUP(INT($R49),$B$48:$O$59,7)+(HLOOKUP(INT($R49)+1,$B$48:$O$59,7)-HLOOKUP(INT($R49),$B$48:$O$59,7))*($R49-INT($R49))</f>
        <v>1.143</v>
      </c>
      <c r="X49" s="1279">
        <f>HLOOKUP(INT($R49),$B$48:$O$59,8)+(HLOOKUP(INT($R49)+1,$B$48:$O$59,8)-HLOOKUP(INT($R49),$B$48:$O$59,8))*($R49-INT($R49))</f>
        <v>1.405</v>
      </c>
      <c r="Y49" s="1279">
        <f>HLOOKUP(INT($R49),$B$48:$O$59,9)+(HLOOKUP(INT($R49)+1,$B$48:$O$59,9)-HLOOKUP(INT($R49),$B$48:$O$59,9))*($R49-INT($R49))</f>
        <v>1.643</v>
      </c>
      <c r="Z49" s="1279">
        <f>HLOOKUP(INT($R49),$B$48:$O$59,10)+(HLOOKUP(INT($R49)+1,$B$48:$O$59,10)-HLOOKUP(INT($R49),$B$48:$O$59,10))*($R49-INT($R49))</f>
        <v>2.1669999999999998</v>
      </c>
      <c r="AA49" s="1267"/>
      <c r="AB49" s="1275" t="s">
        <v>900</v>
      </c>
      <c r="AC49" s="1286">
        <f t="shared" ref="AC49:AC58" si="92">AC35</f>
        <v>1.784</v>
      </c>
      <c r="AD49" s="1279">
        <f>HLOOKUP(INT($AC49),$B$48:$O$59,3)+(HLOOKUP(INT($AC49)+1,$B$48:$O$59,3)-HLOOKUP(INT($AC49),$B$48:$O$59,3))*($AC49-INT($AC49))</f>
        <v>0.68233199999999994</v>
      </c>
      <c r="AE49" s="1279">
        <f>HLOOKUP(INT($AC49),$B$48:$O$59,4)+(HLOOKUP(INT($AC49)+1,$B$48:$O$59,4)-HLOOKUP(INT($AC49),$B$48:$O$59,4))*($AC49-INT($AC49))</f>
        <v>0.89214800000000005</v>
      </c>
      <c r="AF49" s="1279">
        <f>HLOOKUP(INT($AC49),$B$48:$O$59,5)+(HLOOKUP(INT($AC49)+1,$B$48:$O$59,5)-HLOOKUP(INT($AC49),$B$48:$O$59,5))*($AC49-INT($AC49))</f>
        <v>1.088112</v>
      </c>
      <c r="AG49" s="1279">
        <f>HLOOKUP(INT($AC49),$B$48:$O$59,6)+(HLOOKUP(INT($AC49)+1,$B$48:$O$59,6)-HLOOKUP(INT($AC49),$B$48:$O$59,6))*($AC49-INT($AC49))</f>
        <v>1.255112</v>
      </c>
      <c r="AH49" s="1279">
        <f>HLOOKUP(INT($AC49),$B$48:$O$59,7)+(HLOOKUP(INT($AC49)+1,$B$48:$O$59,7)-HLOOKUP(INT($AC49),$B$48:$O$59,7))*($AC49-INT($AC49))</f>
        <v>1.418628</v>
      </c>
      <c r="AI49" s="1279">
        <f>HLOOKUP(INT($AC49),$B$48:$O$59,8)+(HLOOKUP(INT($AC49)+1,$B$48:$O$59,8)-HLOOKUP(INT($AC49),$B$48:$O$59,8))*($AC49-INT($AC49))</f>
        <v>1.680628</v>
      </c>
      <c r="AJ49" s="1279">
        <f>HLOOKUP(INT($AC49),$B$48:$O$59,9)+(HLOOKUP(INT($AC49)+1,$B$48:$O$59,9)-HLOOKUP(INT($AC49),$B$48:$O$59,9))*($AC49-INT($AC49))</f>
        <v>2.25848</v>
      </c>
      <c r="AK49" s="1279">
        <f>HLOOKUP(INT($AC49),$B$48:$O$59,10)+(HLOOKUP(INT($AC49)+1,$B$48:$O$59,10)-HLOOKUP(INT($AC49),$B$48:$O$59,10))*($AC49-INT($AC49))</f>
        <v>2.8467039999999999</v>
      </c>
      <c r="AL49" s="1267"/>
      <c r="AM49" s="1280" t="s">
        <v>901</v>
      </c>
      <c r="AN49" s="1278">
        <f>R58</f>
        <v>0</v>
      </c>
      <c r="AO49" s="1281">
        <f>AN49</f>
        <v>0</v>
      </c>
      <c r="AP49" s="1281">
        <f t="shared" ref="AP49:AU49" si="93">AO49</f>
        <v>0</v>
      </c>
      <c r="AQ49" s="1281">
        <f t="shared" si="93"/>
        <v>0</v>
      </c>
      <c r="AR49" s="1281">
        <f t="shared" si="93"/>
        <v>0</v>
      </c>
      <c r="AS49" s="1281">
        <f t="shared" si="93"/>
        <v>0</v>
      </c>
      <c r="AT49" s="1281">
        <f t="shared" si="93"/>
        <v>0</v>
      </c>
      <c r="AU49" s="1281">
        <f t="shared" si="93"/>
        <v>0</v>
      </c>
    </row>
    <row r="50" spans="1:47">
      <c r="A50" s="1282">
        <v>10</v>
      </c>
      <c r="B50" s="1283">
        <f t="shared" ref="B50:B59" si="94">C50</f>
        <v>0.53800000000000003</v>
      </c>
      <c r="C50" s="1284">
        <v>0.53800000000000003</v>
      </c>
      <c r="D50" s="1283">
        <f t="shared" ref="D50:D59" si="95">(C50+E50)/2</f>
        <v>0.50700000000000001</v>
      </c>
      <c r="E50" s="1284">
        <v>0.47599999999999998</v>
      </c>
      <c r="F50" s="1283">
        <f t="shared" ref="F50:F59" si="96">(E50+G50)/2</f>
        <v>0.5</v>
      </c>
      <c r="G50" s="1284">
        <v>0.52400000000000002</v>
      </c>
      <c r="H50" s="1283">
        <f t="shared" ref="H50:H59" si="97">(G50+I50)/2</f>
        <v>0.57150000000000001</v>
      </c>
      <c r="I50" s="1284">
        <v>0.61899999999999999</v>
      </c>
      <c r="J50" s="1283">
        <f t="shared" ref="J50:J59" si="98">(I50+K50)/2</f>
        <v>0.65449999999999997</v>
      </c>
      <c r="K50" s="1284">
        <v>0.69</v>
      </c>
      <c r="L50" s="1283">
        <f t="shared" ref="L50:L59" si="99">(K50+M50)/2</f>
        <v>0.73799999999999999</v>
      </c>
      <c r="M50" s="1284">
        <v>0.78600000000000003</v>
      </c>
      <c r="N50" s="1283">
        <f t="shared" ref="N50:N59" si="100">(M50+O50)/2</f>
        <v>0.82150000000000001</v>
      </c>
      <c r="O50" s="1284">
        <v>0.85699999999999998</v>
      </c>
      <c r="P50" s="1267"/>
      <c r="Q50" s="1275" t="s">
        <v>3</v>
      </c>
      <c r="R50" s="1286">
        <f t="shared" si="91"/>
        <v>0</v>
      </c>
      <c r="S50" s="1279">
        <f t="shared" ref="S50:S58" si="101">HLOOKUP(INT($R50),$B$48:$O$59,3)+(HLOOKUP(INT($R50)+1,$B$48:$O$59,3)-HLOOKUP(INT($R50),$B$48:$O$59,3))*($R50-INT($R50))</f>
        <v>0.61899999999999999</v>
      </c>
      <c r="T50" s="1279">
        <f t="shared" ref="T50:T58" si="102">HLOOKUP(INT($R50),$B$48:$O$59,4)+(HLOOKUP(INT($R50)+1,$B$48:$O$59,4)-HLOOKUP(INT($R50),$B$48:$O$59,4))*($R50-INT($R50))</f>
        <v>0.78600000000000003</v>
      </c>
      <c r="U50" s="1279">
        <f t="shared" ref="U50:U58" si="103">HLOOKUP(INT($R50),$B$48:$O$59,5)+(HLOOKUP(INT($R50)+1,$B$48:$O$59,5)-HLOOKUP(INT($R50),$B$48:$O$59,5))*($R50-INT($R50))</f>
        <v>0.83299999999999996</v>
      </c>
      <c r="V50" s="1279">
        <f t="shared" ref="V50:V58" si="104">HLOOKUP(INT($R50),$B$48:$O$59,6)+(HLOOKUP(INT($R50)+1,$B$48:$O$59,6)-HLOOKUP(INT($R50),$B$48:$O$59,6))*($R50-INT($R50))</f>
        <v>1</v>
      </c>
      <c r="W50" s="1279">
        <f t="shared" ref="W50:W58" si="105">HLOOKUP(INT($R50),$B$48:$O$59,7)+(HLOOKUP(INT($R50)+1,$B$48:$O$59,7)-HLOOKUP(INT($R50),$B$48:$O$59,7))*($R50-INT($R50))</f>
        <v>1.143</v>
      </c>
      <c r="X50" s="1279">
        <f t="shared" ref="X50:X58" si="106">HLOOKUP(INT($R50),$B$48:$O$59,8)+(HLOOKUP(INT($R50)+1,$B$48:$O$59,8)-HLOOKUP(INT($R50),$B$48:$O$59,8))*($R50-INT($R50))</f>
        <v>1.405</v>
      </c>
      <c r="Y50" s="1279">
        <f t="shared" ref="Y50:Y58" si="107">HLOOKUP(INT($R50),$B$48:$O$59,9)+(HLOOKUP(INT($R50)+1,$B$48:$O$59,9)-HLOOKUP(INT($R50),$B$48:$O$59,9))*($R50-INT($R50))</f>
        <v>1.643</v>
      </c>
      <c r="Z50" s="1279">
        <f t="shared" ref="Z50:Z58" si="108">HLOOKUP(INT($R50),$B$48:$O$59,10)+(HLOOKUP(INT($R50)+1,$B$48:$O$59,10)-HLOOKUP(INT($R50),$B$48:$O$59,10))*($R50-INT($R50))</f>
        <v>2.1669999999999998</v>
      </c>
      <c r="AA50" s="1267"/>
      <c r="AB50" s="1275" t="s">
        <v>3</v>
      </c>
      <c r="AC50" s="1286">
        <f t="shared" si="92"/>
        <v>0</v>
      </c>
      <c r="AD50" s="1279">
        <f t="shared" ref="AD50:AD58" si="109">HLOOKUP(INT($AC50),$B$48:$O$59,3)+(HLOOKUP(INT($AC50)+1,$B$48:$O$59,3)-HLOOKUP(INT($AC50),$B$48:$O$59,3))*($AC50-INT($AC50))</f>
        <v>0.61899999999999999</v>
      </c>
      <c r="AE50" s="1279">
        <f t="shared" ref="AE50:AE58" si="110">HLOOKUP(INT($AC50),$B$48:$O$59,4)+(HLOOKUP(INT($AC50)+1,$B$48:$O$59,4)-HLOOKUP(INT($AC50),$B$48:$O$59,4))*($AC50-INT($AC50))</f>
        <v>0.78600000000000003</v>
      </c>
      <c r="AF50" s="1279">
        <f t="shared" ref="AF50:AF58" si="111">HLOOKUP(INT($AC50),$B$48:$O$59,5)+(HLOOKUP(INT($AC50)+1,$B$48:$O$59,5)-HLOOKUP(INT($AC50),$B$48:$O$59,5))*($AC50-INT($AC50))</f>
        <v>0.83299999999999996</v>
      </c>
      <c r="AG50" s="1279">
        <f t="shared" ref="AG50:AG58" si="112">HLOOKUP(INT($AC50),$B$48:$O$59,6)+(HLOOKUP(INT($AC50)+1,$B$48:$O$59,6)-HLOOKUP(INT($AC50),$B$48:$O$59,6))*($AC50-INT($AC50))</f>
        <v>1</v>
      </c>
      <c r="AH50" s="1279">
        <f t="shared" ref="AH50:AH58" si="113">HLOOKUP(INT($AC50),$B$48:$O$59,7)+(HLOOKUP(INT($AC50)+1,$B$48:$O$59,7)-HLOOKUP(INT($AC50),$B$48:$O$59,7))*($AC50-INT($AC50))</f>
        <v>1.143</v>
      </c>
      <c r="AI50" s="1279">
        <f t="shared" ref="AI50:AI58" si="114">HLOOKUP(INT($AC50),$B$48:$O$59,8)+(HLOOKUP(INT($AC50)+1,$B$48:$O$59,8)-HLOOKUP(INT($AC50),$B$48:$O$59,8))*($AC50-INT($AC50))</f>
        <v>1.405</v>
      </c>
      <c r="AJ50" s="1279">
        <f t="shared" ref="AJ50:AJ58" si="115">HLOOKUP(INT($AC50),$B$48:$O$59,9)+(HLOOKUP(INT($AC50)+1,$B$48:$O$59,9)-HLOOKUP(INT($AC50),$B$48:$O$59,9))*($AC50-INT($AC50))</f>
        <v>1.643</v>
      </c>
      <c r="AK50" s="1279">
        <f t="shared" ref="AK50:AK58" si="116">HLOOKUP(INT($AC50),$B$48:$O$59,10)+(HLOOKUP(INT($AC50)+1,$B$48:$O$59,10)-HLOOKUP(INT($AC50),$B$48:$O$59,10))*($AC50-INT($AC50))</f>
        <v>2.1669999999999998</v>
      </c>
      <c r="AL50" s="1267"/>
      <c r="AM50" s="1267" t="s">
        <v>902</v>
      </c>
      <c r="AN50" s="1279">
        <f t="shared" ref="AN50:AU50" si="117">AN53+(AN55-AN53)*(AN49-AN52)</f>
        <v>0.61899999999999999</v>
      </c>
      <c r="AO50" s="1279">
        <f t="shared" si="117"/>
        <v>0.78600000000000003</v>
      </c>
      <c r="AP50" s="1279">
        <f t="shared" si="117"/>
        <v>0.83299999999999996</v>
      </c>
      <c r="AQ50" s="1279">
        <f t="shared" si="117"/>
        <v>1</v>
      </c>
      <c r="AR50" s="1279">
        <f t="shared" si="117"/>
        <v>1.143</v>
      </c>
      <c r="AS50" s="1279">
        <f t="shared" si="117"/>
        <v>1.405</v>
      </c>
      <c r="AT50" s="1279">
        <f t="shared" si="117"/>
        <v>1.643</v>
      </c>
      <c r="AU50" s="1279">
        <f t="shared" si="117"/>
        <v>2.1669999999999998</v>
      </c>
    </row>
    <row r="51" spans="1:47">
      <c r="A51" s="1282">
        <v>20</v>
      </c>
      <c r="B51" s="1283">
        <f t="shared" si="94"/>
        <v>0.46300000000000002</v>
      </c>
      <c r="C51" s="1284">
        <v>0.46300000000000002</v>
      </c>
      <c r="D51" s="1283">
        <f t="shared" si="95"/>
        <v>0.50550000000000006</v>
      </c>
      <c r="E51" s="1284">
        <v>0.54800000000000004</v>
      </c>
      <c r="F51" s="1283">
        <f t="shared" si="96"/>
        <v>0.60750000000000004</v>
      </c>
      <c r="G51" s="1284">
        <v>0.66700000000000004</v>
      </c>
      <c r="H51" s="1283">
        <f t="shared" si="97"/>
        <v>0.72650000000000003</v>
      </c>
      <c r="I51" s="1284">
        <v>0.78600000000000003</v>
      </c>
      <c r="J51" s="1283">
        <f t="shared" si="98"/>
        <v>0.84550000000000003</v>
      </c>
      <c r="K51" s="1284">
        <v>0.90500000000000003</v>
      </c>
      <c r="L51" s="1283">
        <f t="shared" si="99"/>
        <v>1</v>
      </c>
      <c r="M51" s="1284">
        <v>1.095</v>
      </c>
      <c r="N51" s="1283">
        <f t="shared" si="100"/>
        <v>1.2025000000000001</v>
      </c>
      <c r="O51" s="1284">
        <v>1.31</v>
      </c>
      <c r="P51" s="1267"/>
      <c r="Q51" s="1275" t="s">
        <v>878</v>
      </c>
      <c r="R51" s="1286">
        <f t="shared" si="91"/>
        <v>0</v>
      </c>
      <c r="S51" s="1279">
        <f t="shared" si="101"/>
        <v>0.61899999999999999</v>
      </c>
      <c r="T51" s="1279">
        <f t="shared" si="102"/>
        <v>0.78600000000000003</v>
      </c>
      <c r="U51" s="1279">
        <f t="shared" si="103"/>
        <v>0.83299999999999996</v>
      </c>
      <c r="V51" s="1279">
        <f t="shared" si="104"/>
        <v>1</v>
      </c>
      <c r="W51" s="1279">
        <f t="shared" si="105"/>
        <v>1.143</v>
      </c>
      <c r="X51" s="1279">
        <f t="shared" si="106"/>
        <v>1.405</v>
      </c>
      <c r="Y51" s="1279">
        <f t="shared" si="107"/>
        <v>1.643</v>
      </c>
      <c r="Z51" s="1279">
        <f t="shared" si="108"/>
        <v>2.1669999999999998</v>
      </c>
      <c r="AA51" s="1267"/>
      <c r="AB51" s="1275" t="s">
        <v>878</v>
      </c>
      <c r="AC51" s="1286">
        <f t="shared" si="92"/>
        <v>0</v>
      </c>
      <c r="AD51" s="1279">
        <f t="shared" si="109"/>
        <v>0.61899999999999999</v>
      </c>
      <c r="AE51" s="1279">
        <f t="shared" si="110"/>
        <v>0.78600000000000003</v>
      </c>
      <c r="AF51" s="1279">
        <f t="shared" si="111"/>
        <v>0.83299999999999996</v>
      </c>
      <c r="AG51" s="1279">
        <f t="shared" si="112"/>
        <v>1</v>
      </c>
      <c r="AH51" s="1279">
        <f t="shared" si="113"/>
        <v>1.143</v>
      </c>
      <c r="AI51" s="1279">
        <f t="shared" si="114"/>
        <v>1.405</v>
      </c>
      <c r="AJ51" s="1279">
        <f t="shared" si="115"/>
        <v>1.643</v>
      </c>
      <c r="AK51" s="1279">
        <f t="shared" si="116"/>
        <v>2.1669999999999998</v>
      </c>
      <c r="AL51" s="1267"/>
      <c r="AM51" s="1267"/>
      <c r="AN51" s="1275"/>
      <c r="AO51" s="1275"/>
      <c r="AP51" s="1275"/>
      <c r="AQ51" s="1275"/>
      <c r="AR51" s="1275"/>
      <c r="AS51" s="1275"/>
      <c r="AT51" s="1275"/>
      <c r="AU51" s="1275"/>
    </row>
    <row r="52" spans="1:47">
      <c r="A52" s="1282">
        <v>30</v>
      </c>
      <c r="B52" s="1283">
        <f t="shared" si="94"/>
        <v>0.438</v>
      </c>
      <c r="C52" s="1284">
        <v>0.438</v>
      </c>
      <c r="D52" s="1283">
        <f t="shared" si="95"/>
        <v>0.49299999999999999</v>
      </c>
      <c r="E52" s="1284">
        <v>0.54800000000000004</v>
      </c>
      <c r="F52" s="1283">
        <f t="shared" si="96"/>
        <v>0.61899999999999999</v>
      </c>
      <c r="G52" s="1284">
        <v>0.69</v>
      </c>
      <c r="H52" s="1283">
        <f t="shared" si="97"/>
        <v>0.76149999999999995</v>
      </c>
      <c r="I52" s="1284">
        <v>0.83299999999999996</v>
      </c>
      <c r="J52" s="1283">
        <f t="shared" si="98"/>
        <v>0.97599999999999998</v>
      </c>
      <c r="K52" s="1284">
        <v>1.119</v>
      </c>
      <c r="L52" s="1283">
        <f t="shared" si="99"/>
        <v>1.262</v>
      </c>
      <c r="M52" s="1284">
        <v>1.405</v>
      </c>
      <c r="N52" s="1283">
        <f t="shared" si="100"/>
        <v>1.536</v>
      </c>
      <c r="O52" s="1284">
        <v>1.667</v>
      </c>
      <c r="P52" s="1267"/>
      <c r="Q52" s="1275" t="s">
        <v>879</v>
      </c>
      <c r="R52" s="1286">
        <f t="shared" si="91"/>
        <v>0</v>
      </c>
      <c r="S52" s="1279">
        <f t="shared" si="101"/>
        <v>0.61899999999999999</v>
      </c>
      <c r="T52" s="1279">
        <f t="shared" si="102"/>
        <v>0.78600000000000003</v>
      </c>
      <c r="U52" s="1279">
        <f t="shared" si="103"/>
        <v>0.83299999999999996</v>
      </c>
      <c r="V52" s="1279">
        <f t="shared" si="104"/>
        <v>1</v>
      </c>
      <c r="W52" s="1279">
        <f t="shared" si="105"/>
        <v>1.143</v>
      </c>
      <c r="X52" s="1279">
        <f t="shared" si="106"/>
        <v>1.405</v>
      </c>
      <c r="Y52" s="1279">
        <f t="shared" si="107"/>
        <v>1.643</v>
      </c>
      <c r="Z52" s="1279">
        <f t="shared" si="108"/>
        <v>2.1669999999999998</v>
      </c>
      <c r="AA52" s="1267"/>
      <c r="AB52" s="1275" t="s">
        <v>879</v>
      </c>
      <c r="AC52" s="1286">
        <f t="shared" si="92"/>
        <v>0</v>
      </c>
      <c r="AD52" s="1279">
        <f t="shared" si="109"/>
        <v>0.61899999999999999</v>
      </c>
      <c r="AE52" s="1279">
        <f t="shared" si="110"/>
        <v>0.78600000000000003</v>
      </c>
      <c r="AF52" s="1279">
        <f t="shared" si="111"/>
        <v>0.83299999999999996</v>
      </c>
      <c r="AG52" s="1279">
        <f t="shared" si="112"/>
        <v>1</v>
      </c>
      <c r="AH52" s="1279">
        <f t="shared" si="113"/>
        <v>1.143</v>
      </c>
      <c r="AI52" s="1279">
        <f t="shared" si="114"/>
        <v>1.405</v>
      </c>
      <c r="AJ52" s="1279">
        <f t="shared" si="115"/>
        <v>1.643</v>
      </c>
      <c r="AK52" s="1279">
        <f t="shared" si="116"/>
        <v>2.1669999999999998</v>
      </c>
      <c r="AL52" s="1267"/>
      <c r="AM52" s="1285" t="s">
        <v>903</v>
      </c>
      <c r="AN52" s="1286">
        <f>INT(AN49)</f>
        <v>0</v>
      </c>
      <c r="AO52" s="1286">
        <f t="shared" ref="AO52:AU52" si="118">INT(AO49)</f>
        <v>0</v>
      </c>
      <c r="AP52" s="1286">
        <f t="shared" si="118"/>
        <v>0</v>
      </c>
      <c r="AQ52" s="1286">
        <f t="shared" si="118"/>
        <v>0</v>
      </c>
      <c r="AR52" s="1286">
        <f t="shared" si="118"/>
        <v>0</v>
      </c>
      <c r="AS52" s="1286">
        <f t="shared" si="118"/>
        <v>0</v>
      </c>
      <c r="AT52" s="1286">
        <f t="shared" si="118"/>
        <v>0</v>
      </c>
      <c r="AU52" s="1286">
        <f t="shared" si="118"/>
        <v>0</v>
      </c>
    </row>
    <row r="53" spans="1:47">
      <c r="A53" s="1287">
        <v>40</v>
      </c>
      <c r="B53" s="1288">
        <f t="shared" si="94"/>
        <v>0.41299999999999998</v>
      </c>
      <c r="C53" s="1289">
        <v>0.41299999999999998</v>
      </c>
      <c r="D53" s="1288">
        <f t="shared" si="95"/>
        <v>0.54</v>
      </c>
      <c r="E53" s="1289">
        <v>0.66700000000000004</v>
      </c>
      <c r="F53" s="1288">
        <f t="shared" si="96"/>
        <v>0.72650000000000003</v>
      </c>
      <c r="G53" s="1289">
        <v>0.78600000000000003</v>
      </c>
      <c r="H53" s="1288">
        <f t="shared" si="97"/>
        <v>0.89300000000000002</v>
      </c>
      <c r="I53" s="1289">
        <v>1</v>
      </c>
      <c r="J53" s="1288">
        <f t="shared" si="98"/>
        <v>1.143</v>
      </c>
      <c r="K53" s="1289">
        <v>1.286</v>
      </c>
      <c r="L53" s="1288">
        <f t="shared" si="99"/>
        <v>1.5</v>
      </c>
      <c r="M53" s="1289">
        <v>1.714</v>
      </c>
      <c r="N53" s="1288">
        <f t="shared" si="100"/>
        <v>1.869</v>
      </c>
      <c r="O53" s="1289">
        <v>2.024</v>
      </c>
      <c r="P53" s="1267"/>
      <c r="Q53" s="1275" t="s">
        <v>881</v>
      </c>
      <c r="R53" s="1286">
        <f t="shared" si="91"/>
        <v>0</v>
      </c>
      <c r="S53" s="1279">
        <f t="shared" si="101"/>
        <v>0.61899999999999999</v>
      </c>
      <c r="T53" s="1279">
        <f t="shared" si="102"/>
        <v>0.78600000000000003</v>
      </c>
      <c r="U53" s="1279">
        <f t="shared" si="103"/>
        <v>0.83299999999999996</v>
      </c>
      <c r="V53" s="1279">
        <f t="shared" si="104"/>
        <v>1</v>
      </c>
      <c r="W53" s="1279">
        <f t="shared" si="105"/>
        <v>1.143</v>
      </c>
      <c r="X53" s="1279">
        <f t="shared" si="106"/>
        <v>1.405</v>
      </c>
      <c r="Y53" s="1279">
        <f t="shared" si="107"/>
        <v>1.643</v>
      </c>
      <c r="Z53" s="1279">
        <f t="shared" si="108"/>
        <v>2.1669999999999998</v>
      </c>
      <c r="AA53" s="1267"/>
      <c r="AB53" s="1275" t="s">
        <v>881</v>
      </c>
      <c r="AC53" s="1286">
        <f t="shared" si="92"/>
        <v>0</v>
      </c>
      <c r="AD53" s="1279">
        <f t="shared" si="109"/>
        <v>0.61899999999999999</v>
      </c>
      <c r="AE53" s="1279">
        <f t="shared" si="110"/>
        <v>0.78600000000000003</v>
      </c>
      <c r="AF53" s="1279">
        <f t="shared" si="111"/>
        <v>0.83299999999999996</v>
      </c>
      <c r="AG53" s="1279">
        <f t="shared" si="112"/>
        <v>1</v>
      </c>
      <c r="AH53" s="1279">
        <f t="shared" si="113"/>
        <v>1.143</v>
      </c>
      <c r="AI53" s="1279">
        <f t="shared" si="114"/>
        <v>1.405</v>
      </c>
      <c r="AJ53" s="1279">
        <f t="shared" si="115"/>
        <v>1.643</v>
      </c>
      <c r="AK53" s="1279">
        <f t="shared" si="116"/>
        <v>2.1669999999999998</v>
      </c>
      <c r="AL53" s="1267"/>
      <c r="AM53" s="1285" t="s">
        <v>882</v>
      </c>
      <c r="AN53" s="1290">
        <f>HLOOKUP(AN52,$B$48:$O$59,AN56)</f>
        <v>0.61899999999999999</v>
      </c>
      <c r="AO53" s="1290">
        <f t="shared" ref="AO53:AU53" si="119">HLOOKUP(AO52,$B$48:$O$59,AO56)</f>
        <v>0.78600000000000003</v>
      </c>
      <c r="AP53" s="1290">
        <f t="shared" si="119"/>
        <v>0.83299999999999996</v>
      </c>
      <c r="AQ53" s="1290">
        <f t="shared" si="119"/>
        <v>1</v>
      </c>
      <c r="AR53" s="1290">
        <f t="shared" si="119"/>
        <v>1.143</v>
      </c>
      <c r="AS53" s="1290">
        <f t="shared" si="119"/>
        <v>1.405</v>
      </c>
      <c r="AT53" s="1290">
        <f t="shared" si="119"/>
        <v>1.643</v>
      </c>
      <c r="AU53" s="1290">
        <f t="shared" si="119"/>
        <v>2.1669999999999998</v>
      </c>
    </row>
    <row r="54" spans="1:47">
      <c r="A54" s="1287">
        <v>50</v>
      </c>
      <c r="B54" s="1288">
        <f t="shared" si="94"/>
        <v>0.38800000000000001</v>
      </c>
      <c r="C54" s="1289">
        <v>0.38800000000000001</v>
      </c>
      <c r="D54" s="1288">
        <f t="shared" si="95"/>
        <v>0.51550000000000007</v>
      </c>
      <c r="E54" s="1289">
        <v>0.64300000000000002</v>
      </c>
      <c r="F54" s="1288">
        <f t="shared" si="96"/>
        <v>0.76200000000000001</v>
      </c>
      <c r="G54" s="1289">
        <v>0.88100000000000001</v>
      </c>
      <c r="H54" s="1288">
        <f t="shared" si="97"/>
        <v>1.012</v>
      </c>
      <c r="I54" s="1289">
        <v>1.143</v>
      </c>
      <c r="J54" s="1288">
        <f t="shared" si="98"/>
        <v>1.2974999999999999</v>
      </c>
      <c r="K54" s="1289">
        <v>1.452</v>
      </c>
      <c r="L54" s="1288">
        <f t="shared" si="99"/>
        <v>1.7735000000000001</v>
      </c>
      <c r="M54" s="1289">
        <v>2.0950000000000002</v>
      </c>
      <c r="N54" s="1288">
        <f t="shared" si="100"/>
        <v>2.1665000000000001</v>
      </c>
      <c r="O54" s="1289">
        <v>2.238</v>
      </c>
      <c r="P54" s="1267"/>
      <c r="Q54" s="1275" t="s">
        <v>883</v>
      </c>
      <c r="R54" s="1286">
        <f t="shared" si="91"/>
        <v>0</v>
      </c>
      <c r="S54" s="1279">
        <f t="shared" si="101"/>
        <v>0.61899999999999999</v>
      </c>
      <c r="T54" s="1279">
        <f t="shared" si="102"/>
        <v>0.78600000000000003</v>
      </c>
      <c r="U54" s="1279">
        <f t="shared" si="103"/>
        <v>0.83299999999999996</v>
      </c>
      <c r="V54" s="1279">
        <f t="shared" si="104"/>
        <v>1</v>
      </c>
      <c r="W54" s="1279">
        <f t="shared" si="105"/>
        <v>1.143</v>
      </c>
      <c r="X54" s="1279">
        <f t="shared" si="106"/>
        <v>1.405</v>
      </c>
      <c r="Y54" s="1279">
        <f t="shared" si="107"/>
        <v>1.643</v>
      </c>
      <c r="Z54" s="1279">
        <f t="shared" si="108"/>
        <v>2.1669999999999998</v>
      </c>
      <c r="AA54" s="1267"/>
      <c r="AB54" s="1275" t="s">
        <v>883</v>
      </c>
      <c r="AC54" s="1286">
        <f t="shared" si="92"/>
        <v>0</v>
      </c>
      <c r="AD54" s="1279">
        <f t="shared" si="109"/>
        <v>0.61899999999999999</v>
      </c>
      <c r="AE54" s="1279">
        <f t="shared" si="110"/>
        <v>0.78600000000000003</v>
      </c>
      <c r="AF54" s="1279">
        <f t="shared" si="111"/>
        <v>0.83299999999999996</v>
      </c>
      <c r="AG54" s="1279">
        <f t="shared" si="112"/>
        <v>1</v>
      </c>
      <c r="AH54" s="1279">
        <f t="shared" si="113"/>
        <v>1.143</v>
      </c>
      <c r="AI54" s="1279">
        <f t="shared" si="114"/>
        <v>1.405</v>
      </c>
      <c r="AJ54" s="1279">
        <f t="shared" si="115"/>
        <v>1.643</v>
      </c>
      <c r="AK54" s="1279">
        <f t="shared" si="116"/>
        <v>2.1669999999999998</v>
      </c>
      <c r="AL54" s="1267"/>
      <c r="AM54" s="1285" t="s">
        <v>884</v>
      </c>
      <c r="AN54" s="1286">
        <f>AN52+1</f>
        <v>1</v>
      </c>
      <c r="AO54" s="1286">
        <f t="shared" ref="AO54:AU54" si="120">AO52+1</f>
        <v>1</v>
      </c>
      <c r="AP54" s="1286">
        <f t="shared" si="120"/>
        <v>1</v>
      </c>
      <c r="AQ54" s="1286">
        <f t="shared" si="120"/>
        <v>1</v>
      </c>
      <c r="AR54" s="1286">
        <f t="shared" si="120"/>
        <v>1</v>
      </c>
      <c r="AS54" s="1286">
        <f t="shared" si="120"/>
        <v>1</v>
      </c>
      <c r="AT54" s="1286">
        <f t="shared" si="120"/>
        <v>1</v>
      </c>
      <c r="AU54" s="1286">
        <f t="shared" si="120"/>
        <v>1</v>
      </c>
    </row>
    <row r="55" spans="1:47">
      <c r="A55" s="1287">
        <v>60</v>
      </c>
      <c r="B55" s="1288">
        <f t="shared" si="94"/>
        <v>0.38800000000000001</v>
      </c>
      <c r="C55" s="1289">
        <v>0.38800000000000001</v>
      </c>
      <c r="D55" s="1288">
        <f t="shared" si="95"/>
        <v>0.55099999999999993</v>
      </c>
      <c r="E55" s="1289">
        <v>0.71399999999999997</v>
      </c>
      <c r="F55" s="1288">
        <f t="shared" si="96"/>
        <v>0.85699999999999998</v>
      </c>
      <c r="G55" s="1289">
        <v>1</v>
      </c>
      <c r="H55" s="1288">
        <f t="shared" si="97"/>
        <v>1.2025000000000001</v>
      </c>
      <c r="I55" s="1289">
        <v>1.405</v>
      </c>
      <c r="J55" s="1288">
        <f t="shared" si="98"/>
        <v>1.5594999999999999</v>
      </c>
      <c r="K55" s="1289">
        <v>1.714</v>
      </c>
      <c r="L55" s="1288">
        <f t="shared" si="99"/>
        <v>2.1070000000000002</v>
      </c>
      <c r="M55" s="1289">
        <v>2.5</v>
      </c>
      <c r="N55" s="1288">
        <f t="shared" si="100"/>
        <v>2.6665000000000001</v>
      </c>
      <c r="O55" s="1289">
        <v>2.8330000000000002</v>
      </c>
      <c r="P55" s="1267"/>
      <c r="Q55" s="1275" t="s">
        <v>885</v>
      </c>
      <c r="R55" s="1286">
        <f t="shared" si="91"/>
        <v>0</v>
      </c>
      <c r="S55" s="1279">
        <f t="shared" si="101"/>
        <v>0.61899999999999999</v>
      </c>
      <c r="T55" s="1279">
        <f t="shared" si="102"/>
        <v>0.78600000000000003</v>
      </c>
      <c r="U55" s="1279">
        <f t="shared" si="103"/>
        <v>0.83299999999999996</v>
      </c>
      <c r="V55" s="1279">
        <f t="shared" si="104"/>
        <v>1</v>
      </c>
      <c r="W55" s="1279">
        <f t="shared" si="105"/>
        <v>1.143</v>
      </c>
      <c r="X55" s="1279">
        <f t="shared" si="106"/>
        <v>1.405</v>
      </c>
      <c r="Y55" s="1279">
        <f t="shared" si="107"/>
        <v>1.643</v>
      </c>
      <c r="Z55" s="1279">
        <f t="shared" si="108"/>
        <v>2.1669999999999998</v>
      </c>
      <c r="AA55" s="1267"/>
      <c r="AB55" s="1275" t="s">
        <v>885</v>
      </c>
      <c r="AC55" s="1286">
        <f t="shared" si="92"/>
        <v>0</v>
      </c>
      <c r="AD55" s="1279">
        <f t="shared" si="109"/>
        <v>0.61899999999999999</v>
      </c>
      <c r="AE55" s="1279">
        <f t="shared" si="110"/>
        <v>0.78600000000000003</v>
      </c>
      <c r="AF55" s="1279">
        <f t="shared" si="111"/>
        <v>0.83299999999999996</v>
      </c>
      <c r="AG55" s="1279">
        <f t="shared" si="112"/>
        <v>1</v>
      </c>
      <c r="AH55" s="1279">
        <f t="shared" si="113"/>
        <v>1.143</v>
      </c>
      <c r="AI55" s="1279">
        <f t="shared" si="114"/>
        <v>1.405</v>
      </c>
      <c r="AJ55" s="1279">
        <f t="shared" si="115"/>
        <v>1.643</v>
      </c>
      <c r="AK55" s="1279">
        <f t="shared" si="116"/>
        <v>2.1669999999999998</v>
      </c>
      <c r="AL55" s="1267"/>
      <c r="AM55" s="1285" t="s">
        <v>886</v>
      </c>
      <c r="AN55" s="1290">
        <f>HLOOKUP(AN54,$B$48:$O$59,AN56)</f>
        <v>0.65449999999999997</v>
      </c>
      <c r="AO55" s="1290">
        <f t="shared" ref="AO55:AU55" si="121">HLOOKUP(AO54,$B$48:$O$59,AO56)</f>
        <v>0.84550000000000003</v>
      </c>
      <c r="AP55" s="1290">
        <f t="shared" si="121"/>
        <v>0.97599999999999998</v>
      </c>
      <c r="AQ55" s="1290">
        <f t="shared" si="121"/>
        <v>1.143</v>
      </c>
      <c r="AR55" s="1290">
        <f t="shared" si="121"/>
        <v>1.2974999999999999</v>
      </c>
      <c r="AS55" s="1290">
        <f t="shared" si="121"/>
        <v>1.5594999999999999</v>
      </c>
      <c r="AT55" s="1290">
        <f t="shared" si="121"/>
        <v>1.988</v>
      </c>
      <c r="AU55" s="1290">
        <f t="shared" si="121"/>
        <v>2.548</v>
      </c>
    </row>
    <row r="56" spans="1:47">
      <c r="A56" s="1282">
        <v>70</v>
      </c>
      <c r="B56" s="1283">
        <f t="shared" si="94"/>
        <v>0.59499999999999997</v>
      </c>
      <c r="C56" s="1284">
        <v>0.59499999999999997</v>
      </c>
      <c r="D56" s="1283">
        <f t="shared" si="95"/>
        <v>0.6905</v>
      </c>
      <c r="E56" s="1284">
        <v>0.78600000000000003</v>
      </c>
      <c r="F56" s="1283">
        <f t="shared" si="96"/>
        <v>0.9405</v>
      </c>
      <c r="G56" s="1284">
        <v>1.095</v>
      </c>
      <c r="H56" s="1283">
        <f t="shared" si="97"/>
        <v>1.369</v>
      </c>
      <c r="I56" s="1284">
        <v>1.643</v>
      </c>
      <c r="J56" s="1283">
        <f t="shared" si="98"/>
        <v>1.988</v>
      </c>
      <c r="K56" s="1284">
        <v>2.3330000000000002</v>
      </c>
      <c r="L56" s="1283">
        <f t="shared" si="99"/>
        <v>2.6189999999999998</v>
      </c>
      <c r="M56" s="1284">
        <v>2.9049999999999998</v>
      </c>
      <c r="N56" s="1283">
        <f t="shared" si="100"/>
        <v>3.1549999999999998</v>
      </c>
      <c r="O56" s="1284">
        <v>3.4049999999999998</v>
      </c>
      <c r="P56" s="1267"/>
      <c r="Q56" s="1275" t="s">
        <v>887</v>
      </c>
      <c r="R56" s="1286">
        <f t="shared" si="91"/>
        <v>0</v>
      </c>
      <c r="S56" s="1279">
        <f t="shared" si="101"/>
        <v>0.61899999999999999</v>
      </c>
      <c r="T56" s="1279">
        <f t="shared" si="102"/>
        <v>0.78600000000000003</v>
      </c>
      <c r="U56" s="1279">
        <f t="shared" si="103"/>
        <v>0.83299999999999996</v>
      </c>
      <c r="V56" s="1279">
        <f t="shared" si="104"/>
        <v>1</v>
      </c>
      <c r="W56" s="1279">
        <f t="shared" si="105"/>
        <v>1.143</v>
      </c>
      <c r="X56" s="1279">
        <f t="shared" si="106"/>
        <v>1.405</v>
      </c>
      <c r="Y56" s="1279">
        <f t="shared" si="107"/>
        <v>1.643</v>
      </c>
      <c r="Z56" s="1279">
        <f t="shared" si="108"/>
        <v>2.1669999999999998</v>
      </c>
      <c r="AA56" s="1267"/>
      <c r="AB56" s="1275" t="s">
        <v>887</v>
      </c>
      <c r="AC56" s="1286">
        <f t="shared" si="92"/>
        <v>0</v>
      </c>
      <c r="AD56" s="1279">
        <f t="shared" si="109"/>
        <v>0.61899999999999999</v>
      </c>
      <c r="AE56" s="1279">
        <f t="shared" si="110"/>
        <v>0.78600000000000003</v>
      </c>
      <c r="AF56" s="1279">
        <f t="shared" si="111"/>
        <v>0.83299999999999996</v>
      </c>
      <c r="AG56" s="1279">
        <f t="shared" si="112"/>
        <v>1</v>
      </c>
      <c r="AH56" s="1279">
        <f t="shared" si="113"/>
        <v>1.143</v>
      </c>
      <c r="AI56" s="1279">
        <f t="shared" si="114"/>
        <v>1.405</v>
      </c>
      <c r="AJ56" s="1279">
        <f t="shared" si="115"/>
        <v>1.643</v>
      </c>
      <c r="AK56" s="1279">
        <f t="shared" si="116"/>
        <v>2.1669999999999998</v>
      </c>
      <c r="AL56" s="1267"/>
      <c r="AM56" s="1267"/>
      <c r="AN56" s="1275">
        <v>3</v>
      </c>
      <c r="AO56" s="1275">
        <v>4</v>
      </c>
      <c r="AP56" s="1275">
        <v>5</v>
      </c>
      <c r="AQ56" s="1275">
        <v>6</v>
      </c>
      <c r="AR56" s="1275">
        <v>7</v>
      </c>
      <c r="AS56" s="1275">
        <v>8</v>
      </c>
      <c r="AT56" s="1275">
        <v>9</v>
      </c>
      <c r="AU56" s="1275">
        <v>10</v>
      </c>
    </row>
    <row r="57" spans="1:47">
      <c r="A57" s="1282">
        <v>80</v>
      </c>
      <c r="B57" s="1283">
        <f t="shared" si="94"/>
        <v>0.92900000000000005</v>
      </c>
      <c r="C57" s="1284">
        <v>0.92900000000000005</v>
      </c>
      <c r="D57" s="1283">
        <f t="shared" si="95"/>
        <v>1.012</v>
      </c>
      <c r="E57" s="1284">
        <v>1.095</v>
      </c>
      <c r="F57" s="1283">
        <f t="shared" si="96"/>
        <v>1.3094999999999999</v>
      </c>
      <c r="G57" s="1284">
        <v>1.524</v>
      </c>
      <c r="H57" s="1283">
        <f t="shared" si="97"/>
        <v>1.8454999999999999</v>
      </c>
      <c r="I57" s="1284">
        <v>2.1669999999999998</v>
      </c>
      <c r="J57" s="1283">
        <f t="shared" si="98"/>
        <v>2.548</v>
      </c>
      <c r="K57" s="1284">
        <v>2.9289999999999998</v>
      </c>
      <c r="L57" s="1283">
        <f t="shared" si="99"/>
        <v>3.2264999999999997</v>
      </c>
      <c r="M57" s="1284">
        <v>3.524</v>
      </c>
      <c r="N57" s="1283">
        <f t="shared" si="100"/>
        <v>3.8214999999999999</v>
      </c>
      <c r="O57" s="1284">
        <v>4.1189999999999998</v>
      </c>
      <c r="P57" s="1267"/>
      <c r="Q57" s="1275" t="s">
        <v>888</v>
      </c>
      <c r="R57" s="1286">
        <f t="shared" si="91"/>
        <v>0</v>
      </c>
      <c r="S57" s="1279">
        <f t="shared" si="101"/>
        <v>0.61899999999999999</v>
      </c>
      <c r="T57" s="1279">
        <f t="shared" si="102"/>
        <v>0.78600000000000003</v>
      </c>
      <c r="U57" s="1279">
        <f t="shared" si="103"/>
        <v>0.83299999999999996</v>
      </c>
      <c r="V57" s="1279">
        <f t="shared" si="104"/>
        <v>1</v>
      </c>
      <c r="W57" s="1279">
        <f t="shared" si="105"/>
        <v>1.143</v>
      </c>
      <c r="X57" s="1279">
        <f t="shared" si="106"/>
        <v>1.405</v>
      </c>
      <c r="Y57" s="1279">
        <f t="shared" si="107"/>
        <v>1.643</v>
      </c>
      <c r="Z57" s="1279">
        <f t="shared" si="108"/>
        <v>2.1669999999999998</v>
      </c>
      <c r="AA57" s="1267"/>
      <c r="AB57" s="1275" t="s">
        <v>888</v>
      </c>
      <c r="AC57" s="1286">
        <f t="shared" si="92"/>
        <v>0</v>
      </c>
      <c r="AD57" s="1279">
        <f t="shared" si="109"/>
        <v>0.61899999999999999</v>
      </c>
      <c r="AE57" s="1279">
        <f t="shared" si="110"/>
        <v>0.78600000000000003</v>
      </c>
      <c r="AF57" s="1279">
        <f t="shared" si="111"/>
        <v>0.83299999999999996</v>
      </c>
      <c r="AG57" s="1279">
        <f t="shared" si="112"/>
        <v>1</v>
      </c>
      <c r="AH57" s="1279">
        <f t="shared" si="113"/>
        <v>1.143</v>
      </c>
      <c r="AI57" s="1279">
        <f t="shared" si="114"/>
        <v>1.405</v>
      </c>
      <c r="AJ57" s="1279">
        <f t="shared" si="115"/>
        <v>1.643</v>
      </c>
      <c r="AK57" s="1279">
        <f t="shared" si="116"/>
        <v>2.1669999999999998</v>
      </c>
      <c r="AL57" s="1267"/>
      <c r="AM57" s="1267"/>
      <c r="AN57" s="1267"/>
      <c r="AO57" s="1267"/>
      <c r="AP57" s="1267"/>
      <c r="AQ57" s="1267"/>
      <c r="AR57" s="1267"/>
      <c r="AS57" s="1267"/>
      <c r="AT57" s="1267"/>
      <c r="AU57" s="1267"/>
    </row>
    <row r="58" spans="1:47">
      <c r="A58" s="1275">
        <v>90</v>
      </c>
      <c r="B58" s="1276">
        <f t="shared" si="94"/>
        <v>1.357</v>
      </c>
      <c r="C58" s="1277">
        <v>1.357</v>
      </c>
      <c r="D58" s="1276">
        <f t="shared" si="95"/>
        <v>1.476</v>
      </c>
      <c r="E58" s="1277">
        <v>1.595</v>
      </c>
      <c r="F58" s="1276">
        <f t="shared" si="96"/>
        <v>1.7854999999999999</v>
      </c>
      <c r="G58" s="1277">
        <v>1.976</v>
      </c>
      <c r="H58" s="1276">
        <f t="shared" si="97"/>
        <v>2.3330000000000002</v>
      </c>
      <c r="I58" s="1277">
        <v>2.69</v>
      </c>
      <c r="J58" s="1276">
        <f t="shared" si="98"/>
        <v>3.0830000000000002</v>
      </c>
      <c r="K58" s="1277">
        <v>3.476</v>
      </c>
      <c r="L58" s="1276">
        <f t="shared" si="99"/>
        <v>3.8094999999999999</v>
      </c>
      <c r="M58" s="1277">
        <v>4.1429999999999998</v>
      </c>
      <c r="N58" s="1276">
        <f t="shared" si="100"/>
        <v>4.5</v>
      </c>
      <c r="O58" s="1277">
        <v>4.8570000000000002</v>
      </c>
      <c r="P58" s="1267"/>
      <c r="Q58" s="1275" t="s">
        <v>889</v>
      </c>
      <c r="R58" s="1286">
        <f t="shared" si="91"/>
        <v>0</v>
      </c>
      <c r="S58" s="1279">
        <f t="shared" si="101"/>
        <v>0.61899999999999999</v>
      </c>
      <c r="T58" s="1279">
        <f t="shared" si="102"/>
        <v>0.78600000000000003</v>
      </c>
      <c r="U58" s="1279">
        <f t="shared" si="103"/>
        <v>0.83299999999999996</v>
      </c>
      <c r="V58" s="1279">
        <f t="shared" si="104"/>
        <v>1</v>
      </c>
      <c r="W58" s="1279">
        <f t="shared" si="105"/>
        <v>1.143</v>
      </c>
      <c r="X58" s="1279">
        <f t="shared" si="106"/>
        <v>1.405</v>
      </c>
      <c r="Y58" s="1279">
        <f t="shared" si="107"/>
        <v>1.643</v>
      </c>
      <c r="Z58" s="1279">
        <f t="shared" si="108"/>
        <v>2.1669999999999998</v>
      </c>
      <c r="AA58" s="1267"/>
      <c r="AB58" s="1275" t="s">
        <v>889</v>
      </c>
      <c r="AC58" s="1286">
        <f t="shared" si="92"/>
        <v>0</v>
      </c>
      <c r="AD58" s="1279">
        <f t="shared" si="109"/>
        <v>0.61899999999999999</v>
      </c>
      <c r="AE58" s="1279">
        <f t="shared" si="110"/>
        <v>0.78600000000000003</v>
      </c>
      <c r="AF58" s="1279">
        <f t="shared" si="111"/>
        <v>0.83299999999999996</v>
      </c>
      <c r="AG58" s="1279">
        <f t="shared" si="112"/>
        <v>1</v>
      </c>
      <c r="AH58" s="1279">
        <f t="shared" si="113"/>
        <v>1.143</v>
      </c>
      <c r="AI58" s="1279">
        <f t="shared" si="114"/>
        <v>1.405</v>
      </c>
      <c r="AJ58" s="1279">
        <f t="shared" si="115"/>
        <v>1.643</v>
      </c>
      <c r="AK58" s="1279">
        <f t="shared" si="116"/>
        <v>2.1669999999999998</v>
      </c>
      <c r="AL58" s="1267"/>
      <c r="AM58" s="1267"/>
      <c r="AN58" s="1267"/>
      <c r="AO58" s="1267"/>
      <c r="AP58" s="1267"/>
      <c r="AQ58" s="1267"/>
      <c r="AR58" s="1267"/>
      <c r="AS58" s="1267"/>
      <c r="AT58" s="1267"/>
      <c r="AU58" s="1267"/>
    </row>
    <row r="59" spans="1:47">
      <c r="A59" s="1275">
        <v>100</v>
      </c>
      <c r="B59" s="1276">
        <f t="shared" si="94"/>
        <v>1.833</v>
      </c>
      <c r="C59" s="1277">
        <v>1.833</v>
      </c>
      <c r="D59" s="1276">
        <f t="shared" si="95"/>
        <v>2</v>
      </c>
      <c r="E59" s="1277">
        <v>2.1669999999999998</v>
      </c>
      <c r="F59" s="1276">
        <f t="shared" si="96"/>
        <v>2.3929999999999998</v>
      </c>
      <c r="G59" s="1277">
        <v>2.6190000000000002</v>
      </c>
      <c r="H59" s="1276">
        <f t="shared" si="97"/>
        <v>2.8929999999999998</v>
      </c>
      <c r="I59" s="1277">
        <v>3.1669999999999998</v>
      </c>
      <c r="J59" s="1276">
        <f t="shared" si="98"/>
        <v>3.548</v>
      </c>
      <c r="K59" s="1277">
        <v>3.9289999999999998</v>
      </c>
      <c r="L59" s="1276">
        <f t="shared" si="99"/>
        <v>4.3215000000000003</v>
      </c>
      <c r="M59" s="1277">
        <v>4.7140000000000004</v>
      </c>
      <c r="N59" s="1276">
        <f t="shared" si="100"/>
        <v>5.0594999999999999</v>
      </c>
      <c r="O59" s="1277">
        <v>5.4050000000000002</v>
      </c>
      <c r="P59" s="1267"/>
      <c r="Q59" s="1267"/>
      <c r="R59" s="1267"/>
      <c r="S59" s="1267"/>
      <c r="T59" s="1267"/>
      <c r="U59" s="1267"/>
      <c r="V59" s="1267"/>
      <c r="W59" s="1267"/>
      <c r="X59" s="1267"/>
      <c r="Y59" s="1267"/>
      <c r="Z59" s="1267"/>
      <c r="AA59" s="1267"/>
      <c r="AB59" s="1267"/>
      <c r="AC59" s="1267"/>
      <c r="AD59" s="1267"/>
      <c r="AE59" s="1267"/>
      <c r="AF59" s="1267"/>
      <c r="AG59" s="1267"/>
      <c r="AH59" s="1267"/>
      <c r="AI59" s="1267"/>
      <c r="AJ59" s="1267"/>
      <c r="AK59" s="1267"/>
      <c r="AL59" s="1267"/>
      <c r="AM59" s="1267"/>
      <c r="AN59" s="1267"/>
      <c r="AO59" s="1267"/>
      <c r="AP59" s="1267"/>
      <c r="AQ59" s="1267"/>
      <c r="AR59" s="1267"/>
      <c r="AS59" s="1267"/>
      <c r="AT59" s="1267"/>
      <c r="AU59" s="1267"/>
    </row>
  </sheetData>
  <mergeCells count="4">
    <mergeCell ref="C5:O5"/>
    <mergeCell ref="C19:O19"/>
    <mergeCell ref="C33:O33"/>
    <mergeCell ref="C47:O47"/>
  </mergeCells>
  <phoneticPr fontId="11" type="noConversion"/>
  <printOptions horizontalCentered="1"/>
  <pageMargins left="0.78740157480314965" right="0.78740157480314965" top="0.59055118110236227" bottom="0.59055118110236227" header="0.19685039370078741" footer="0.19685039370078741"/>
  <pageSetup paperSize="9" scale="66" fitToHeight="0" orientation="portrait" r:id="rId1"/>
  <headerFooter>
    <oddFooter>&amp;L&amp;8&amp;F/&amp;A&amp;R&amp;8&amp;P/&amp;N</oddFooter>
  </headerFooter>
  <ignoredErrors>
    <ignoredError sqref="R7:R9 R10:R16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59"/>
  <sheetViews>
    <sheetView topLeftCell="J4" zoomScale="90" zoomScaleNormal="90" zoomScaleSheetLayoutView="90" workbookViewId="0">
      <selection activeCell="R7" sqref="R7:Z7"/>
    </sheetView>
  </sheetViews>
  <sheetFormatPr defaultRowHeight="13.5"/>
  <cols>
    <col min="1" max="1" width="5.88671875" style="1268" customWidth="1"/>
    <col min="2" max="15" width="4.77734375" style="1268" customWidth="1"/>
    <col min="16" max="16" width="1.44140625" style="1268" customWidth="1"/>
    <col min="17" max="18" width="5.88671875" style="1268" customWidth="1"/>
    <col min="19" max="26" width="5" style="1268" customWidth="1"/>
    <col min="27" max="27" width="1.44140625" style="1268" customWidth="1"/>
    <col min="28" max="29" width="5.88671875" style="1268" customWidth="1"/>
    <col min="30" max="37" width="5" style="1268" customWidth="1"/>
    <col min="38" max="38" width="1.44140625" style="1268" customWidth="1"/>
    <col min="39" max="39" width="7.6640625" style="1268" customWidth="1"/>
    <col min="40" max="47" width="5" style="1268" customWidth="1"/>
    <col min="48" max="16384" width="8.88671875" style="1268"/>
  </cols>
  <sheetData>
    <row r="1" spans="1:47">
      <c r="A1" s="1267"/>
      <c r="B1" s="1267"/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  <c r="AI1" s="1267"/>
      <c r="AJ1" s="1267"/>
      <c r="AK1" s="1267"/>
      <c r="AL1" s="1267"/>
      <c r="AM1" s="1267"/>
      <c r="AN1" s="1267"/>
      <c r="AO1" s="1267"/>
      <c r="AP1" s="1267"/>
      <c r="AQ1" s="1267"/>
      <c r="AR1" s="1267"/>
      <c r="AS1" s="1267"/>
      <c r="AT1" s="1267"/>
      <c r="AU1" s="1267"/>
    </row>
    <row r="2" spans="1:47">
      <c r="A2" s="1269" t="s">
        <v>904</v>
      </c>
      <c r="B2" s="1267"/>
      <c r="C2" s="1267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7"/>
      <c r="P2" s="1267"/>
      <c r="Q2" s="1269" t="s">
        <v>905</v>
      </c>
      <c r="R2" s="1267"/>
      <c r="S2" s="1267"/>
      <c r="T2" s="1267"/>
      <c r="U2" s="1267"/>
      <c r="V2" s="1267"/>
      <c r="W2" s="1267"/>
      <c r="X2" s="1267"/>
      <c r="Y2" s="1267"/>
      <c r="Z2" s="1267"/>
      <c r="AA2" s="1267"/>
      <c r="AB2" s="1267"/>
      <c r="AC2" s="1267"/>
      <c r="AD2" s="1267"/>
      <c r="AE2" s="1267"/>
      <c r="AF2" s="1267"/>
      <c r="AG2" s="1267"/>
      <c r="AH2" s="1267"/>
      <c r="AI2" s="1267"/>
      <c r="AJ2" s="1267"/>
      <c r="AK2" s="1267"/>
      <c r="AL2" s="1267"/>
      <c r="AM2" s="1267"/>
      <c r="AN2" s="1267"/>
      <c r="AO2" s="1267"/>
      <c r="AP2" s="1267"/>
      <c r="AQ2" s="1267"/>
      <c r="AR2" s="1267"/>
      <c r="AS2" s="1267"/>
      <c r="AT2" s="1267"/>
      <c r="AU2" s="1267"/>
    </row>
    <row r="3" spans="1:47">
      <c r="A3" s="1267"/>
      <c r="B3" s="1267"/>
      <c r="C3" s="1267"/>
      <c r="D3" s="1267"/>
      <c r="E3" s="1267"/>
      <c r="F3" s="1267"/>
      <c r="G3" s="1267"/>
      <c r="H3" s="1267"/>
      <c r="I3" s="1267"/>
      <c r="J3" s="1267"/>
      <c r="K3" s="1267"/>
      <c r="L3" s="1267"/>
      <c r="M3" s="1267"/>
      <c r="N3" s="1267"/>
      <c r="O3" s="1267"/>
      <c r="P3" s="1267"/>
      <c r="Q3" s="1267"/>
      <c r="R3" s="1267"/>
      <c r="S3" s="1267"/>
      <c r="T3" s="1267"/>
      <c r="U3" s="1267"/>
      <c r="V3" s="1267"/>
      <c r="W3" s="1267"/>
      <c r="X3" s="1267"/>
      <c r="Y3" s="1267"/>
      <c r="Z3" s="1267"/>
      <c r="AA3" s="1267"/>
      <c r="AB3" s="1267"/>
      <c r="AC3" s="1267"/>
      <c r="AD3" s="1267"/>
      <c r="AE3" s="1267"/>
      <c r="AF3" s="1267"/>
      <c r="AG3" s="1267"/>
      <c r="AH3" s="1267"/>
      <c r="AI3" s="1267"/>
      <c r="AJ3" s="1267"/>
      <c r="AK3" s="1267"/>
      <c r="AL3" s="1267"/>
      <c r="AM3" s="1267"/>
      <c r="AN3" s="1267"/>
      <c r="AO3" s="1267"/>
      <c r="AP3" s="1267"/>
      <c r="AQ3" s="1267"/>
      <c r="AR3" s="1267"/>
      <c r="AS3" s="1267"/>
      <c r="AT3" s="1267"/>
      <c r="AU3" s="1267"/>
    </row>
    <row r="4" spans="1:47">
      <c r="A4" s="1270" t="s">
        <v>868</v>
      </c>
      <c r="B4" s="1267"/>
      <c r="C4" s="1267"/>
      <c r="D4" s="1267"/>
      <c r="E4" s="1267"/>
      <c r="F4" s="1267"/>
      <c r="G4" s="1267"/>
      <c r="H4" s="1267"/>
      <c r="I4" s="1267"/>
      <c r="J4" s="1267"/>
      <c r="K4" s="1267"/>
      <c r="L4" s="1267"/>
      <c r="M4" s="1267"/>
      <c r="N4" s="1267"/>
      <c r="O4" s="1267"/>
      <c r="P4" s="1267"/>
      <c r="Q4" s="1270" t="s">
        <v>906</v>
      </c>
      <c r="R4" s="1267"/>
      <c r="S4" s="1267"/>
      <c r="T4" s="1267"/>
      <c r="U4" s="1267"/>
      <c r="V4" s="1267"/>
      <c r="W4" s="1267"/>
      <c r="X4" s="1267"/>
      <c r="Y4" s="1267"/>
      <c r="Z4" s="1267"/>
      <c r="AA4" s="1267"/>
      <c r="AB4" s="1270" t="s">
        <v>907</v>
      </c>
      <c r="AC4" s="1267"/>
      <c r="AD4" s="1267"/>
      <c r="AE4" s="1267"/>
      <c r="AF4" s="1267"/>
      <c r="AG4" s="1267"/>
      <c r="AH4" s="1267"/>
      <c r="AI4" s="1267"/>
      <c r="AJ4" s="1267"/>
      <c r="AK4" s="1267"/>
      <c r="AL4" s="1267"/>
      <c r="AM4" s="1267"/>
      <c r="AN4" s="1267"/>
      <c r="AO4" s="1267"/>
      <c r="AP4" s="1267"/>
      <c r="AQ4" s="1267"/>
      <c r="AR4" s="1267"/>
      <c r="AS4" s="1267"/>
      <c r="AT4" s="1267"/>
      <c r="AU4" s="1267"/>
    </row>
    <row r="5" spans="1:47">
      <c r="A5" s="1271"/>
      <c r="B5" s="1271"/>
      <c r="C5" s="1522" t="s">
        <v>869</v>
      </c>
      <c r="D5" s="1522"/>
      <c r="E5" s="1522"/>
      <c r="F5" s="1522"/>
      <c r="G5" s="1522"/>
      <c r="H5" s="1522"/>
      <c r="I5" s="1522"/>
      <c r="J5" s="1522"/>
      <c r="K5" s="1522"/>
      <c r="L5" s="1522"/>
      <c r="M5" s="1522"/>
      <c r="N5" s="1522"/>
      <c r="O5" s="1522"/>
      <c r="P5" s="1267"/>
      <c r="Q5" s="1270" t="s">
        <v>908</v>
      </c>
      <c r="R5" s="1267"/>
      <c r="S5" s="1267"/>
      <c r="T5" s="1267"/>
      <c r="U5" s="1267"/>
      <c r="V5" s="1267"/>
      <c r="W5" s="1267"/>
      <c r="X5" s="1267"/>
      <c r="Y5" s="1267"/>
      <c r="Z5" s="1267"/>
      <c r="AA5" s="1267"/>
      <c r="AB5" s="1270" t="s">
        <v>909</v>
      </c>
      <c r="AC5" s="1267"/>
      <c r="AD5" s="1267"/>
      <c r="AE5" s="1267"/>
      <c r="AF5" s="1267"/>
      <c r="AG5" s="1267"/>
      <c r="AH5" s="1267"/>
      <c r="AI5" s="1267"/>
      <c r="AJ5" s="1267"/>
      <c r="AK5" s="1267"/>
      <c r="AL5" s="1267"/>
      <c r="AM5" s="1272" t="s">
        <v>872</v>
      </c>
      <c r="AN5" s="1267"/>
      <c r="AO5" s="1267"/>
      <c r="AP5" s="1267"/>
      <c r="AQ5" s="1267"/>
      <c r="AR5" s="1267"/>
      <c r="AS5" s="1267"/>
      <c r="AT5" s="1267"/>
      <c r="AU5" s="1267"/>
    </row>
    <row r="6" spans="1:47">
      <c r="A6" s="1273" t="s">
        <v>873</v>
      </c>
      <c r="B6" s="1274">
        <v>-100</v>
      </c>
      <c r="C6" s="1273">
        <v>-6</v>
      </c>
      <c r="D6" s="1274">
        <f>(C6+E6)/2</f>
        <v>-5</v>
      </c>
      <c r="E6" s="1273">
        <v>-4</v>
      </c>
      <c r="F6" s="1274">
        <f>(E6+G6)/2</f>
        <v>-3</v>
      </c>
      <c r="G6" s="1273">
        <v>-2</v>
      </c>
      <c r="H6" s="1274">
        <f>(G6+I6)/2</f>
        <v>-1</v>
      </c>
      <c r="I6" s="1273">
        <v>0</v>
      </c>
      <c r="J6" s="1274">
        <f>(I6+K6)/2</f>
        <v>1</v>
      </c>
      <c r="K6" s="1273">
        <v>2</v>
      </c>
      <c r="L6" s="1274">
        <f>(K6+M6)/2</f>
        <v>3</v>
      </c>
      <c r="M6" s="1273">
        <v>4</v>
      </c>
      <c r="N6" s="1274">
        <f>(M6+O6)/2</f>
        <v>5</v>
      </c>
      <c r="O6" s="1273">
        <v>6</v>
      </c>
      <c r="P6" s="1267"/>
      <c r="Q6" s="1273" t="s">
        <v>874</v>
      </c>
      <c r="R6" s="1273" t="s">
        <v>869</v>
      </c>
      <c r="S6" s="1273">
        <v>10</v>
      </c>
      <c r="T6" s="1273">
        <v>20</v>
      </c>
      <c r="U6" s="1273">
        <v>30</v>
      </c>
      <c r="V6" s="1273">
        <v>40</v>
      </c>
      <c r="W6" s="1273">
        <v>50</v>
      </c>
      <c r="X6" s="1273">
        <v>60</v>
      </c>
      <c r="Y6" s="1273">
        <v>70</v>
      </c>
      <c r="Z6" s="1273">
        <v>80</v>
      </c>
      <c r="AA6" s="1267"/>
      <c r="AB6" s="1273" t="s">
        <v>874</v>
      </c>
      <c r="AC6" s="1273" t="s">
        <v>869</v>
      </c>
      <c r="AD6" s="1273">
        <v>10</v>
      </c>
      <c r="AE6" s="1273">
        <v>20</v>
      </c>
      <c r="AF6" s="1273">
        <v>30</v>
      </c>
      <c r="AG6" s="1273">
        <v>40</v>
      </c>
      <c r="AH6" s="1273">
        <v>50</v>
      </c>
      <c r="AI6" s="1273">
        <v>60</v>
      </c>
      <c r="AJ6" s="1273">
        <v>70</v>
      </c>
      <c r="AK6" s="1273">
        <v>80</v>
      </c>
      <c r="AL6" s="1267"/>
      <c r="AM6" s="1273" t="s">
        <v>875</v>
      </c>
      <c r="AN6" s="1273">
        <v>10</v>
      </c>
      <c r="AO6" s="1273">
        <v>20</v>
      </c>
      <c r="AP6" s="1273">
        <v>30</v>
      </c>
      <c r="AQ6" s="1273">
        <v>40</v>
      </c>
      <c r="AR6" s="1273">
        <v>50</v>
      </c>
      <c r="AS6" s="1273">
        <v>60</v>
      </c>
      <c r="AT6" s="1273">
        <v>70</v>
      </c>
      <c r="AU6" s="1273">
        <v>80</v>
      </c>
    </row>
    <row r="7" spans="1:47">
      <c r="A7" s="1275">
        <v>0</v>
      </c>
      <c r="B7" s="1276">
        <f>C7</f>
        <v>0.39400000000000002</v>
      </c>
      <c r="C7" s="1277">
        <v>0.39400000000000002</v>
      </c>
      <c r="D7" s="1276">
        <f>(C7+E7)/2</f>
        <v>0.39400000000000002</v>
      </c>
      <c r="E7" s="1277">
        <v>0.39400000000000002</v>
      </c>
      <c r="F7" s="1276">
        <f>(E7+G7)/2</f>
        <v>0.39400000000000002</v>
      </c>
      <c r="G7" s="1277">
        <v>0.39400000000000002</v>
      </c>
      <c r="H7" s="1276">
        <f>(G7+I7)/2</f>
        <v>0.39400000000000002</v>
      </c>
      <c r="I7" s="1277">
        <v>0.39400000000000002</v>
      </c>
      <c r="J7" s="1276">
        <f>(I7+K7)/2</f>
        <v>0.39400000000000002</v>
      </c>
      <c r="K7" s="1277">
        <v>0.39400000000000002</v>
      </c>
      <c r="L7" s="1276">
        <f>(K7+M7)/2</f>
        <v>0.39400000000000002</v>
      </c>
      <c r="M7" s="1277">
        <v>0.39400000000000002</v>
      </c>
      <c r="N7" s="1276">
        <f>(M7+O7)/2</f>
        <v>0.39400000000000002</v>
      </c>
      <c r="O7" s="1277">
        <v>0.39400000000000002</v>
      </c>
      <c r="P7" s="1267"/>
      <c r="Q7" s="1275" t="s">
        <v>876</v>
      </c>
      <c r="R7" s="1382">
        <f>'환기량 산정'!B8</f>
        <v>0</v>
      </c>
      <c r="S7" s="1279">
        <f>HLOOKUP(INT($R7),$B$6:$O$17,3)+(HLOOKUP(INT($R7)+1,$B$6:$O$17,3)-HLOOKUP(INT($R7),$B$6:$O$17,3))*($R7-INT($R7))</f>
        <v>0.80300000000000005</v>
      </c>
      <c r="T7" s="1279">
        <f t="shared" ref="T7:T16" si="0">HLOOKUP(INT($R7),$B$6:$O$17,4)+(HLOOKUP(INT($R7)+1,$B$6:$O$17,4)-HLOOKUP(INT($R7),$B$6:$O$17,4))*($R7-INT($R7))</f>
        <v>1.131</v>
      </c>
      <c r="U7" s="1279">
        <f>HLOOKUP(INT($R7),$B$6:$O$17,5)+(HLOOKUP(INT($R7)+1,$B$6:$O$17,5)-HLOOKUP(INT($R7),$B$6:$O$17,5))*($R7-INT($R7))</f>
        <v>1</v>
      </c>
      <c r="V7" s="1279">
        <f>HLOOKUP(INT($R7),$B$6:$O$17,6)+(HLOOKUP(INT($R7)+1,$B$6:$O$17,6)-HLOOKUP(INT($R7),$B$6:$O$17,6))*($R7-INT($R7))</f>
        <v>1.1970000000000001</v>
      </c>
      <c r="W7" s="1279">
        <f>HLOOKUP(INT($R7),$B$6:$O$17,7)+(HLOOKUP(INT($R7)+1,$B$6:$O$17,7)-HLOOKUP(INT($R7),$B$6:$O$17,7))*($R7-INT($R7))</f>
        <v>1.3280000000000001</v>
      </c>
      <c r="X7" s="1279">
        <f>HLOOKUP(INT($R7),$B$6:$O$17,8)+(HLOOKUP(INT($R7)+1,$B$6:$O$17,8)-HLOOKUP(INT($R7),$B$6:$O$17,8))*($R7-INT($R7))</f>
        <v>1.3280000000000001</v>
      </c>
      <c r="Y7" s="1279">
        <f>HLOOKUP(INT($R7),$B$6:$O$17,9)+(HLOOKUP(INT($R7)+1,$B$6:$O$17,9)-HLOOKUP(INT($R7),$B$6:$O$17,9))*($R7-INT($R7))</f>
        <v>1.869</v>
      </c>
      <c r="Z7" s="1279">
        <f>HLOOKUP(INT($R7),$B$6:$O$17,10)+(HLOOKUP(INT($R7)+1,$B$6:$O$17,10)-HLOOKUP(INT($R7),$B$6:$O$17,10))*($R7-INT($R7))</f>
        <v>2.2629999999999999</v>
      </c>
      <c r="AA7" s="1267"/>
      <c r="AB7" s="1275" t="s">
        <v>876</v>
      </c>
      <c r="AC7" s="1382">
        <f>'환기량 산정'!G8</f>
        <v>1.784</v>
      </c>
      <c r="AD7" s="1279">
        <f>HLOOKUP(INT($AC7),$B$6:$O$17,3)+(HLOOKUP(INT($AC7)+1,$B$6:$O$17,3)-HLOOKUP(INT($AC7),$B$6:$O$17,3))*($AC7-INT($AC7))</f>
        <v>0.868116</v>
      </c>
      <c r="AE7" s="1279">
        <f>HLOOKUP(INT($AC7),$B$6:$O$17,4)+(HLOOKUP(INT($AC7)+1,$B$6:$O$17,4)-HLOOKUP(INT($AC7),$B$6:$O$17,4))*($AC7-INT($AC7))</f>
        <v>1.6001920000000001</v>
      </c>
      <c r="AF7" s="1279">
        <f>HLOOKUP(INT($AC7),$B$6:$O$17,5)+(HLOOKUP(INT($AC7)+1,$B$6:$O$17,5)-HLOOKUP(INT($AC7),$B$6:$O$17,5))*($AC7-INT($AC7))</f>
        <v>1.2345959999999998</v>
      </c>
      <c r="AG7" s="1279">
        <f>HLOOKUP(INT($AC7),$B$6:$O$17,6)+(HLOOKUP(INT($AC7)+1,$B$6:$O$17,6)-HLOOKUP(INT($AC7),$B$6:$O$17,6))*($AC7-INT($AC7))</f>
        <v>1.5814519999999999</v>
      </c>
      <c r="AH7" s="1279">
        <f>HLOOKUP(INT($AC7),$B$6:$O$17,7)+(HLOOKUP(INT($AC7)+1,$B$6:$O$17,7)-HLOOKUP(INT($AC7),$B$6:$O$17,7))*($AC7-INT($AC7))</f>
        <v>1.6928280000000002</v>
      </c>
      <c r="AI7" s="1279">
        <f>HLOOKUP(INT($AC7),$B$6:$O$17,8)+(HLOOKUP(INT($AC7)+1,$B$6:$O$17,8)-HLOOKUP(INT($AC7),$B$6:$O$17,8))*($AC7-INT($AC7))</f>
        <v>1.790948</v>
      </c>
      <c r="AJ7" s="1279">
        <f>HLOOKUP(INT($AC7),$B$6:$O$17,9)+(HLOOKUP(INT($AC7)+1,$B$6:$O$17,9)-HLOOKUP(INT($AC7),$B$6:$O$17,9))*($AC7-INT($AC7))</f>
        <v>2.5718960000000002</v>
      </c>
      <c r="AK7" s="1279">
        <f>HLOOKUP(INT($AC7),$B$6:$O$17,10)+(HLOOKUP(INT($AC7)+1,$B$6:$O$17,10)-HLOOKUP(INT($AC7),$B$6:$O$17,10))*($AC7-INT($AC7))</f>
        <v>3.4868239999999999</v>
      </c>
      <c r="AL7" s="1267"/>
      <c r="AM7" s="1280" t="s">
        <v>869</v>
      </c>
      <c r="AN7" s="1278">
        <v>0</v>
      </c>
      <c r="AO7" s="1281">
        <f>AN7</f>
        <v>0</v>
      </c>
      <c r="AP7" s="1281">
        <f t="shared" ref="AP7:AU7" si="1">AO7</f>
        <v>0</v>
      </c>
      <c r="AQ7" s="1281">
        <f t="shared" si="1"/>
        <v>0</v>
      </c>
      <c r="AR7" s="1281">
        <f t="shared" si="1"/>
        <v>0</v>
      </c>
      <c r="AS7" s="1281">
        <f t="shared" si="1"/>
        <v>0</v>
      </c>
      <c r="AT7" s="1281">
        <f t="shared" si="1"/>
        <v>0</v>
      </c>
      <c r="AU7" s="1281">
        <f t="shared" si="1"/>
        <v>0</v>
      </c>
    </row>
    <row r="8" spans="1:47">
      <c r="A8" s="1282">
        <v>10</v>
      </c>
      <c r="B8" s="1283">
        <f t="shared" ref="B8:B17" si="2">C8</f>
        <v>0.56200000000000006</v>
      </c>
      <c r="C8" s="1284">
        <v>0.56200000000000006</v>
      </c>
      <c r="D8" s="1283">
        <f t="shared" ref="D8:D17" si="3">(C8+E8)/2</f>
        <v>0.60200000000000009</v>
      </c>
      <c r="E8" s="1284">
        <v>0.64200000000000002</v>
      </c>
      <c r="F8" s="1283">
        <f t="shared" ref="F8:F17" si="4">(E8+G8)/2</f>
        <v>0.67500000000000004</v>
      </c>
      <c r="G8" s="1284">
        <v>0.70799999999999996</v>
      </c>
      <c r="H8" s="1283">
        <f t="shared" ref="H8:H17" si="5">(G8+I8)/2</f>
        <v>0.75550000000000006</v>
      </c>
      <c r="I8" s="1284">
        <v>0.80300000000000005</v>
      </c>
      <c r="J8" s="1283">
        <f t="shared" ref="J8:J17" si="6">(I8+K8)/2</f>
        <v>0.83950000000000002</v>
      </c>
      <c r="K8" s="1284">
        <v>0.876</v>
      </c>
      <c r="L8" s="1283">
        <f t="shared" ref="L8:L17" si="7">(K8+M8)/2</f>
        <v>0.9524999999999999</v>
      </c>
      <c r="M8" s="1284">
        <v>1.0289999999999999</v>
      </c>
      <c r="N8" s="1283">
        <f t="shared" ref="N8:N17" si="8">(M8+O8)/2</f>
        <v>1.1204999999999998</v>
      </c>
      <c r="O8" s="1284">
        <v>1.212</v>
      </c>
      <c r="P8" s="1267"/>
      <c r="Q8" s="1275" t="s">
        <v>3</v>
      </c>
      <c r="R8" s="1382">
        <f>'환기량 산정'!C8</f>
        <v>0</v>
      </c>
      <c r="S8" s="1279">
        <f t="shared" ref="S8:S16" si="9">HLOOKUP(INT($R8),$B$6:$O$17,3)+(HLOOKUP(INT($R8)+1,$B$6:$O$17,3)-HLOOKUP(INT($R8),$B$6:$O$17,3))*($R8-INT($R8))</f>
        <v>0.80300000000000005</v>
      </c>
      <c r="T8" s="1279">
        <f t="shared" si="0"/>
        <v>1.131</v>
      </c>
      <c r="U8" s="1279">
        <f t="shared" ref="U8:U16" si="10">HLOOKUP(INT($R8),$B$6:$O$17,5)+(HLOOKUP(INT($R8)+1,$B$6:$O$17,5)-HLOOKUP(INT($R8),$B$6:$O$17,5))*($R8-INT($R8))</f>
        <v>1</v>
      </c>
      <c r="V8" s="1279">
        <f t="shared" ref="V8:V16" si="11">HLOOKUP(INT($R8),$B$6:$O$17,6)+(HLOOKUP(INT($R8)+1,$B$6:$O$17,6)-HLOOKUP(INT($R8),$B$6:$O$17,6))*($R8-INT($R8))</f>
        <v>1.1970000000000001</v>
      </c>
      <c r="W8" s="1279">
        <f t="shared" ref="W8:W16" si="12">HLOOKUP(INT($R8),$B$6:$O$17,7)+(HLOOKUP(INT($R8)+1,$B$6:$O$17,7)-HLOOKUP(INT($R8),$B$6:$O$17,7))*($R8-INT($R8))</f>
        <v>1.3280000000000001</v>
      </c>
      <c r="X8" s="1279">
        <f t="shared" ref="X8:X16" si="13">HLOOKUP(INT($R8),$B$6:$O$17,8)+(HLOOKUP(INT($R8)+1,$B$6:$O$17,8)-HLOOKUP(INT($R8),$B$6:$O$17,8))*($R8-INT($R8))</f>
        <v>1.3280000000000001</v>
      </c>
      <c r="Y8" s="1279">
        <f t="shared" ref="Y8:Y16" si="14">HLOOKUP(INT($R8),$B$6:$O$17,9)+(HLOOKUP(INT($R8)+1,$B$6:$O$17,9)-HLOOKUP(INT($R8),$B$6:$O$17,9))*($R8-INT($R8))</f>
        <v>1.869</v>
      </c>
      <c r="Z8" s="1279">
        <f t="shared" ref="Z8:Z16" si="15">HLOOKUP(INT($R8),$B$6:$O$17,10)+(HLOOKUP(INT($R8)+1,$B$6:$O$17,10)-HLOOKUP(INT($R8),$B$6:$O$17,10))*($R8-INT($R8))</f>
        <v>2.2629999999999999</v>
      </c>
      <c r="AA8" s="1267"/>
      <c r="AB8" s="1275" t="s">
        <v>3</v>
      </c>
      <c r="AC8" s="1382">
        <f>'환기량 산정'!H8</f>
        <v>0</v>
      </c>
      <c r="AD8" s="1279">
        <f t="shared" ref="AD8:AD16" si="16">HLOOKUP(INT($AC8),$B$6:$O$17,3)+(HLOOKUP(INT($AC8)+1,$B$6:$O$17,3)-HLOOKUP(INT($AC8),$B$6:$O$17,3))*($AC8-INT($AC8))</f>
        <v>0.80300000000000005</v>
      </c>
      <c r="AE8" s="1279">
        <f t="shared" ref="AE8:AE16" si="17">HLOOKUP(INT($AC8),$B$6:$O$17,4)+(HLOOKUP(INT($AC8)+1,$B$6:$O$17,4)-HLOOKUP(INT($AC8),$B$6:$O$17,4))*($AC8-INT($AC8))</f>
        <v>1.131</v>
      </c>
      <c r="AF8" s="1279">
        <f t="shared" ref="AF8:AF16" si="18">HLOOKUP(INT($AC8),$B$6:$O$17,5)+(HLOOKUP(INT($AC8)+1,$B$6:$O$17,5)-HLOOKUP(INT($AC8),$B$6:$O$17,5))*($AC8-INT($AC8))</f>
        <v>1</v>
      </c>
      <c r="AG8" s="1279">
        <f t="shared" ref="AG8:AG16" si="19">HLOOKUP(INT($AC8),$B$6:$O$17,6)+(HLOOKUP(INT($AC8)+1,$B$6:$O$17,6)-HLOOKUP(INT($AC8),$B$6:$O$17,6))*($AC8-INT($AC8))</f>
        <v>1.1970000000000001</v>
      </c>
      <c r="AH8" s="1279">
        <f t="shared" ref="AH8:AH16" si="20">HLOOKUP(INT($AC8),$B$6:$O$17,7)+(HLOOKUP(INT($AC8)+1,$B$6:$O$17,7)-HLOOKUP(INT($AC8),$B$6:$O$17,7))*($AC8-INT($AC8))</f>
        <v>1.3280000000000001</v>
      </c>
      <c r="AI8" s="1279">
        <f t="shared" ref="AI8:AI16" si="21">HLOOKUP(INT($AC8),$B$6:$O$17,8)+(HLOOKUP(INT($AC8)+1,$B$6:$O$17,8)-HLOOKUP(INT($AC8),$B$6:$O$17,8))*($AC8-INT($AC8))</f>
        <v>1.3280000000000001</v>
      </c>
      <c r="AJ8" s="1279">
        <f t="shared" ref="AJ8:AJ16" si="22">HLOOKUP(INT($AC8),$B$6:$O$17,9)+(HLOOKUP(INT($AC8)+1,$B$6:$O$17,9)-HLOOKUP(INT($AC8),$B$6:$O$17,9))*($AC8-INT($AC8))</f>
        <v>1.869</v>
      </c>
      <c r="AK8" s="1279">
        <f t="shared" ref="AK8:AK16" si="23">HLOOKUP(INT($AC8),$B$6:$O$17,10)+(HLOOKUP(INT($AC8)+1,$B$6:$O$17,10)-HLOOKUP(INT($AC8),$B$6:$O$17,10))*($AC8-INT($AC8))</f>
        <v>2.2629999999999999</v>
      </c>
      <c r="AL8" s="1267"/>
      <c r="AM8" s="1267" t="s">
        <v>877</v>
      </c>
      <c r="AN8" s="1279">
        <f t="shared" ref="AN8:AU8" si="24">AN11+(AN13-AN11)*(AN7-AN10)</f>
        <v>0.80300000000000005</v>
      </c>
      <c r="AO8" s="1279">
        <f t="shared" si="24"/>
        <v>1.131</v>
      </c>
      <c r="AP8" s="1279">
        <f t="shared" si="24"/>
        <v>1</v>
      </c>
      <c r="AQ8" s="1279">
        <f t="shared" si="24"/>
        <v>1.1970000000000001</v>
      </c>
      <c r="AR8" s="1279">
        <f t="shared" si="24"/>
        <v>1.3280000000000001</v>
      </c>
      <c r="AS8" s="1279">
        <f t="shared" si="24"/>
        <v>1.3280000000000001</v>
      </c>
      <c r="AT8" s="1279">
        <f t="shared" si="24"/>
        <v>1.869</v>
      </c>
      <c r="AU8" s="1279">
        <f t="shared" si="24"/>
        <v>2.2629999999999999</v>
      </c>
    </row>
    <row r="9" spans="1:47">
      <c r="A9" s="1282">
        <v>20</v>
      </c>
      <c r="B9" s="1283">
        <f t="shared" si="2"/>
        <v>0.61299999999999999</v>
      </c>
      <c r="C9" s="1284">
        <v>0.61299999999999999</v>
      </c>
      <c r="D9" s="1283">
        <f t="shared" si="3"/>
        <v>0.67900000000000005</v>
      </c>
      <c r="E9" s="1284">
        <v>0.745</v>
      </c>
      <c r="F9" s="1283">
        <f t="shared" si="4"/>
        <v>0.83250000000000002</v>
      </c>
      <c r="G9" s="1284">
        <v>0.92</v>
      </c>
      <c r="H9" s="1283">
        <f t="shared" si="5"/>
        <v>1.0255000000000001</v>
      </c>
      <c r="I9" s="1284">
        <v>1.131</v>
      </c>
      <c r="J9" s="1283">
        <f t="shared" si="6"/>
        <v>1.3940000000000001</v>
      </c>
      <c r="K9" s="1284">
        <v>1.657</v>
      </c>
      <c r="L9" s="1283">
        <f t="shared" si="7"/>
        <v>2.1204999999999998</v>
      </c>
      <c r="M9" s="1284">
        <v>2.5840000000000001</v>
      </c>
      <c r="N9" s="1283">
        <f t="shared" si="8"/>
        <v>3.1240000000000001</v>
      </c>
      <c r="O9" s="1284">
        <v>3.6640000000000001</v>
      </c>
      <c r="P9" s="1267"/>
      <c r="Q9" s="1275" t="s">
        <v>878</v>
      </c>
      <c r="R9" s="1382">
        <f>'환기량 산정'!D8</f>
        <v>0</v>
      </c>
      <c r="S9" s="1279">
        <f t="shared" si="9"/>
        <v>0.80300000000000005</v>
      </c>
      <c r="T9" s="1279">
        <f t="shared" si="0"/>
        <v>1.131</v>
      </c>
      <c r="U9" s="1279">
        <f t="shared" si="10"/>
        <v>1</v>
      </c>
      <c r="V9" s="1279">
        <f t="shared" si="11"/>
        <v>1.1970000000000001</v>
      </c>
      <c r="W9" s="1279">
        <f t="shared" si="12"/>
        <v>1.3280000000000001</v>
      </c>
      <c r="X9" s="1279">
        <f t="shared" si="13"/>
        <v>1.3280000000000001</v>
      </c>
      <c r="Y9" s="1279">
        <f t="shared" si="14"/>
        <v>1.869</v>
      </c>
      <c r="Z9" s="1279">
        <f t="shared" si="15"/>
        <v>2.2629999999999999</v>
      </c>
      <c r="AA9" s="1267"/>
      <c r="AB9" s="1275" t="s">
        <v>878</v>
      </c>
      <c r="AC9" s="1382">
        <f>'환기량 산정'!I8</f>
        <v>0</v>
      </c>
      <c r="AD9" s="1279">
        <f t="shared" si="16"/>
        <v>0.80300000000000005</v>
      </c>
      <c r="AE9" s="1279">
        <f t="shared" si="17"/>
        <v>1.131</v>
      </c>
      <c r="AF9" s="1279">
        <f t="shared" si="18"/>
        <v>1</v>
      </c>
      <c r="AG9" s="1279">
        <f t="shared" si="19"/>
        <v>1.1970000000000001</v>
      </c>
      <c r="AH9" s="1279">
        <f t="shared" si="20"/>
        <v>1.3280000000000001</v>
      </c>
      <c r="AI9" s="1279">
        <f t="shared" si="21"/>
        <v>1.3280000000000001</v>
      </c>
      <c r="AJ9" s="1279">
        <f t="shared" si="22"/>
        <v>1.869</v>
      </c>
      <c r="AK9" s="1279">
        <f t="shared" si="23"/>
        <v>2.2629999999999999</v>
      </c>
      <c r="AL9" s="1267"/>
      <c r="AM9" s="1267"/>
      <c r="AN9" s="1275"/>
      <c r="AO9" s="1275"/>
      <c r="AP9" s="1275"/>
      <c r="AQ9" s="1275"/>
      <c r="AR9" s="1275"/>
      <c r="AS9" s="1275"/>
      <c r="AT9" s="1275"/>
      <c r="AU9" s="1275"/>
    </row>
    <row r="10" spans="1:47">
      <c r="A10" s="1282">
        <v>30</v>
      </c>
      <c r="B10" s="1283">
        <f t="shared" si="2"/>
        <v>0.56200000000000006</v>
      </c>
      <c r="C10" s="1284">
        <v>0.56200000000000006</v>
      </c>
      <c r="D10" s="1283">
        <f t="shared" si="3"/>
        <v>0.62050000000000005</v>
      </c>
      <c r="E10" s="1284">
        <v>0.67900000000000005</v>
      </c>
      <c r="F10" s="1283">
        <f t="shared" si="4"/>
        <v>0.74450000000000005</v>
      </c>
      <c r="G10" s="1284">
        <v>0.81</v>
      </c>
      <c r="H10" s="1283">
        <f t="shared" si="5"/>
        <v>0.90500000000000003</v>
      </c>
      <c r="I10" s="1284">
        <v>1</v>
      </c>
      <c r="J10" s="1283">
        <f t="shared" si="6"/>
        <v>1.1315</v>
      </c>
      <c r="K10" s="1284">
        <v>1.2629999999999999</v>
      </c>
      <c r="L10" s="1283">
        <f t="shared" si="7"/>
        <v>1.4634999999999998</v>
      </c>
      <c r="M10" s="1284">
        <v>1.6639999999999999</v>
      </c>
      <c r="N10" s="1283">
        <f t="shared" si="8"/>
        <v>1.9670000000000001</v>
      </c>
      <c r="O10" s="1284">
        <v>2.27</v>
      </c>
      <c r="P10" s="1267"/>
      <c r="Q10" s="1275" t="s">
        <v>879</v>
      </c>
      <c r="R10" s="1382">
        <f>'환기량 산정'!E8</f>
        <v>0</v>
      </c>
      <c r="S10" s="1279">
        <f t="shared" si="9"/>
        <v>0.80300000000000005</v>
      </c>
      <c r="T10" s="1279">
        <f t="shared" si="0"/>
        <v>1.131</v>
      </c>
      <c r="U10" s="1279">
        <f t="shared" si="10"/>
        <v>1</v>
      </c>
      <c r="V10" s="1279">
        <f t="shared" si="11"/>
        <v>1.1970000000000001</v>
      </c>
      <c r="W10" s="1279">
        <f t="shared" si="12"/>
        <v>1.3280000000000001</v>
      </c>
      <c r="X10" s="1279">
        <f t="shared" si="13"/>
        <v>1.3280000000000001</v>
      </c>
      <c r="Y10" s="1279">
        <f t="shared" si="14"/>
        <v>1.869</v>
      </c>
      <c r="Z10" s="1279">
        <f t="shared" si="15"/>
        <v>2.2629999999999999</v>
      </c>
      <c r="AA10" s="1267"/>
      <c r="AB10" s="1275" t="s">
        <v>879</v>
      </c>
      <c r="AC10" s="1382">
        <f>'환기량 산정'!J8</f>
        <v>0</v>
      </c>
      <c r="AD10" s="1279">
        <f t="shared" si="16"/>
        <v>0.80300000000000005</v>
      </c>
      <c r="AE10" s="1279">
        <f t="shared" si="17"/>
        <v>1.131</v>
      </c>
      <c r="AF10" s="1279">
        <f t="shared" si="18"/>
        <v>1</v>
      </c>
      <c r="AG10" s="1279">
        <f t="shared" si="19"/>
        <v>1.1970000000000001</v>
      </c>
      <c r="AH10" s="1279">
        <f t="shared" si="20"/>
        <v>1.3280000000000001</v>
      </c>
      <c r="AI10" s="1279">
        <f t="shared" si="21"/>
        <v>1.3280000000000001</v>
      </c>
      <c r="AJ10" s="1279">
        <f t="shared" si="22"/>
        <v>1.869</v>
      </c>
      <c r="AK10" s="1279">
        <f t="shared" si="23"/>
        <v>2.2629999999999999</v>
      </c>
      <c r="AL10" s="1267"/>
      <c r="AM10" s="1285" t="s">
        <v>880</v>
      </c>
      <c r="AN10" s="1286">
        <f>INT(AN7)</f>
        <v>0</v>
      </c>
      <c r="AO10" s="1286">
        <f t="shared" ref="AO10:AU10" si="25">INT(AO7)</f>
        <v>0</v>
      </c>
      <c r="AP10" s="1286">
        <f t="shared" si="25"/>
        <v>0</v>
      </c>
      <c r="AQ10" s="1286">
        <f t="shared" si="25"/>
        <v>0</v>
      </c>
      <c r="AR10" s="1286">
        <f t="shared" si="25"/>
        <v>0</v>
      </c>
      <c r="AS10" s="1286">
        <f t="shared" si="25"/>
        <v>0</v>
      </c>
      <c r="AT10" s="1286">
        <f t="shared" si="25"/>
        <v>0</v>
      </c>
      <c r="AU10" s="1286">
        <f t="shared" si="25"/>
        <v>0</v>
      </c>
    </row>
    <row r="11" spans="1:47">
      <c r="A11" s="1287">
        <v>40</v>
      </c>
      <c r="B11" s="1288">
        <f t="shared" si="2"/>
        <v>0.60599999999999998</v>
      </c>
      <c r="C11" s="1289">
        <v>0.60599999999999998</v>
      </c>
      <c r="D11" s="1288">
        <f t="shared" si="3"/>
        <v>0.67900000000000005</v>
      </c>
      <c r="E11" s="1289">
        <v>0.752</v>
      </c>
      <c r="F11" s="1288">
        <f t="shared" si="4"/>
        <v>0.84699999999999998</v>
      </c>
      <c r="G11" s="1289">
        <v>0.94199999999999995</v>
      </c>
      <c r="H11" s="1288">
        <f t="shared" si="5"/>
        <v>1.0695000000000001</v>
      </c>
      <c r="I11" s="1289">
        <v>1.1970000000000001</v>
      </c>
      <c r="J11" s="1288">
        <f t="shared" si="6"/>
        <v>1.4125000000000001</v>
      </c>
      <c r="K11" s="1289">
        <v>1.6279999999999999</v>
      </c>
      <c r="L11" s="1288">
        <f t="shared" si="7"/>
        <v>2.0255000000000001</v>
      </c>
      <c r="M11" s="1289">
        <v>2.423</v>
      </c>
      <c r="N11" s="1288">
        <f t="shared" si="8"/>
        <v>2.996</v>
      </c>
      <c r="O11" s="1289">
        <v>3.569</v>
      </c>
      <c r="P11" s="1267"/>
      <c r="Q11" s="1275" t="s">
        <v>881</v>
      </c>
      <c r="R11" s="1382">
        <f>'환기량 산정'!F8</f>
        <v>0</v>
      </c>
      <c r="S11" s="1279">
        <f t="shared" si="9"/>
        <v>0.80300000000000005</v>
      </c>
      <c r="T11" s="1279">
        <f t="shared" si="0"/>
        <v>1.131</v>
      </c>
      <c r="U11" s="1279">
        <f t="shared" si="10"/>
        <v>1</v>
      </c>
      <c r="V11" s="1279">
        <f t="shared" si="11"/>
        <v>1.1970000000000001</v>
      </c>
      <c r="W11" s="1279">
        <f t="shared" si="12"/>
        <v>1.3280000000000001</v>
      </c>
      <c r="X11" s="1279">
        <f t="shared" si="13"/>
        <v>1.3280000000000001</v>
      </c>
      <c r="Y11" s="1279">
        <f t="shared" si="14"/>
        <v>1.869</v>
      </c>
      <c r="Z11" s="1279">
        <f t="shared" si="15"/>
        <v>2.2629999999999999</v>
      </c>
      <c r="AA11" s="1267"/>
      <c r="AB11" s="1275" t="s">
        <v>881</v>
      </c>
      <c r="AC11" s="1382">
        <f>'환기량 산정'!K8</f>
        <v>0</v>
      </c>
      <c r="AD11" s="1279">
        <f t="shared" si="16"/>
        <v>0.80300000000000005</v>
      </c>
      <c r="AE11" s="1279">
        <f t="shared" si="17"/>
        <v>1.131</v>
      </c>
      <c r="AF11" s="1279">
        <f t="shared" si="18"/>
        <v>1</v>
      </c>
      <c r="AG11" s="1279">
        <f t="shared" si="19"/>
        <v>1.1970000000000001</v>
      </c>
      <c r="AH11" s="1279">
        <f t="shared" si="20"/>
        <v>1.3280000000000001</v>
      </c>
      <c r="AI11" s="1279">
        <f t="shared" si="21"/>
        <v>1.3280000000000001</v>
      </c>
      <c r="AJ11" s="1279">
        <f t="shared" si="22"/>
        <v>1.869</v>
      </c>
      <c r="AK11" s="1279">
        <f t="shared" si="23"/>
        <v>2.2629999999999999</v>
      </c>
      <c r="AL11" s="1267"/>
      <c r="AM11" s="1285" t="s">
        <v>882</v>
      </c>
      <c r="AN11" s="1290">
        <f t="shared" ref="AN11:AU11" si="26">HLOOKUP(AN10,$B$6:$O$17,AN14)</f>
        <v>0.80300000000000005</v>
      </c>
      <c r="AO11" s="1290">
        <f t="shared" si="26"/>
        <v>1.131</v>
      </c>
      <c r="AP11" s="1290">
        <f t="shared" si="26"/>
        <v>1</v>
      </c>
      <c r="AQ11" s="1290">
        <f t="shared" si="26"/>
        <v>1.1970000000000001</v>
      </c>
      <c r="AR11" s="1290">
        <f t="shared" si="26"/>
        <v>1.3280000000000001</v>
      </c>
      <c r="AS11" s="1290">
        <f t="shared" si="26"/>
        <v>1.3280000000000001</v>
      </c>
      <c r="AT11" s="1290">
        <f t="shared" si="26"/>
        <v>1.869</v>
      </c>
      <c r="AU11" s="1290">
        <f t="shared" si="26"/>
        <v>2.2629999999999999</v>
      </c>
    </row>
    <row r="12" spans="1:47">
      <c r="A12" s="1287">
        <v>50</v>
      </c>
      <c r="B12" s="1288">
        <f t="shared" si="2"/>
        <v>0.65</v>
      </c>
      <c r="C12" s="1289">
        <v>0.65</v>
      </c>
      <c r="D12" s="1288">
        <f t="shared" si="3"/>
        <v>0.75550000000000006</v>
      </c>
      <c r="E12" s="1289">
        <v>0.86099999999999999</v>
      </c>
      <c r="F12" s="1288">
        <f t="shared" si="4"/>
        <v>0.9415</v>
      </c>
      <c r="G12" s="1289">
        <v>1.022</v>
      </c>
      <c r="H12" s="1288">
        <f t="shared" si="5"/>
        <v>1.175</v>
      </c>
      <c r="I12" s="1289">
        <v>1.3280000000000001</v>
      </c>
      <c r="J12" s="1288">
        <f t="shared" si="6"/>
        <v>1.5325000000000002</v>
      </c>
      <c r="K12" s="1289">
        <v>1.7370000000000001</v>
      </c>
      <c r="L12" s="1288">
        <f t="shared" si="7"/>
        <v>2.0765000000000002</v>
      </c>
      <c r="M12" s="1289">
        <v>2.4159999999999999</v>
      </c>
      <c r="N12" s="1288">
        <f t="shared" si="8"/>
        <v>2.9124999999999996</v>
      </c>
      <c r="O12" s="1289">
        <v>3.4089999999999998</v>
      </c>
      <c r="P12" s="1267"/>
      <c r="Q12" s="1275" t="s">
        <v>883</v>
      </c>
      <c r="R12" s="1382">
        <f>'환기량 산정'!B13</f>
        <v>0</v>
      </c>
      <c r="S12" s="1279">
        <f t="shared" si="9"/>
        <v>0.80300000000000005</v>
      </c>
      <c r="T12" s="1279">
        <f t="shared" si="0"/>
        <v>1.131</v>
      </c>
      <c r="U12" s="1279">
        <f t="shared" si="10"/>
        <v>1</v>
      </c>
      <c r="V12" s="1279">
        <f t="shared" si="11"/>
        <v>1.1970000000000001</v>
      </c>
      <c r="W12" s="1279">
        <f t="shared" si="12"/>
        <v>1.3280000000000001</v>
      </c>
      <c r="X12" s="1279">
        <f t="shared" si="13"/>
        <v>1.3280000000000001</v>
      </c>
      <c r="Y12" s="1279">
        <f t="shared" si="14"/>
        <v>1.869</v>
      </c>
      <c r="Z12" s="1279">
        <f t="shared" si="15"/>
        <v>2.2629999999999999</v>
      </c>
      <c r="AA12" s="1267"/>
      <c r="AB12" s="1275" t="s">
        <v>883</v>
      </c>
      <c r="AC12" s="1382">
        <f>'환기량 산정'!G13</f>
        <v>0</v>
      </c>
      <c r="AD12" s="1279">
        <f t="shared" si="16"/>
        <v>0.80300000000000005</v>
      </c>
      <c r="AE12" s="1279">
        <f t="shared" si="17"/>
        <v>1.131</v>
      </c>
      <c r="AF12" s="1279">
        <f t="shared" si="18"/>
        <v>1</v>
      </c>
      <c r="AG12" s="1279">
        <f t="shared" si="19"/>
        <v>1.1970000000000001</v>
      </c>
      <c r="AH12" s="1279">
        <f t="shared" si="20"/>
        <v>1.3280000000000001</v>
      </c>
      <c r="AI12" s="1279">
        <f t="shared" si="21"/>
        <v>1.3280000000000001</v>
      </c>
      <c r="AJ12" s="1279">
        <f t="shared" si="22"/>
        <v>1.869</v>
      </c>
      <c r="AK12" s="1279">
        <f t="shared" si="23"/>
        <v>2.2629999999999999</v>
      </c>
      <c r="AL12" s="1267"/>
      <c r="AM12" s="1285" t="s">
        <v>884</v>
      </c>
      <c r="AN12" s="1286">
        <f>AN10+1</f>
        <v>1</v>
      </c>
      <c r="AO12" s="1286">
        <f t="shared" ref="AO12:AU12" si="27">AO10+1</f>
        <v>1</v>
      </c>
      <c r="AP12" s="1286">
        <f t="shared" si="27"/>
        <v>1</v>
      </c>
      <c r="AQ12" s="1286">
        <f t="shared" si="27"/>
        <v>1</v>
      </c>
      <c r="AR12" s="1286">
        <f t="shared" si="27"/>
        <v>1</v>
      </c>
      <c r="AS12" s="1286">
        <f t="shared" si="27"/>
        <v>1</v>
      </c>
      <c r="AT12" s="1286">
        <f t="shared" si="27"/>
        <v>1</v>
      </c>
      <c r="AU12" s="1286">
        <f t="shared" si="27"/>
        <v>1</v>
      </c>
    </row>
    <row r="13" spans="1:47">
      <c r="A13" s="1287">
        <v>60</v>
      </c>
      <c r="B13" s="1288">
        <f t="shared" si="2"/>
        <v>0.62</v>
      </c>
      <c r="C13" s="1289">
        <v>0.62</v>
      </c>
      <c r="D13" s="1288">
        <f t="shared" si="3"/>
        <v>0.72599999999999998</v>
      </c>
      <c r="E13" s="1289">
        <v>0.83199999999999996</v>
      </c>
      <c r="F13" s="1288">
        <f t="shared" si="4"/>
        <v>0.90149999999999997</v>
      </c>
      <c r="G13" s="1289">
        <v>0.97099999999999997</v>
      </c>
      <c r="H13" s="1288">
        <f t="shared" si="5"/>
        <v>1.1495</v>
      </c>
      <c r="I13" s="1289">
        <v>1.3280000000000001</v>
      </c>
      <c r="J13" s="1288">
        <f t="shared" si="6"/>
        <v>1.5874999999999999</v>
      </c>
      <c r="K13" s="1289">
        <v>1.847</v>
      </c>
      <c r="L13" s="1288">
        <f t="shared" si="7"/>
        <v>2.3029999999999999</v>
      </c>
      <c r="M13" s="1289">
        <v>2.7589999999999999</v>
      </c>
      <c r="N13" s="1288">
        <f t="shared" si="8"/>
        <v>3.54</v>
      </c>
      <c r="O13" s="1289">
        <v>4.3209999999999997</v>
      </c>
      <c r="P13" s="1267"/>
      <c r="Q13" s="1275" t="s">
        <v>885</v>
      </c>
      <c r="R13" s="1382">
        <f>'환기량 산정'!C13</f>
        <v>0</v>
      </c>
      <c r="S13" s="1279">
        <f t="shared" si="9"/>
        <v>0.80300000000000005</v>
      </c>
      <c r="T13" s="1279">
        <f t="shared" si="0"/>
        <v>1.131</v>
      </c>
      <c r="U13" s="1279">
        <f t="shared" si="10"/>
        <v>1</v>
      </c>
      <c r="V13" s="1279">
        <f t="shared" si="11"/>
        <v>1.1970000000000001</v>
      </c>
      <c r="W13" s="1279">
        <f t="shared" si="12"/>
        <v>1.3280000000000001</v>
      </c>
      <c r="X13" s="1279">
        <f t="shared" si="13"/>
        <v>1.3280000000000001</v>
      </c>
      <c r="Y13" s="1279">
        <f t="shared" si="14"/>
        <v>1.869</v>
      </c>
      <c r="Z13" s="1279">
        <f t="shared" si="15"/>
        <v>2.2629999999999999</v>
      </c>
      <c r="AA13" s="1267"/>
      <c r="AB13" s="1275" t="s">
        <v>885</v>
      </c>
      <c r="AC13" s="1382">
        <f>'환기량 산정'!H13</f>
        <v>0</v>
      </c>
      <c r="AD13" s="1279">
        <f t="shared" si="16"/>
        <v>0.80300000000000005</v>
      </c>
      <c r="AE13" s="1279">
        <f t="shared" si="17"/>
        <v>1.131</v>
      </c>
      <c r="AF13" s="1279">
        <f t="shared" si="18"/>
        <v>1</v>
      </c>
      <c r="AG13" s="1279">
        <f t="shared" si="19"/>
        <v>1.1970000000000001</v>
      </c>
      <c r="AH13" s="1279">
        <f t="shared" si="20"/>
        <v>1.3280000000000001</v>
      </c>
      <c r="AI13" s="1279">
        <f t="shared" si="21"/>
        <v>1.3280000000000001</v>
      </c>
      <c r="AJ13" s="1279">
        <f t="shared" si="22"/>
        <v>1.869</v>
      </c>
      <c r="AK13" s="1279">
        <f t="shared" si="23"/>
        <v>2.2629999999999999</v>
      </c>
      <c r="AL13" s="1267"/>
      <c r="AM13" s="1285" t="s">
        <v>886</v>
      </c>
      <c r="AN13" s="1290">
        <f t="shared" ref="AN13:AU13" si="28">HLOOKUP(AN12,$B$6:$O$17,AN14)</f>
        <v>0.83950000000000002</v>
      </c>
      <c r="AO13" s="1290">
        <f t="shared" si="28"/>
        <v>1.3940000000000001</v>
      </c>
      <c r="AP13" s="1290">
        <f t="shared" si="28"/>
        <v>1.1315</v>
      </c>
      <c r="AQ13" s="1290">
        <f t="shared" si="28"/>
        <v>1.4125000000000001</v>
      </c>
      <c r="AR13" s="1290">
        <f t="shared" si="28"/>
        <v>1.5325000000000002</v>
      </c>
      <c r="AS13" s="1290">
        <f t="shared" si="28"/>
        <v>1.5874999999999999</v>
      </c>
      <c r="AT13" s="1290">
        <f t="shared" si="28"/>
        <v>2.2629999999999999</v>
      </c>
      <c r="AU13" s="1290">
        <f t="shared" si="28"/>
        <v>2.9489999999999998</v>
      </c>
    </row>
    <row r="14" spans="1:47">
      <c r="A14" s="1282">
        <v>70</v>
      </c>
      <c r="B14" s="1283">
        <f t="shared" si="2"/>
        <v>0.72299999999999998</v>
      </c>
      <c r="C14" s="1284">
        <v>0.72299999999999998</v>
      </c>
      <c r="D14" s="1283">
        <f t="shared" si="3"/>
        <v>0.84699999999999998</v>
      </c>
      <c r="E14" s="1284">
        <v>0.97099999999999997</v>
      </c>
      <c r="F14" s="1283">
        <f t="shared" si="4"/>
        <v>1.139</v>
      </c>
      <c r="G14" s="1284">
        <v>1.3069999999999999</v>
      </c>
      <c r="H14" s="1283">
        <f t="shared" si="5"/>
        <v>1.5880000000000001</v>
      </c>
      <c r="I14" s="1284">
        <v>1.869</v>
      </c>
      <c r="J14" s="1283">
        <f t="shared" si="6"/>
        <v>2.2629999999999999</v>
      </c>
      <c r="K14" s="1284">
        <v>2.657</v>
      </c>
      <c r="L14" s="1283">
        <f t="shared" si="7"/>
        <v>3.5329999999999999</v>
      </c>
      <c r="M14" s="1284">
        <v>4.4089999999999998</v>
      </c>
      <c r="N14" s="1283">
        <f t="shared" si="8"/>
        <v>6.1825000000000001</v>
      </c>
      <c r="O14" s="1284">
        <v>7.9560000000000004</v>
      </c>
      <c r="P14" s="1267"/>
      <c r="Q14" s="1275" t="s">
        <v>887</v>
      </c>
      <c r="R14" s="1382">
        <f>'환기량 산정'!D13</f>
        <v>0</v>
      </c>
      <c r="S14" s="1279">
        <f t="shared" si="9"/>
        <v>0.80300000000000005</v>
      </c>
      <c r="T14" s="1279">
        <f t="shared" si="0"/>
        <v>1.131</v>
      </c>
      <c r="U14" s="1279">
        <f t="shared" si="10"/>
        <v>1</v>
      </c>
      <c r="V14" s="1279">
        <f t="shared" si="11"/>
        <v>1.1970000000000001</v>
      </c>
      <c r="W14" s="1279">
        <f t="shared" si="12"/>
        <v>1.3280000000000001</v>
      </c>
      <c r="X14" s="1279">
        <f t="shared" si="13"/>
        <v>1.3280000000000001</v>
      </c>
      <c r="Y14" s="1279">
        <f t="shared" si="14"/>
        <v>1.869</v>
      </c>
      <c r="Z14" s="1279">
        <f t="shared" si="15"/>
        <v>2.2629999999999999</v>
      </c>
      <c r="AA14" s="1267"/>
      <c r="AB14" s="1275" t="s">
        <v>887</v>
      </c>
      <c r="AC14" s="1382">
        <f>'환기량 산정'!I13</f>
        <v>0</v>
      </c>
      <c r="AD14" s="1279">
        <f t="shared" si="16"/>
        <v>0.80300000000000005</v>
      </c>
      <c r="AE14" s="1279">
        <f t="shared" si="17"/>
        <v>1.131</v>
      </c>
      <c r="AF14" s="1279">
        <f t="shared" si="18"/>
        <v>1</v>
      </c>
      <c r="AG14" s="1279">
        <f t="shared" si="19"/>
        <v>1.1970000000000001</v>
      </c>
      <c r="AH14" s="1279">
        <f t="shared" si="20"/>
        <v>1.3280000000000001</v>
      </c>
      <c r="AI14" s="1279">
        <f t="shared" si="21"/>
        <v>1.3280000000000001</v>
      </c>
      <c r="AJ14" s="1279">
        <f t="shared" si="22"/>
        <v>1.869</v>
      </c>
      <c r="AK14" s="1279">
        <f t="shared" si="23"/>
        <v>2.2629999999999999</v>
      </c>
      <c r="AL14" s="1267"/>
      <c r="AM14" s="1267"/>
      <c r="AN14" s="1275">
        <v>3</v>
      </c>
      <c r="AO14" s="1275">
        <v>4</v>
      </c>
      <c r="AP14" s="1275">
        <v>5</v>
      </c>
      <c r="AQ14" s="1275">
        <v>6</v>
      </c>
      <c r="AR14" s="1275">
        <v>7</v>
      </c>
      <c r="AS14" s="1275">
        <v>8</v>
      </c>
      <c r="AT14" s="1275">
        <v>9</v>
      </c>
      <c r="AU14" s="1275">
        <v>10</v>
      </c>
    </row>
    <row r="15" spans="1:47">
      <c r="A15" s="1282">
        <v>80</v>
      </c>
      <c r="B15" s="1283">
        <f t="shared" si="2"/>
        <v>0.91200000000000003</v>
      </c>
      <c r="C15" s="1284">
        <v>0.91200000000000003</v>
      </c>
      <c r="D15" s="1283">
        <f t="shared" si="3"/>
        <v>1.0469999999999999</v>
      </c>
      <c r="E15" s="1284">
        <v>1.1819999999999999</v>
      </c>
      <c r="F15" s="1283">
        <f t="shared" si="4"/>
        <v>1.361</v>
      </c>
      <c r="G15" s="1284">
        <v>1.54</v>
      </c>
      <c r="H15" s="1283">
        <f t="shared" si="5"/>
        <v>1.9015</v>
      </c>
      <c r="I15" s="1284">
        <v>2.2629999999999999</v>
      </c>
      <c r="J15" s="1283">
        <f t="shared" si="6"/>
        <v>2.9489999999999998</v>
      </c>
      <c r="K15" s="1284">
        <v>3.6349999999999998</v>
      </c>
      <c r="L15" s="1283">
        <f t="shared" si="7"/>
        <v>5.0694999999999997</v>
      </c>
      <c r="M15" s="1284">
        <v>6.5039999999999996</v>
      </c>
      <c r="N15" s="1283">
        <f t="shared" si="8"/>
        <v>9.317499999999999</v>
      </c>
      <c r="O15" s="1284">
        <v>12.131</v>
      </c>
      <c r="P15" s="1267"/>
      <c r="Q15" s="1275" t="s">
        <v>888</v>
      </c>
      <c r="R15" s="1382">
        <f>'환기량 산정'!E13</f>
        <v>0</v>
      </c>
      <c r="S15" s="1279">
        <f t="shared" si="9"/>
        <v>0.80300000000000005</v>
      </c>
      <c r="T15" s="1279">
        <f t="shared" si="0"/>
        <v>1.131</v>
      </c>
      <c r="U15" s="1279">
        <f t="shared" si="10"/>
        <v>1</v>
      </c>
      <c r="V15" s="1279">
        <f t="shared" si="11"/>
        <v>1.1970000000000001</v>
      </c>
      <c r="W15" s="1279">
        <f t="shared" si="12"/>
        <v>1.3280000000000001</v>
      </c>
      <c r="X15" s="1279">
        <f t="shared" si="13"/>
        <v>1.3280000000000001</v>
      </c>
      <c r="Y15" s="1279">
        <f t="shared" si="14"/>
        <v>1.869</v>
      </c>
      <c r="Z15" s="1279">
        <f t="shared" si="15"/>
        <v>2.2629999999999999</v>
      </c>
      <c r="AA15" s="1267"/>
      <c r="AB15" s="1275" t="s">
        <v>888</v>
      </c>
      <c r="AC15" s="1382">
        <f>'환기량 산정'!J13</f>
        <v>0</v>
      </c>
      <c r="AD15" s="1279">
        <f t="shared" si="16"/>
        <v>0.80300000000000005</v>
      </c>
      <c r="AE15" s="1279">
        <f t="shared" si="17"/>
        <v>1.131</v>
      </c>
      <c r="AF15" s="1279">
        <f t="shared" si="18"/>
        <v>1</v>
      </c>
      <c r="AG15" s="1279">
        <f t="shared" si="19"/>
        <v>1.1970000000000001</v>
      </c>
      <c r="AH15" s="1279">
        <f t="shared" si="20"/>
        <v>1.3280000000000001</v>
      </c>
      <c r="AI15" s="1279">
        <f t="shared" si="21"/>
        <v>1.3280000000000001</v>
      </c>
      <c r="AJ15" s="1279">
        <f t="shared" si="22"/>
        <v>1.869</v>
      </c>
      <c r="AK15" s="1279">
        <f t="shared" si="23"/>
        <v>2.2629999999999999</v>
      </c>
      <c r="AL15" s="1267"/>
      <c r="AM15" s="1267"/>
      <c r="AN15" s="1267"/>
      <c r="AO15" s="1267"/>
      <c r="AP15" s="1267"/>
      <c r="AQ15" s="1267"/>
      <c r="AR15" s="1267"/>
      <c r="AS15" s="1267"/>
      <c r="AT15" s="1267"/>
      <c r="AU15" s="1267"/>
    </row>
    <row r="16" spans="1:47">
      <c r="A16" s="1275">
        <v>90</v>
      </c>
      <c r="B16" s="1276">
        <f t="shared" si="2"/>
        <v>0.85399999999999998</v>
      </c>
      <c r="C16" s="1277">
        <v>0.85399999999999998</v>
      </c>
      <c r="D16" s="1276">
        <f t="shared" si="3"/>
        <v>1</v>
      </c>
      <c r="E16" s="1277">
        <v>1.1459999999999999</v>
      </c>
      <c r="F16" s="1276">
        <f t="shared" si="4"/>
        <v>1.4015</v>
      </c>
      <c r="G16" s="1277">
        <v>1.657</v>
      </c>
      <c r="H16" s="1276">
        <f t="shared" si="5"/>
        <v>2.1280000000000001</v>
      </c>
      <c r="I16" s="1277">
        <v>2.5990000000000002</v>
      </c>
      <c r="J16" s="1276">
        <f t="shared" si="6"/>
        <v>3.7629999999999999</v>
      </c>
      <c r="K16" s="1277">
        <v>4.9269999999999996</v>
      </c>
      <c r="L16" s="1276">
        <f t="shared" si="7"/>
        <v>7.7954999999999997</v>
      </c>
      <c r="M16" s="1277">
        <v>10.664</v>
      </c>
      <c r="N16" s="1276">
        <f t="shared" si="8"/>
        <v>14.978000000000002</v>
      </c>
      <c r="O16" s="1277">
        <v>19.292000000000002</v>
      </c>
      <c r="P16" s="1267"/>
      <c r="Q16" s="1275" t="s">
        <v>889</v>
      </c>
      <c r="R16" s="1382">
        <f>'환기량 산정'!F13</f>
        <v>0</v>
      </c>
      <c r="S16" s="1279">
        <f t="shared" si="9"/>
        <v>0.80300000000000005</v>
      </c>
      <c r="T16" s="1279">
        <f t="shared" si="0"/>
        <v>1.131</v>
      </c>
      <c r="U16" s="1279">
        <f t="shared" si="10"/>
        <v>1</v>
      </c>
      <c r="V16" s="1279">
        <f t="shared" si="11"/>
        <v>1.1970000000000001</v>
      </c>
      <c r="W16" s="1279">
        <f t="shared" si="12"/>
        <v>1.3280000000000001</v>
      </c>
      <c r="X16" s="1279">
        <f t="shared" si="13"/>
        <v>1.3280000000000001</v>
      </c>
      <c r="Y16" s="1279">
        <f t="shared" si="14"/>
        <v>1.869</v>
      </c>
      <c r="Z16" s="1279">
        <f t="shared" si="15"/>
        <v>2.2629999999999999</v>
      </c>
      <c r="AA16" s="1267"/>
      <c r="AB16" s="1275" t="s">
        <v>889</v>
      </c>
      <c r="AC16" s="1382">
        <f>'환기량 산정'!K13</f>
        <v>0</v>
      </c>
      <c r="AD16" s="1279">
        <f t="shared" si="16"/>
        <v>0.80300000000000005</v>
      </c>
      <c r="AE16" s="1279">
        <f t="shared" si="17"/>
        <v>1.131</v>
      </c>
      <c r="AF16" s="1279">
        <f t="shared" si="18"/>
        <v>1</v>
      </c>
      <c r="AG16" s="1279">
        <f t="shared" si="19"/>
        <v>1.1970000000000001</v>
      </c>
      <c r="AH16" s="1279">
        <f t="shared" si="20"/>
        <v>1.3280000000000001</v>
      </c>
      <c r="AI16" s="1279">
        <f t="shared" si="21"/>
        <v>1.3280000000000001</v>
      </c>
      <c r="AJ16" s="1279">
        <f t="shared" si="22"/>
        <v>1.869</v>
      </c>
      <c r="AK16" s="1279">
        <f t="shared" si="23"/>
        <v>2.2629999999999999</v>
      </c>
      <c r="AL16" s="1267"/>
      <c r="AM16" s="1267"/>
      <c r="AN16" s="1267"/>
      <c r="AO16" s="1267"/>
      <c r="AP16" s="1267"/>
      <c r="AQ16" s="1267"/>
      <c r="AR16" s="1267"/>
      <c r="AS16" s="1267"/>
      <c r="AT16" s="1267"/>
      <c r="AU16" s="1267"/>
    </row>
    <row r="17" spans="1:47">
      <c r="A17" s="1275">
        <v>100</v>
      </c>
      <c r="B17" s="1276">
        <f t="shared" si="2"/>
        <v>1.131</v>
      </c>
      <c r="C17" s="1277">
        <v>1.131</v>
      </c>
      <c r="D17" s="1276">
        <f t="shared" si="3"/>
        <v>1.3285</v>
      </c>
      <c r="E17" s="1277">
        <v>1.526</v>
      </c>
      <c r="F17" s="1276">
        <f t="shared" si="4"/>
        <v>1.9165000000000001</v>
      </c>
      <c r="G17" s="1277">
        <v>2.3069999999999999</v>
      </c>
      <c r="H17" s="1276">
        <f t="shared" si="5"/>
        <v>2.9929999999999999</v>
      </c>
      <c r="I17" s="1277">
        <v>3.6789999999999998</v>
      </c>
      <c r="J17" s="1276">
        <f t="shared" si="6"/>
        <v>4.9744999999999999</v>
      </c>
      <c r="K17" s="1277">
        <v>6.27</v>
      </c>
      <c r="L17" s="1276">
        <f t="shared" si="7"/>
        <v>10.7775</v>
      </c>
      <c r="M17" s="1277">
        <v>15.285</v>
      </c>
      <c r="N17" s="1276">
        <f t="shared" si="8"/>
        <v>22.814</v>
      </c>
      <c r="O17" s="1277">
        <v>30.343</v>
      </c>
      <c r="P17" s="1267"/>
      <c r="Q17" s="1267"/>
      <c r="R17" s="1267"/>
      <c r="S17" s="1267"/>
      <c r="T17" s="1267"/>
      <c r="U17" s="1267"/>
      <c r="V17" s="1267"/>
      <c r="W17" s="1267"/>
      <c r="X17" s="1267"/>
      <c r="Y17" s="1267"/>
      <c r="Z17" s="1267"/>
      <c r="AA17" s="1267"/>
      <c r="AB17" s="1267"/>
      <c r="AC17" s="1267"/>
      <c r="AD17" s="1267"/>
      <c r="AE17" s="1267"/>
      <c r="AF17" s="1267"/>
      <c r="AG17" s="1267"/>
      <c r="AH17" s="1267"/>
      <c r="AI17" s="1267"/>
      <c r="AJ17" s="1267"/>
      <c r="AK17" s="1267"/>
      <c r="AL17" s="1267"/>
      <c r="AM17" s="1267"/>
      <c r="AN17" s="1267"/>
      <c r="AO17" s="1267"/>
      <c r="AP17" s="1267"/>
      <c r="AQ17" s="1267"/>
      <c r="AR17" s="1267"/>
      <c r="AS17" s="1267"/>
      <c r="AT17" s="1267"/>
      <c r="AU17" s="1267"/>
    </row>
    <row r="18" spans="1:47">
      <c r="A18" s="1270" t="s">
        <v>890</v>
      </c>
      <c r="B18" s="1267"/>
      <c r="C18" s="1267"/>
      <c r="D18" s="1267"/>
      <c r="E18" s="1267"/>
      <c r="F18" s="1267"/>
      <c r="G18" s="1267"/>
      <c r="H18" s="1267"/>
      <c r="I18" s="1267"/>
      <c r="J18" s="1267"/>
      <c r="K18" s="1267"/>
      <c r="L18" s="1267"/>
      <c r="M18" s="1267"/>
      <c r="N18" s="1267"/>
      <c r="O18" s="1267"/>
      <c r="P18" s="1267"/>
      <c r="Q18" s="1267"/>
      <c r="R18" s="1267"/>
      <c r="S18" s="1267"/>
      <c r="T18" s="1267"/>
      <c r="U18" s="1267"/>
      <c r="V18" s="1267"/>
      <c r="W18" s="1267"/>
      <c r="X18" s="1267"/>
      <c r="Y18" s="1267"/>
      <c r="Z18" s="1267"/>
      <c r="AA18" s="1267"/>
      <c r="AB18" s="1267"/>
      <c r="AC18" s="1267"/>
      <c r="AD18" s="1267"/>
      <c r="AE18" s="1267"/>
      <c r="AF18" s="1267"/>
      <c r="AG18" s="1267"/>
      <c r="AH18" s="1267"/>
      <c r="AI18" s="1267"/>
      <c r="AJ18" s="1267"/>
      <c r="AK18" s="1267"/>
      <c r="AL18" s="1267"/>
      <c r="AM18" s="1267"/>
      <c r="AN18" s="1267"/>
      <c r="AO18" s="1267"/>
      <c r="AP18" s="1267"/>
      <c r="AQ18" s="1267"/>
      <c r="AR18" s="1267"/>
      <c r="AS18" s="1267"/>
      <c r="AT18" s="1267"/>
      <c r="AU18" s="1267"/>
    </row>
    <row r="19" spans="1:47">
      <c r="A19" s="1271"/>
      <c r="B19" s="1271"/>
      <c r="C19" s="1522" t="s">
        <v>869</v>
      </c>
      <c r="D19" s="1522"/>
      <c r="E19" s="1522"/>
      <c r="F19" s="1522"/>
      <c r="G19" s="1522"/>
      <c r="H19" s="1522"/>
      <c r="I19" s="1522"/>
      <c r="J19" s="1522"/>
      <c r="K19" s="1522"/>
      <c r="L19" s="1522"/>
      <c r="M19" s="1522"/>
      <c r="N19" s="1522"/>
      <c r="O19" s="1522"/>
      <c r="P19" s="1267"/>
      <c r="Q19" s="1270" t="s">
        <v>910</v>
      </c>
      <c r="R19" s="1267"/>
      <c r="S19" s="1267"/>
      <c r="T19" s="1267"/>
      <c r="U19" s="1267"/>
      <c r="V19" s="1267"/>
      <c r="W19" s="1267"/>
      <c r="X19" s="1267"/>
      <c r="Y19" s="1267"/>
      <c r="Z19" s="1267"/>
      <c r="AA19" s="1267"/>
      <c r="AB19" s="1270" t="s">
        <v>911</v>
      </c>
      <c r="AC19" s="1267"/>
      <c r="AD19" s="1267"/>
      <c r="AE19" s="1267"/>
      <c r="AF19" s="1267"/>
      <c r="AG19" s="1267"/>
      <c r="AH19" s="1267"/>
      <c r="AI19" s="1267"/>
      <c r="AJ19" s="1267"/>
      <c r="AK19" s="1267"/>
      <c r="AL19" s="1267"/>
      <c r="AM19" s="1272" t="s">
        <v>872</v>
      </c>
      <c r="AN19" s="1267"/>
      <c r="AO19" s="1267"/>
      <c r="AP19" s="1267"/>
      <c r="AQ19" s="1267"/>
      <c r="AR19" s="1267"/>
      <c r="AS19" s="1267"/>
      <c r="AT19" s="1267"/>
      <c r="AU19" s="1267"/>
    </row>
    <row r="20" spans="1:47">
      <c r="A20" s="1273" t="s">
        <v>873</v>
      </c>
      <c r="B20" s="1274">
        <v>-100</v>
      </c>
      <c r="C20" s="1273">
        <v>-6</v>
      </c>
      <c r="D20" s="1274">
        <f>(C20+E20)/2</f>
        <v>-5</v>
      </c>
      <c r="E20" s="1273">
        <v>-4</v>
      </c>
      <c r="F20" s="1274">
        <f>(E20+G20)/2</f>
        <v>-3</v>
      </c>
      <c r="G20" s="1273">
        <v>-2</v>
      </c>
      <c r="H20" s="1274">
        <f>(G20+I20)/2</f>
        <v>-1</v>
      </c>
      <c r="I20" s="1273">
        <v>0</v>
      </c>
      <c r="J20" s="1274">
        <f>(I20+K20)/2</f>
        <v>1</v>
      </c>
      <c r="K20" s="1273">
        <v>2</v>
      </c>
      <c r="L20" s="1274">
        <f>(K20+M20)/2</f>
        <v>3</v>
      </c>
      <c r="M20" s="1273">
        <v>4</v>
      </c>
      <c r="N20" s="1274">
        <f>(M20+O20)/2</f>
        <v>5</v>
      </c>
      <c r="O20" s="1273">
        <v>6</v>
      </c>
      <c r="P20" s="1267"/>
      <c r="Q20" s="1273" t="s">
        <v>874</v>
      </c>
      <c r="R20" s="1273" t="s">
        <v>869</v>
      </c>
      <c r="S20" s="1273">
        <v>10</v>
      </c>
      <c r="T20" s="1273">
        <v>20</v>
      </c>
      <c r="U20" s="1273">
        <v>30</v>
      </c>
      <c r="V20" s="1273">
        <v>40</v>
      </c>
      <c r="W20" s="1273">
        <v>50</v>
      </c>
      <c r="X20" s="1273">
        <v>60</v>
      </c>
      <c r="Y20" s="1273">
        <v>70</v>
      </c>
      <c r="Z20" s="1273">
        <v>80</v>
      </c>
      <c r="AA20" s="1267"/>
      <c r="AB20" s="1273" t="s">
        <v>874</v>
      </c>
      <c r="AC20" s="1273" t="s">
        <v>869</v>
      </c>
      <c r="AD20" s="1273">
        <v>10</v>
      </c>
      <c r="AE20" s="1273">
        <v>20</v>
      </c>
      <c r="AF20" s="1273">
        <v>30</v>
      </c>
      <c r="AG20" s="1273">
        <v>40</v>
      </c>
      <c r="AH20" s="1273">
        <v>50</v>
      </c>
      <c r="AI20" s="1273">
        <v>60</v>
      </c>
      <c r="AJ20" s="1273">
        <v>70</v>
      </c>
      <c r="AK20" s="1273">
        <v>80</v>
      </c>
      <c r="AL20" s="1267"/>
      <c r="AM20" s="1273" t="s">
        <v>875</v>
      </c>
      <c r="AN20" s="1273">
        <v>10</v>
      </c>
      <c r="AO20" s="1273">
        <v>20</v>
      </c>
      <c r="AP20" s="1273">
        <v>30</v>
      </c>
      <c r="AQ20" s="1273">
        <v>40</v>
      </c>
      <c r="AR20" s="1273">
        <v>50</v>
      </c>
      <c r="AS20" s="1273">
        <v>60</v>
      </c>
      <c r="AT20" s="1273">
        <v>70</v>
      </c>
      <c r="AU20" s="1273">
        <v>80</v>
      </c>
    </row>
    <row r="21" spans="1:47">
      <c r="A21" s="1275">
        <v>0</v>
      </c>
      <c r="B21" s="1276">
        <f>C21</f>
        <v>0.15</v>
      </c>
      <c r="C21" s="1277">
        <v>0.15</v>
      </c>
      <c r="D21" s="1276">
        <f>(C21+E21)/2</f>
        <v>0.15</v>
      </c>
      <c r="E21" s="1277">
        <v>0.15</v>
      </c>
      <c r="F21" s="1276">
        <f>(E21+G21)/2</f>
        <v>0.15</v>
      </c>
      <c r="G21" s="1277">
        <v>0.15</v>
      </c>
      <c r="H21" s="1276">
        <f>(G21+I21)/2</f>
        <v>0.15</v>
      </c>
      <c r="I21" s="1277">
        <v>0.15</v>
      </c>
      <c r="J21" s="1276">
        <f>(I21+K21)/2</f>
        <v>0.15</v>
      </c>
      <c r="K21" s="1277">
        <v>0.15</v>
      </c>
      <c r="L21" s="1276">
        <f>(K21+M21)/2</f>
        <v>0.15</v>
      </c>
      <c r="M21" s="1277">
        <v>0.15</v>
      </c>
      <c r="N21" s="1276">
        <f>(M21+O21)/2</f>
        <v>0.15</v>
      </c>
      <c r="O21" s="1277">
        <v>0.15</v>
      </c>
      <c r="P21" s="1267"/>
      <c r="Q21" s="1275" t="s">
        <v>876</v>
      </c>
      <c r="R21" s="1286">
        <f t="shared" ref="R21:R30" si="29">R7</f>
        <v>0</v>
      </c>
      <c r="S21" s="1279">
        <f>HLOOKUP(INT($R21),$B$20:$O$31,3)+(HLOOKUP(INT($R21)+1,$B$20:$O$31,3)-HLOOKUP(INT($R21),$B$20:$O$31,3))*($R21-INT($R21))</f>
        <v>0.65</v>
      </c>
      <c r="T21" s="1279">
        <f>HLOOKUP(INT($R21),$B$20:$O$31,4)+(HLOOKUP(INT($R21)+1,$B$20:$O$31,4)-HLOOKUP(INT($R21),$B$20:$O$31,4))*($R21-INT($R21))</f>
        <v>1.4</v>
      </c>
      <c r="U21" s="1279">
        <f>HLOOKUP(INT($R21),$B$20:$O$31,5)+(HLOOKUP(INT($R21)+1,$B$20:$O$31,5)-HLOOKUP(INT($R21),$B$20:$O$31,5))*($R21-INT($R21))</f>
        <v>1.2</v>
      </c>
      <c r="V21" s="1279">
        <f>HLOOKUP(INT($R21),$B$20:$O$31,6)+(HLOOKUP(INT($R21)+1,$B$20:$O$31,6)-HLOOKUP(INT($R21),$B$20:$O$31,6))*($R21-INT($R21))</f>
        <v>1</v>
      </c>
      <c r="W21" s="1279">
        <f>HLOOKUP(INT($R21),$B$20:$O$31,7)+(HLOOKUP(INT($R21)+1,$B$20:$O$31,7)-HLOOKUP(INT($R21),$B$20:$O$31,7))*($R21-INT($R21))</f>
        <v>0.9</v>
      </c>
      <c r="X21" s="1279">
        <f>HLOOKUP(INT($R21),$B$20:$O$31,8)+(HLOOKUP(INT($R21)+1,$B$20:$O$31,8)-HLOOKUP(INT($R21),$B$20:$O$31,8))*($R21-INT($R21))</f>
        <v>0.8</v>
      </c>
      <c r="Y21" s="1279">
        <f>HLOOKUP(INT($R21),$B$20:$O$31,9)+(HLOOKUP(INT($R21)+1,$B$20:$O$31,9)-HLOOKUP(INT($R21),$B$20:$O$31,9))*($R21-INT($R21))</f>
        <v>0.8</v>
      </c>
      <c r="Z21" s="1279">
        <f>HLOOKUP(INT($R21),$B$20:$O$31,10)+(HLOOKUP(INT($R21)+1,$B$20:$O$31,10)-HLOOKUP(INT($R21),$B$20:$O$31,10))*($R21-INT($R21))</f>
        <v>0.8</v>
      </c>
      <c r="AA21" s="1267"/>
      <c r="AB21" s="1275" t="s">
        <v>876</v>
      </c>
      <c r="AC21" s="1286">
        <f t="shared" ref="AC21:AC30" si="30">AC7</f>
        <v>1.784</v>
      </c>
      <c r="AD21" s="1279">
        <f>HLOOKUP(INT($AC21),$B$20:$O$31,3)+(HLOOKUP(INT($AC21)+1,$B$20:$O$31,3)-HLOOKUP(INT($AC21),$B$20:$O$31,3))*($AC21-INT($AC21))</f>
        <v>0.73919999999999997</v>
      </c>
      <c r="AE21" s="1279">
        <f>HLOOKUP(INT($AC21),$B$20:$O$31,4)+(HLOOKUP(INT($AC21)+1,$B$20:$O$31,4)-HLOOKUP(INT($AC21),$B$20:$O$31,4))*($AC21-INT($AC21))</f>
        <v>1.623</v>
      </c>
      <c r="AF21" s="1279">
        <f>HLOOKUP(INT($AC21),$B$20:$O$31,5)+(HLOOKUP(INT($AC21)+1,$B$20:$O$31,5)-HLOOKUP(INT($AC21),$B$20:$O$31,5))*($AC21-INT($AC21))</f>
        <v>1.4676</v>
      </c>
      <c r="AG21" s="1279">
        <f>HLOOKUP(INT($AC21),$B$20:$O$31,6)+(HLOOKUP(INT($AC21)+1,$B$20:$O$31,6)-HLOOKUP(INT($AC21),$B$20:$O$31,6))*($AC21-INT($AC21))</f>
        <v>1.3122</v>
      </c>
      <c r="AH21" s="1279">
        <f>HLOOKUP(INT($AC21),$B$20:$O$31,7)+(HLOOKUP(INT($AC21)+1,$B$20:$O$31,7)-HLOOKUP(INT($AC21),$B$20:$O$31,7))*($AC21-INT($AC21))</f>
        <v>1.2568000000000001</v>
      </c>
      <c r="AI21" s="1279">
        <f>HLOOKUP(INT($AC21),$B$20:$O$31,8)+(HLOOKUP(INT($AC21)+1,$B$20:$O$31,8)-HLOOKUP(INT($AC21),$B$20:$O$31,8))*($AC21-INT($AC21))</f>
        <v>1.1568000000000001</v>
      </c>
      <c r="AJ21" s="1279">
        <f>HLOOKUP(INT($AC21),$B$20:$O$31,9)+(HLOOKUP(INT($AC21)+1,$B$20:$O$31,9)-HLOOKUP(INT($AC21),$B$20:$O$31,9))*($AC21-INT($AC21))</f>
        <v>1.0230000000000001</v>
      </c>
      <c r="AK21" s="1279">
        <f>HLOOKUP(INT($AC21),$B$20:$O$31,10)+(HLOOKUP(INT($AC21)+1,$B$20:$O$31,10)-HLOOKUP(INT($AC21),$B$20:$O$31,10))*($AC21-INT($AC21))</f>
        <v>1.0230000000000001</v>
      </c>
      <c r="AL21" s="1267"/>
      <c r="AM21" s="1280" t="s">
        <v>869</v>
      </c>
      <c r="AN21" s="1278">
        <f>R30</f>
        <v>0</v>
      </c>
      <c r="AO21" s="1281">
        <f>AN21</f>
        <v>0</v>
      </c>
      <c r="AP21" s="1281">
        <f t="shared" ref="AP21:AU21" si="31">AO21</f>
        <v>0</v>
      </c>
      <c r="AQ21" s="1281">
        <f t="shared" si="31"/>
        <v>0</v>
      </c>
      <c r="AR21" s="1281">
        <f t="shared" si="31"/>
        <v>0</v>
      </c>
      <c r="AS21" s="1281">
        <f t="shared" si="31"/>
        <v>0</v>
      </c>
      <c r="AT21" s="1281">
        <f t="shared" si="31"/>
        <v>0</v>
      </c>
      <c r="AU21" s="1281">
        <f t="shared" si="31"/>
        <v>0</v>
      </c>
    </row>
    <row r="22" spans="1:47">
      <c r="A22" s="1282">
        <v>10</v>
      </c>
      <c r="B22" s="1283">
        <f t="shared" ref="B22:B31" si="32">C22</f>
        <v>0.4</v>
      </c>
      <c r="C22" s="1284">
        <v>0.4</v>
      </c>
      <c r="D22" s="1283">
        <f t="shared" ref="D22:D31" si="33">(C22+E22)/2</f>
        <v>0.42500000000000004</v>
      </c>
      <c r="E22" s="1284">
        <v>0.45</v>
      </c>
      <c r="F22" s="1283">
        <f t="shared" ref="F22:F31" si="34">(E22+G22)/2</f>
        <v>0.5</v>
      </c>
      <c r="G22" s="1284">
        <v>0.55000000000000004</v>
      </c>
      <c r="H22" s="1283">
        <f t="shared" ref="H22:H31" si="35">(G22+I22)/2</f>
        <v>0.60000000000000009</v>
      </c>
      <c r="I22" s="1284">
        <v>0.65</v>
      </c>
      <c r="J22" s="1283">
        <f t="shared" ref="J22:J31" si="36">(I22+K22)/2</f>
        <v>0.7</v>
      </c>
      <c r="K22" s="1284">
        <v>0.75</v>
      </c>
      <c r="L22" s="1283">
        <f t="shared" ref="L22:L31" si="37">(K22+M22)/2</f>
        <v>0.82499999999999996</v>
      </c>
      <c r="M22" s="1284">
        <v>0.9</v>
      </c>
      <c r="N22" s="1283">
        <f t="shared" ref="N22:N31" si="38">(M22+O22)/2</f>
        <v>0.95</v>
      </c>
      <c r="O22" s="1284">
        <v>1</v>
      </c>
      <c r="P22" s="1267"/>
      <c r="Q22" s="1275" t="s">
        <v>3</v>
      </c>
      <c r="R22" s="1286">
        <f t="shared" si="29"/>
        <v>0</v>
      </c>
      <c r="S22" s="1279">
        <f t="shared" ref="S22:S30" si="39">HLOOKUP(INT($R22),$B$20:$O$31,3)+(HLOOKUP(INT($R22)+1,$B$20:$O$31,3)-HLOOKUP(INT($R22),$B$20:$O$31,3))*($R22-INT($R22))</f>
        <v>0.65</v>
      </c>
      <c r="T22" s="1279">
        <f t="shared" ref="T22:T30" si="40">HLOOKUP(INT($R22),$B$20:$O$31,4)+(HLOOKUP(INT($R22)+1,$B$20:$O$31,4)-HLOOKUP(INT($R22),$B$20:$O$31,4))*($R22-INT($R22))</f>
        <v>1.4</v>
      </c>
      <c r="U22" s="1279">
        <f t="shared" ref="U22:U30" si="41">HLOOKUP(INT($R22),$B$20:$O$31,5)+(HLOOKUP(INT($R22)+1,$B$20:$O$31,5)-HLOOKUP(INT($R22),$B$20:$O$31,5))*($R22-INT($R22))</f>
        <v>1.2</v>
      </c>
      <c r="V22" s="1279">
        <f t="shared" ref="V22:V30" si="42">HLOOKUP(INT($R22),$B$20:$O$31,6)+(HLOOKUP(INT($R22)+1,$B$20:$O$31,6)-HLOOKUP(INT($R22),$B$20:$O$31,6))*($R22-INT($R22))</f>
        <v>1</v>
      </c>
      <c r="W22" s="1279">
        <f t="shared" ref="W22:W30" si="43">HLOOKUP(INT($R22),$B$20:$O$31,7)+(HLOOKUP(INT($R22)+1,$B$20:$O$31,7)-HLOOKUP(INT($R22),$B$20:$O$31,7))*($R22-INT($R22))</f>
        <v>0.9</v>
      </c>
      <c r="X22" s="1279">
        <f t="shared" ref="X22:X30" si="44">HLOOKUP(INT($R22),$B$20:$O$31,8)+(HLOOKUP(INT($R22)+1,$B$20:$O$31,8)-HLOOKUP(INT($R22),$B$20:$O$31,8))*($R22-INT($R22))</f>
        <v>0.8</v>
      </c>
      <c r="Y22" s="1279">
        <f t="shared" ref="Y22:Y30" si="45">HLOOKUP(INT($R22),$B$20:$O$31,9)+(HLOOKUP(INT($R22)+1,$B$20:$O$31,9)-HLOOKUP(INT($R22),$B$20:$O$31,9))*($R22-INT($R22))</f>
        <v>0.8</v>
      </c>
      <c r="Z22" s="1279">
        <f t="shared" ref="Z22:Z30" si="46">HLOOKUP(INT($R22),$B$20:$O$31,10)+(HLOOKUP(INT($R22)+1,$B$20:$O$31,10)-HLOOKUP(INT($R22),$B$20:$O$31,10))*($R22-INT($R22))</f>
        <v>0.8</v>
      </c>
      <c r="AA22" s="1267"/>
      <c r="AB22" s="1275" t="s">
        <v>3</v>
      </c>
      <c r="AC22" s="1286">
        <f t="shared" si="30"/>
        <v>0</v>
      </c>
      <c r="AD22" s="1279">
        <f t="shared" ref="AD22:AD30" si="47">HLOOKUP(INT($AC22),$B$20:$O$31,3)+(HLOOKUP(INT($AC22)+1,$B$20:$O$31,3)-HLOOKUP(INT($AC22),$B$20:$O$31,3))*($AC22-INT($AC22))</f>
        <v>0.65</v>
      </c>
      <c r="AE22" s="1279">
        <f t="shared" ref="AE22:AE30" si="48">HLOOKUP(INT($AC22),$B$20:$O$31,4)+(HLOOKUP(INT($AC22)+1,$B$20:$O$31,4)-HLOOKUP(INT($AC22),$B$20:$O$31,4))*($AC22-INT($AC22))</f>
        <v>1.4</v>
      </c>
      <c r="AF22" s="1279">
        <f t="shared" ref="AF22:AF30" si="49">HLOOKUP(INT($AC22),$B$20:$O$31,5)+(HLOOKUP(INT($AC22)+1,$B$20:$O$31,5)-HLOOKUP(INT($AC22),$B$20:$O$31,5))*($AC22-INT($AC22))</f>
        <v>1.2</v>
      </c>
      <c r="AG22" s="1279">
        <f t="shared" ref="AG22:AG30" si="50">HLOOKUP(INT($AC22),$B$20:$O$31,6)+(HLOOKUP(INT($AC22)+1,$B$20:$O$31,6)-HLOOKUP(INT($AC22),$B$20:$O$31,6))*($AC22-INT($AC22))</f>
        <v>1</v>
      </c>
      <c r="AH22" s="1279">
        <f t="shared" ref="AH22:AH30" si="51">HLOOKUP(INT($AC22),$B$20:$O$31,7)+(HLOOKUP(INT($AC22)+1,$B$20:$O$31,7)-HLOOKUP(INT($AC22),$B$20:$O$31,7))*($AC22-INT($AC22))</f>
        <v>0.9</v>
      </c>
      <c r="AI22" s="1279">
        <f t="shared" ref="AI22:AI30" si="52">HLOOKUP(INT($AC22),$B$20:$O$31,8)+(HLOOKUP(INT($AC22)+1,$B$20:$O$31,8)-HLOOKUP(INT($AC22),$B$20:$O$31,8))*($AC22-INT($AC22))</f>
        <v>0.8</v>
      </c>
      <c r="AJ22" s="1279">
        <f t="shared" ref="AJ22:AJ30" si="53">HLOOKUP(INT($AC22),$B$20:$O$31,9)+(HLOOKUP(INT($AC22)+1,$B$20:$O$31,9)-HLOOKUP(INT($AC22),$B$20:$O$31,9))*($AC22-INT($AC22))</f>
        <v>0.8</v>
      </c>
      <c r="AK22" s="1279">
        <f t="shared" ref="AK22:AK30" si="54">HLOOKUP(INT($AC22),$B$20:$O$31,10)+(HLOOKUP(INT($AC22)+1,$B$20:$O$31,10)-HLOOKUP(INT($AC22),$B$20:$O$31,10))*($AC22-INT($AC22))</f>
        <v>0.8</v>
      </c>
      <c r="AL22" s="1267"/>
      <c r="AM22" s="1267" t="s">
        <v>877</v>
      </c>
      <c r="AN22" s="1279">
        <f t="shared" ref="AN22:AU22" si="55">AN25+(AN27-AN25)*(AN21-AN24)</f>
        <v>0.65</v>
      </c>
      <c r="AO22" s="1279">
        <f t="shared" si="55"/>
        <v>1.4</v>
      </c>
      <c r="AP22" s="1279">
        <f t="shared" si="55"/>
        <v>1.2</v>
      </c>
      <c r="AQ22" s="1279">
        <f t="shared" si="55"/>
        <v>1</v>
      </c>
      <c r="AR22" s="1279">
        <f t="shared" si="55"/>
        <v>0.9</v>
      </c>
      <c r="AS22" s="1279">
        <f t="shared" si="55"/>
        <v>0.8</v>
      </c>
      <c r="AT22" s="1279">
        <f t="shared" si="55"/>
        <v>0.8</v>
      </c>
      <c r="AU22" s="1279">
        <f t="shared" si="55"/>
        <v>0.8</v>
      </c>
    </row>
    <row r="23" spans="1:47">
      <c r="A23" s="1282">
        <v>20</v>
      </c>
      <c r="B23" s="1283">
        <f t="shared" si="32"/>
        <v>0.45</v>
      </c>
      <c r="C23" s="1284">
        <v>0.45</v>
      </c>
      <c r="D23" s="1283">
        <f t="shared" si="33"/>
        <v>0.47499999999999998</v>
      </c>
      <c r="E23" s="1284">
        <v>0.5</v>
      </c>
      <c r="F23" s="1283">
        <f t="shared" si="34"/>
        <v>0.57499999999999996</v>
      </c>
      <c r="G23" s="1284">
        <v>0.65</v>
      </c>
      <c r="H23" s="1283">
        <f t="shared" si="35"/>
        <v>1.0249999999999999</v>
      </c>
      <c r="I23" s="1284">
        <v>1.4</v>
      </c>
      <c r="J23" s="1283">
        <f t="shared" si="36"/>
        <v>1.5249999999999999</v>
      </c>
      <c r="K23" s="1284">
        <v>1.65</v>
      </c>
      <c r="L23" s="1283">
        <f t="shared" si="37"/>
        <v>1.7250000000000001</v>
      </c>
      <c r="M23" s="1284">
        <v>1.8</v>
      </c>
      <c r="N23" s="1283">
        <f t="shared" si="38"/>
        <v>1.9249999999999998</v>
      </c>
      <c r="O23" s="1284">
        <v>2.0499999999999998</v>
      </c>
      <c r="P23" s="1267"/>
      <c r="Q23" s="1275" t="s">
        <v>878</v>
      </c>
      <c r="R23" s="1286">
        <f t="shared" si="29"/>
        <v>0</v>
      </c>
      <c r="S23" s="1279">
        <f t="shared" si="39"/>
        <v>0.65</v>
      </c>
      <c r="T23" s="1279">
        <f t="shared" si="40"/>
        <v>1.4</v>
      </c>
      <c r="U23" s="1279">
        <f t="shared" si="41"/>
        <v>1.2</v>
      </c>
      <c r="V23" s="1279">
        <f t="shared" si="42"/>
        <v>1</v>
      </c>
      <c r="W23" s="1279">
        <f t="shared" si="43"/>
        <v>0.9</v>
      </c>
      <c r="X23" s="1279">
        <f t="shared" si="44"/>
        <v>0.8</v>
      </c>
      <c r="Y23" s="1279">
        <f t="shared" si="45"/>
        <v>0.8</v>
      </c>
      <c r="Z23" s="1279">
        <f t="shared" si="46"/>
        <v>0.8</v>
      </c>
      <c r="AA23" s="1267"/>
      <c r="AB23" s="1275" t="s">
        <v>878</v>
      </c>
      <c r="AC23" s="1286">
        <f t="shared" si="30"/>
        <v>0</v>
      </c>
      <c r="AD23" s="1279">
        <f t="shared" si="47"/>
        <v>0.65</v>
      </c>
      <c r="AE23" s="1279">
        <f t="shared" si="48"/>
        <v>1.4</v>
      </c>
      <c r="AF23" s="1279">
        <f t="shared" si="49"/>
        <v>1.2</v>
      </c>
      <c r="AG23" s="1279">
        <f t="shared" si="50"/>
        <v>1</v>
      </c>
      <c r="AH23" s="1279">
        <f t="shared" si="51"/>
        <v>0.9</v>
      </c>
      <c r="AI23" s="1279">
        <f t="shared" si="52"/>
        <v>0.8</v>
      </c>
      <c r="AJ23" s="1279">
        <f t="shared" si="53"/>
        <v>0.8</v>
      </c>
      <c r="AK23" s="1279">
        <f t="shared" si="54"/>
        <v>0.8</v>
      </c>
      <c r="AL23" s="1267"/>
      <c r="AM23" s="1267"/>
      <c r="AN23" s="1275"/>
      <c r="AO23" s="1275"/>
      <c r="AP23" s="1275"/>
      <c r="AQ23" s="1275"/>
      <c r="AR23" s="1275"/>
      <c r="AS23" s="1275"/>
      <c r="AT23" s="1275"/>
      <c r="AU23" s="1275"/>
    </row>
    <row r="24" spans="1:47">
      <c r="A24" s="1282">
        <v>30</v>
      </c>
      <c r="B24" s="1283">
        <f t="shared" si="32"/>
        <v>0.45</v>
      </c>
      <c r="C24" s="1284">
        <v>0.45</v>
      </c>
      <c r="D24" s="1283">
        <f t="shared" si="33"/>
        <v>0.52500000000000002</v>
      </c>
      <c r="E24" s="1284">
        <v>0.6</v>
      </c>
      <c r="F24" s="1283">
        <f t="shared" si="34"/>
        <v>0.64999999999999991</v>
      </c>
      <c r="G24" s="1284">
        <v>0.7</v>
      </c>
      <c r="H24" s="1283">
        <f t="shared" si="35"/>
        <v>0.95</v>
      </c>
      <c r="I24" s="1284">
        <v>1.2</v>
      </c>
      <c r="J24" s="1283">
        <f t="shared" si="36"/>
        <v>1.35</v>
      </c>
      <c r="K24" s="1284">
        <v>1.5</v>
      </c>
      <c r="L24" s="1283">
        <f t="shared" si="37"/>
        <v>1.625</v>
      </c>
      <c r="M24" s="1284">
        <v>1.75</v>
      </c>
      <c r="N24" s="1283">
        <f t="shared" si="38"/>
        <v>1.85</v>
      </c>
      <c r="O24" s="1284">
        <v>1.95</v>
      </c>
      <c r="P24" s="1267"/>
      <c r="Q24" s="1275" t="s">
        <v>879</v>
      </c>
      <c r="R24" s="1286">
        <f t="shared" si="29"/>
        <v>0</v>
      </c>
      <c r="S24" s="1279">
        <f t="shared" si="39"/>
        <v>0.65</v>
      </c>
      <c r="T24" s="1279">
        <f t="shared" si="40"/>
        <v>1.4</v>
      </c>
      <c r="U24" s="1279">
        <f t="shared" si="41"/>
        <v>1.2</v>
      </c>
      <c r="V24" s="1279">
        <f t="shared" si="42"/>
        <v>1</v>
      </c>
      <c r="W24" s="1279">
        <f t="shared" si="43"/>
        <v>0.9</v>
      </c>
      <c r="X24" s="1279">
        <f t="shared" si="44"/>
        <v>0.8</v>
      </c>
      <c r="Y24" s="1279">
        <f t="shared" si="45"/>
        <v>0.8</v>
      </c>
      <c r="Z24" s="1279">
        <f t="shared" si="46"/>
        <v>0.8</v>
      </c>
      <c r="AA24" s="1267"/>
      <c r="AB24" s="1275" t="s">
        <v>879</v>
      </c>
      <c r="AC24" s="1286">
        <f t="shared" si="30"/>
        <v>0</v>
      </c>
      <c r="AD24" s="1279">
        <f t="shared" si="47"/>
        <v>0.65</v>
      </c>
      <c r="AE24" s="1279">
        <f t="shared" si="48"/>
        <v>1.4</v>
      </c>
      <c r="AF24" s="1279">
        <f t="shared" si="49"/>
        <v>1.2</v>
      </c>
      <c r="AG24" s="1279">
        <f t="shared" si="50"/>
        <v>1</v>
      </c>
      <c r="AH24" s="1279">
        <f t="shared" si="51"/>
        <v>0.9</v>
      </c>
      <c r="AI24" s="1279">
        <f t="shared" si="52"/>
        <v>0.8</v>
      </c>
      <c r="AJ24" s="1279">
        <f t="shared" si="53"/>
        <v>0.8</v>
      </c>
      <c r="AK24" s="1279">
        <f t="shared" si="54"/>
        <v>0.8</v>
      </c>
      <c r="AL24" s="1267"/>
      <c r="AM24" s="1285" t="s">
        <v>880</v>
      </c>
      <c r="AN24" s="1286">
        <f>INT(AN21)</f>
        <v>0</v>
      </c>
      <c r="AO24" s="1286">
        <f t="shared" ref="AO24:AU24" si="56">INT(AO21)</f>
        <v>0</v>
      </c>
      <c r="AP24" s="1286">
        <f t="shared" si="56"/>
        <v>0</v>
      </c>
      <c r="AQ24" s="1286">
        <f t="shared" si="56"/>
        <v>0</v>
      </c>
      <c r="AR24" s="1286">
        <f t="shared" si="56"/>
        <v>0</v>
      </c>
      <c r="AS24" s="1286">
        <f t="shared" si="56"/>
        <v>0</v>
      </c>
      <c r="AT24" s="1286">
        <f t="shared" si="56"/>
        <v>0</v>
      </c>
      <c r="AU24" s="1286">
        <f t="shared" si="56"/>
        <v>0</v>
      </c>
    </row>
    <row r="25" spans="1:47">
      <c r="A25" s="1287">
        <v>40</v>
      </c>
      <c r="B25" s="1288">
        <f t="shared" si="32"/>
        <v>0.45</v>
      </c>
      <c r="C25" s="1289">
        <v>0.45</v>
      </c>
      <c r="D25" s="1288">
        <f t="shared" si="33"/>
        <v>0.52500000000000002</v>
      </c>
      <c r="E25" s="1289">
        <v>0.6</v>
      </c>
      <c r="F25" s="1288">
        <f t="shared" si="34"/>
        <v>0.64999999999999991</v>
      </c>
      <c r="G25" s="1289">
        <v>0.7</v>
      </c>
      <c r="H25" s="1288">
        <f t="shared" si="35"/>
        <v>0.85</v>
      </c>
      <c r="I25" s="1289">
        <v>1</v>
      </c>
      <c r="J25" s="1288">
        <f t="shared" si="36"/>
        <v>1.175</v>
      </c>
      <c r="K25" s="1289">
        <v>1.35</v>
      </c>
      <c r="L25" s="1288">
        <f t="shared" si="37"/>
        <v>1.4750000000000001</v>
      </c>
      <c r="M25" s="1289">
        <v>1.6</v>
      </c>
      <c r="N25" s="1288">
        <f t="shared" si="38"/>
        <v>1.7250000000000001</v>
      </c>
      <c r="O25" s="1289">
        <v>1.85</v>
      </c>
      <c r="P25" s="1267"/>
      <c r="Q25" s="1275" t="s">
        <v>881</v>
      </c>
      <c r="R25" s="1286">
        <f t="shared" si="29"/>
        <v>0</v>
      </c>
      <c r="S25" s="1279">
        <f t="shared" si="39"/>
        <v>0.65</v>
      </c>
      <c r="T25" s="1279">
        <f t="shared" si="40"/>
        <v>1.4</v>
      </c>
      <c r="U25" s="1279">
        <f t="shared" si="41"/>
        <v>1.2</v>
      </c>
      <c r="V25" s="1279">
        <f t="shared" si="42"/>
        <v>1</v>
      </c>
      <c r="W25" s="1279">
        <f t="shared" si="43"/>
        <v>0.9</v>
      </c>
      <c r="X25" s="1279">
        <f t="shared" si="44"/>
        <v>0.8</v>
      </c>
      <c r="Y25" s="1279">
        <f t="shared" si="45"/>
        <v>0.8</v>
      </c>
      <c r="Z25" s="1279">
        <f t="shared" si="46"/>
        <v>0.8</v>
      </c>
      <c r="AA25" s="1267"/>
      <c r="AB25" s="1275" t="s">
        <v>881</v>
      </c>
      <c r="AC25" s="1286">
        <f t="shared" si="30"/>
        <v>0</v>
      </c>
      <c r="AD25" s="1279">
        <f t="shared" si="47"/>
        <v>0.65</v>
      </c>
      <c r="AE25" s="1279">
        <f t="shared" si="48"/>
        <v>1.4</v>
      </c>
      <c r="AF25" s="1279">
        <f t="shared" si="49"/>
        <v>1.2</v>
      </c>
      <c r="AG25" s="1279">
        <f t="shared" si="50"/>
        <v>1</v>
      </c>
      <c r="AH25" s="1279">
        <f t="shared" si="51"/>
        <v>0.9</v>
      </c>
      <c r="AI25" s="1279">
        <f t="shared" si="52"/>
        <v>0.8</v>
      </c>
      <c r="AJ25" s="1279">
        <f t="shared" si="53"/>
        <v>0.8</v>
      </c>
      <c r="AK25" s="1279">
        <f t="shared" si="54"/>
        <v>0.8</v>
      </c>
      <c r="AL25" s="1267"/>
      <c r="AM25" s="1285" t="s">
        <v>882</v>
      </c>
      <c r="AN25" s="1290">
        <f t="shared" ref="AN25:AU25" si="57">HLOOKUP(AN24,$B$20:$O$31,AN28)</f>
        <v>0.65</v>
      </c>
      <c r="AO25" s="1290">
        <f t="shared" si="57"/>
        <v>1.4</v>
      </c>
      <c r="AP25" s="1290">
        <f t="shared" si="57"/>
        <v>1.2</v>
      </c>
      <c r="AQ25" s="1290">
        <f t="shared" si="57"/>
        <v>1</v>
      </c>
      <c r="AR25" s="1290">
        <f t="shared" si="57"/>
        <v>0.9</v>
      </c>
      <c r="AS25" s="1290">
        <f t="shared" si="57"/>
        <v>0.8</v>
      </c>
      <c r="AT25" s="1290">
        <f t="shared" si="57"/>
        <v>0.8</v>
      </c>
      <c r="AU25" s="1290">
        <f t="shared" si="57"/>
        <v>0.8</v>
      </c>
    </row>
    <row r="26" spans="1:47">
      <c r="A26" s="1287">
        <v>50</v>
      </c>
      <c r="B26" s="1288">
        <f t="shared" si="32"/>
        <v>0.5</v>
      </c>
      <c r="C26" s="1289">
        <v>0.5</v>
      </c>
      <c r="D26" s="1288">
        <f t="shared" si="33"/>
        <v>0.52500000000000002</v>
      </c>
      <c r="E26" s="1289">
        <v>0.55000000000000004</v>
      </c>
      <c r="F26" s="1288">
        <f t="shared" si="34"/>
        <v>0.625</v>
      </c>
      <c r="G26" s="1289">
        <v>0.7</v>
      </c>
      <c r="H26" s="1288">
        <f t="shared" si="35"/>
        <v>0.8</v>
      </c>
      <c r="I26" s="1289">
        <v>0.9</v>
      </c>
      <c r="J26" s="1288">
        <f t="shared" si="36"/>
        <v>1.1000000000000001</v>
      </c>
      <c r="K26" s="1289">
        <v>1.3</v>
      </c>
      <c r="L26" s="1288">
        <f t="shared" si="37"/>
        <v>1.425</v>
      </c>
      <c r="M26" s="1289">
        <v>1.55</v>
      </c>
      <c r="N26" s="1288">
        <f t="shared" si="38"/>
        <v>1.675</v>
      </c>
      <c r="O26" s="1289">
        <v>1.8</v>
      </c>
      <c r="P26" s="1267"/>
      <c r="Q26" s="1275" t="s">
        <v>883</v>
      </c>
      <c r="R26" s="1286">
        <f t="shared" si="29"/>
        <v>0</v>
      </c>
      <c r="S26" s="1279">
        <f t="shared" si="39"/>
        <v>0.65</v>
      </c>
      <c r="T26" s="1279">
        <f t="shared" si="40"/>
        <v>1.4</v>
      </c>
      <c r="U26" s="1279">
        <f t="shared" si="41"/>
        <v>1.2</v>
      </c>
      <c r="V26" s="1279">
        <f t="shared" si="42"/>
        <v>1</v>
      </c>
      <c r="W26" s="1279">
        <f t="shared" si="43"/>
        <v>0.9</v>
      </c>
      <c r="X26" s="1279">
        <f t="shared" si="44"/>
        <v>0.8</v>
      </c>
      <c r="Y26" s="1279">
        <f t="shared" si="45"/>
        <v>0.8</v>
      </c>
      <c r="Z26" s="1279">
        <f t="shared" si="46"/>
        <v>0.8</v>
      </c>
      <c r="AA26" s="1267"/>
      <c r="AB26" s="1275" t="s">
        <v>883</v>
      </c>
      <c r="AC26" s="1286">
        <f t="shared" si="30"/>
        <v>0</v>
      </c>
      <c r="AD26" s="1279">
        <f t="shared" si="47"/>
        <v>0.65</v>
      </c>
      <c r="AE26" s="1279">
        <f t="shared" si="48"/>
        <v>1.4</v>
      </c>
      <c r="AF26" s="1279">
        <f t="shared" si="49"/>
        <v>1.2</v>
      </c>
      <c r="AG26" s="1279">
        <f t="shared" si="50"/>
        <v>1</v>
      </c>
      <c r="AH26" s="1279">
        <f t="shared" si="51"/>
        <v>0.9</v>
      </c>
      <c r="AI26" s="1279">
        <f t="shared" si="52"/>
        <v>0.8</v>
      </c>
      <c r="AJ26" s="1279">
        <f t="shared" si="53"/>
        <v>0.8</v>
      </c>
      <c r="AK26" s="1279">
        <f t="shared" si="54"/>
        <v>0.8</v>
      </c>
      <c r="AL26" s="1267"/>
      <c r="AM26" s="1285" t="s">
        <v>884</v>
      </c>
      <c r="AN26" s="1286">
        <f>AN24+1</f>
        <v>1</v>
      </c>
      <c r="AO26" s="1286">
        <f t="shared" ref="AO26:AU26" si="58">AO24+1</f>
        <v>1</v>
      </c>
      <c r="AP26" s="1286">
        <f t="shared" si="58"/>
        <v>1</v>
      </c>
      <c r="AQ26" s="1286">
        <f t="shared" si="58"/>
        <v>1</v>
      </c>
      <c r="AR26" s="1286">
        <f t="shared" si="58"/>
        <v>1</v>
      </c>
      <c r="AS26" s="1286">
        <f t="shared" si="58"/>
        <v>1</v>
      </c>
      <c r="AT26" s="1286">
        <f t="shared" si="58"/>
        <v>1</v>
      </c>
      <c r="AU26" s="1286">
        <f t="shared" si="58"/>
        <v>1</v>
      </c>
    </row>
    <row r="27" spans="1:47">
      <c r="A27" s="1287">
        <v>60</v>
      </c>
      <c r="B27" s="1288">
        <f t="shared" si="32"/>
        <v>0.5</v>
      </c>
      <c r="C27" s="1289">
        <v>0.5</v>
      </c>
      <c r="D27" s="1288">
        <f t="shared" si="33"/>
        <v>0.52500000000000002</v>
      </c>
      <c r="E27" s="1289">
        <v>0.55000000000000004</v>
      </c>
      <c r="F27" s="1288">
        <f t="shared" si="34"/>
        <v>0.57499999999999996</v>
      </c>
      <c r="G27" s="1289">
        <v>0.6</v>
      </c>
      <c r="H27" s="1288">
        <f t="shared" si="35"/>
        <v>0.7</v>
      </c>
      <c r="I27" s="1289">
        <v>0.8</v>
      </c>
      <c r="J27" s="1288">
        <f t="shared" si="36"/>
        <v>1</v>
      </c>
      <c r="K27" s="1289">
        <v>1.2</v>
      </c>
      <c r="L27" s="1288">
        <f t="shared" si="37"/>
        <v>1.35</v>
      </c>
      <c r="M27" s="1289">
        <v>1.5</v>
      </c>
      <c r="N27" s="1288">
        <f t="shared" si="38"/>
        <v>1.65</v>
      </c>
      <c r="O27" s="1289">
        <v>1.8</v>
      </c>
      <c r="P27" s="1267"/>
      <c r="Q27" s="1275" t="s">
        <v>885</v>
      </c>
      <c r="R27" s="1286">
        <f t="shared" si="29"/>
        <v>0</v>
      </c>
      <c r="S27" s="1279">
        <f t="shared" si="39"/>
        <v>0.65</v>
      </c>
      <c r="T27" s="1279">
        <f t="shared" si="40"/>
        <v>1.4</v>
      </c>
      <c r="U27" s="1279">
        <f t="shared" si="41"/>
        <v>1.2</v>
      </c>
      <c r="V27" s="1279">
        <f t="shared" si="42"/>
        <v>1</v>
      </c>
      <c r="W27" s="1279">
        <f t="shared" si="43"/>
        <v>0.9</v>
      </c>
      <c r="X27" s="1279">
        <f t="shared" si="44"/>
        <v>0.8</v>
      </c>
      <c r="Y27" s="1279">
        <f t="shared" si="45"/>
        <v>0.8</v>
      </c>
      <c r="Z27" s="1279">
        <f t="shared" si="46"/>
        <v>0.8</v>
      </c>
      <c r="AA27" s="1267"/>
      <c r="AB27" s="1275" t="s">
        <v>885</v>
      </c>
      <c r="AC27" s="1286">
        <f t="shared" si="30"/>
        <v>0</v>
      </c>
      <c r="AD27" s="1279">
        <f t="shared" si="47"/>
        <v>0.65</v>
      </c>
      <c r="AE27" s="1279">
        <f t="shared" si="48"/>
        <v>1.4</v>
      </c>
      <c r="AF27" s="1279">
        <f t="shared" si="49"/>
        <v>1.2</v>
      </c>
      <c r="AG27" s="1279">
        <f t="shared" si="50"/>
        <v>1</v>
      </c>
      <c r="AH27" s="1279">
        <f t="shared" si="51"/>
        <v>0.9</v>
      </c>
      <c r="AI27" s="1279">
        <f t="shared" si="52"/>
        <v>0.8</v>
      </c>
      <c r="AJ27" s="1279">
        <f t="shared" si="53"/>
        <v>0.8</v>
      </c>
      <c r="AK27" s="1279">
        <f t="shared" si="54"/>
        <v>0.8</v>
      </c>
      <c r="AL27" s="1267"/>
      <c r="AM27" s="1285" t="s">
        <v>886</v>
      </c>
      <c r="AN27" s="1290">
        <f t="shared" ref="AN27:AU27" si="59">HLOOKUP(AN26,$B$20:$O$31,AN28)</f>
        <v>0.7</v>
      </c>
      <c r="AO27" s="1290">
        <f t="shared" si="59"/>
        <v>1.5249999999999999</v>
      </c>
      <c r="AP27" s="1290">
        <f t="shared" si="59"/>
        <v>1.35</v>
      </c>
      <c r="AQ27" s="1290">
        <f t="shared" si="59"/>
        <v>1.175</v>
      </c>
      <c r="AR27" s="1290">
        <f t="shared" si="59"/>
        <v>1.1000000000000001</v>
      </c>
      <c r="AS27" s="1290">
        <f t="shared" si="59"/>
        <v>1</v>
      </c>
      <c r="AT27" s="1290">
        <f t="shared" si="59"/>
        <v>0.92500000000000004</v>
      </c>
      <c r="AU27" s="1290">
        <f t="shared" si="59"/>
        <v>0.92500000000000004</v>
      </c>
    </row>
    <row r="28" spans="1:47">
      <c r="A28" s="1282">
        <v>70</v>
      </c>
      <c r="B28" s="1283">
        <f t="shared" si="32"/>
        <v>0.5</v>
      </c>
      <c r="C28" s="1284">
        <v>0.5</v>
      </c>
      <c r="D28" s="1283">
        <f t="shared" si="33"/>
        <v>0.52500000000000002</v>
      </c>
      <c r="E28" s="1284">
        <v>0.55000000000000004</v>
      </c>
      <c r="F28" s="1283">
        <f t="shared" si="34"/>
        <v>0.57499999999999996</v>
      </c>
      <c r="G28" s="1284">
        <v>0.6</v>
      </c>
      <c r="H28" s="1283">
        <f t="shared" si="35"/>
        <v>0.7</v>
      </c>
      <c r="I28" s="1284">
        <v>0.8</v>
      </c>
      <c r="J28" s="1283">
        <f t="shared" si="36"/>
        <v>0.92500000000000004</v>
      </c>
      <c r="K28" s="1284">
        <v>1.05</v>
      </c>
      <c r="L28" s="1283">
        <f t="shared" si="37"/>
        <v>1.2250000000000001</v>
      </c>
      <c r="M28" s="1284">
        <v>1.4</v>
      </c>
      <c r="N28" s="1283">
        <f t="shared" si="38"/>
        <v>1.5499999999999998</v>
      </c>
      <c r="O28" s="1284">
        <v>1.7</v>
      </c>
      <c r="P28" s="1267"/>
      <c r="Q28" s="1275" t="s">
        <v>887</v>
      </c>
      <c r="R28" s="1286">
        <f t="shared" si="29"/>
        <v>0</v>
      </c>
      <c r="S28" s="1279">
        <f t="shared" si="39"/>
        <v>0.65</v>
      </c>
      <c r="T28" s="1279">
        <f t="shared" si="40"/>
        <v>1.4</v>
      </c>
      <c r="U28" s="1279">
        <f t="shared" si="41"/>
        <v>1.2</v>
      </c>
      <c r="V28" s="1279">
        <f t="shared" si="42"/>
        <v>1</v>
      </c>
      <c r="W28" s="1279">
        <f t="shared" si="43"/>
        <v>0.9</v>
      </c>
      <c r="X28" s="1279">
        <f t="shared" si="44"/>
        <v>0.8</v>
      </c>
      <c r="Y28" s="1279">
        <f t="shared" si="45"/>
        <v>0.8</v>
      </c>
      <c r="Z28" s="1279">
        <f t="shared" si="46"/>
        <v>0.8</v>
      </c>
      <c r="AA28" s="1267"/>
      <c r="AB28" s="1275" t="s">
        <v>887</v>
      </c>
      <c r="AC28" s="1286">
        <f t="shared" si="30"/>
        <v>0</v>
      </c>
      <c r="AD28" s="1279">
        <f t="shared" si="47"/>
        <v>0.65</v>
      </c>
      <c r="AE28" s="1279">
        <f t="shared" si="48"/>
        <v>1.4</v>
      </c>
      <c r="AF28" s="1279">
        <f t="shared" si="49"/>
        <v>1.2</v>
      </c>
      <c r="AG28" s="1279">
        <f t="shared" si="50"/>
        <v>1</v>
      </c>
      <c r="AH28" s="1279">
        <f t="shared" si="51"/>
        <v>0.9</v>
      </c>
      <c r="AI28" s="1279">
        <f t="shared" si="52"/>
        <v>0.8</v>
      </c>
      <c r="AJ28" s="1279">
        <f t="shared" si="53"/>
        <v>0.8</v>
      </c>
      <c r="AK28" s="1279">
        <f t="shared" si="54"/>
        <v>0.8</v>
      </c>
      <c r="AL28" s="1267"/>
      <c r="AM28" s="1267"/>
      <c r="AN28" s="1275">
        <v>3</v>
      </c>
      <c r="AO28" s="1275">
        <v>4</v>
      </c>
      <c r="AP28" s="1275">
        <v>5</v>
      </c>
      <c r="AQ28" s="1275">
        <v>6</v>
      </c>
      <c r="AR28" s="1275">
        <v>7</v>
      </c>
      <c r="AS28" s="1275">
        <v>8</v>
      </c>
      <c r="AT28" s="1275">
        <v>9</v>
      </c>
      <c r="AU28" s="1275">
        <v>10</v>
      </c>
    </row>
    <row r="29" spans="1:47">
      <c r="A29" s="1282">
        <v>80</v>
      </c>
      <c r="B29" s="1283">
        <f t="shared" si="32"/>
        <v>0.45</v>
      </c>
      <c r="C29" s="1284">
        <v>0.45</v>
      </c>
      <c r="D29" s="1283">
        <f t="shared" si="33"/>
        <v>0.5</v>
      </c>
      <c r="E29" s="1284">
        <v>0.55000000000000004</v>
      </c>
      <c r="F29" s="1283">
        <f t="shared" si="34"/>
        <v>0.57499999999999996</v>
      </c>
      <c r="G29" s="1284">
        <v>0.6</v>
      </c>
      <c r="H29" s="1283">
        <f t="shared" si="35"/>
        <v>0.7</v>
      </c>
      <c r="I29" s="1284">
        <v>0.8</v>
      </c>
      <c r="J29" s="1283">
        <f t="shared" si="36"/>
        <v>0.92500000000000004</v>
      </c>
      <c r="K29" s="1284">
        <v>1.05</v>
      </c>
      <c r="L29" s="1283">
        <f t="shared" si="37"/>
        <v>1.125</v>
      </c>
      <c r="M29" s="1284">
        <v>1.2</v>
      </c>
      <c r="N29" s="1283">
        <f t="shared" si="38"/>
        <v>1.4</v>
      </c>
      <c r="O29" s="1284">
        <v>1.6</v>
      </c>
      <c r="P29" s="1267"/>
      <c r="Q29" s="1275" t="s">
        <v>888</v>
      </c>
      <c r="R29" s="1286">
        <f t="shared" si="29"/>
        <v>0</v>
      </c>
      <c r="S29" s="1279">
        <f t="shared" si="39"/>
        <v>0.65</v>
      </c>
      <c r="T29" s="1279">
        <f t="shared" si="40"/>
        <v>1.4</v>
      </c>
      <c r="U29" s="1279">
        <f t="shared" si="41"/>
        <v>1.2</v>
      </c>
      <c r="V29" s="1279">
        <f t="shared" si="42"/>
        <v>1</v>
      </c>
      <c r="W29" s="1279">
        <f t="shared" si="43"/>
        <v>0.9</v>
      </c>
      <c r="X29" s="1279">
        <f t="shared" si="44"/>
        <v>0.8</v>
      </c>
      <c r="Y29" s="1279">
        <f t="shared" si="45"/>
        <v>0.8</v>
      </c>
      <c r="Z29" s="1279">
        <f t="shared" si="46"/>
        <v>0.8</v>
      </c>
      <c r="AA29" s="1267"/>
      <c r="AB29" s="1275" t="s">
        <v>888</v>
      </c>
      <c r="AC29" s="1286">
        <f t="shared" si="30"/>
        <v>0</v>
      </c>
      <c r="AD29" s="1279">
        <f t="shared" si="47"/>
        <v>0.65</v>
      </c>
      <c r="AE29" s="1279">
        <f t="shared" si="48"/>
        <v>1.4</v>
      </c>
      <c r="AF29" s="1279">
        <f t="shared" si="49"/>
        <v>1.2</v>
      </c>
      <c r="AG29" s="1279">
        <f t="shared" si="50"/>
        <v>1</v>
      </c>
      <c r="AH29" s="1279">
        <f t="shared" si="51"/>
        <v>0.9</v>
      </c>
      <c r="AI29" s="1279">
        <f t="shared" si="52"/>
        <v>0.8</v>
      </c>
      <c r="AJ29" s="1279">
        <f t="shared" si="53"/>
        <v>0.8</v>
      </c>
      <c r="AK29" s="1279">
        <f t="shared" si="54"/>
        <v>0.8</v>
      </c>
      <c r="AL29" s="1267"/>
      <c r="AM29" s="1267"/>
      <c r="AN29" s="1267"/>
      <c r="AO29" s="1267"/>
      <c r="AP29" s="1267"/>
      <c r="AQ29" s="1267"/>
      <c r="AR29" s="1267"/>
      <c r="AS29" s="1267"/>
      <c r="AT29" s="1267"/>
      <c r="AU29" s="1267"/>
    </row>
    <row r="30" spans="1:47">
      <c r="A30" s="1275">
        <v>90</v>
      </c>
      <c r="B30" s="1276">
        <f t="shared" si="32"/>
        <v>0.45</v>
      </c>
      <c r="C30" s="1277">
        <v>0.45</v>
      </c>
      <c r="D30" s="1276">
        <f t="shared" si="33"/>
        <v>0.47499999999999998</v>
      </c>
      <c r="E30" s="1277">
        <v>0.5</v>
      </c>
      <c r="F30" s="1276">
        <f t="shared" si="34"/>
        <v>0.55000000000000004</v>
      </c>
      <c r="G30" s="1277">
        <v>0.6</v>
      </c>
      <c r="H30" s="1276">
        <f t="shared" si="35"/>
        <v>0.67500000000000004</v>
      </c>
      <c r="I30" s="1277">
        <v>0.75</v>
      </c>
      <c r="J30" s="1276">
        <f t="shared" si="36"/>
        <v>0.85</v>
      </c>
      <c r="K30" s="1277">
        <v>0.95</v>
      </c>
      <c r="L30" s="1276">
        <f t="shared" si="37"/>
        <v>1</v>
      </c>
      <c r="M30" s="1277">
        <v>1.05</v>
      </c>
      <c r="N30" s="1276">
        <f t="shared" si="38"/>
        <v>1.25</v>
      </c>
      <c r="O30" s="1277">
        <v>1.45</v>
      </c>
      <c r="P30" s="1267"/>
      <c r="Q30" s="1275" t="s">
        <v>889</v>
      </c>
      <c r="R30" s="1286">
        <f t="shared" si="29"/>
        <v>0</v>
      </c>
      <c r="S30" s="1279">
        <f t="shared" si="39"/>
        <v>0.65</v>
      </c>
      <c r="T30" s="1279">
        <f t="shared" si="40"/>
        <v>1.4</v>
      </c>
      <c r="U30" s="1279">
        <f t="shared" si="41"/>
        <v>1.2</v>
      </c>
      <c r="V30" s="1279">
        <f t="shared" si="42"/>
        <v>1</v>
      </c>
      <c r="W30" s="1279">
        <f t="shared" si="43"/>
        <v>0.9</v>
      </c>
      <c r="X30" s="1279">
        <f t="shared" si="44"/>
        <v>0.8</v>
      </c>
      <c r="Y30" s="1279">
        <f t="shared" si="45"/>
        <v>0.8</v>
      </c>
      <c r="Z30" s="1279">
        <f t="shared" si="46"/>
        <v>0.8</v>
      </c>
      <c r="AA30" s="1267"/>
      <c r="AB30" s="1275" t="s">
        <v>889</v>
      </c>
      <c r="AC30" s="1286">
        <f t="shared" si="30"/>
        <v>0</v>
      </c>
      <c r="AD30" s="1279">
        <f t="shared" si="47"/>
        <v>0.65</v>
      </c>
      <c r="AE30" s="1279">
        <f t="shared" si="48"/>
        <v>1.4</v>
      </c>
      <c r="AF30" s="1279">
        <f t="shared" si="49"/>
        <v>1.2</v>
      </c>
      <c r="AG30" s="1279">
        <f t="shared" si="50"/>
        <v>1</v>
      </c>
      <c r="AH30" s="1279">
        <f t="shared" si="51"/>
        <v>0.9</v>
      </c>
      <c r="AI30" s="1279">
        <f t="shared" si="52"/>
        <v>0.8</v>
      </c>
      <c r="AJ30" s="1279">
        <f t="shared" si="53"/>
        <v>0.8</v>
      </c>
      <c r="AK30" s="1279">
        <f t="shared" si="54"/>
        <v>0.8</v>
      </c>
      <c r="AL30" s="1267"/>
      <c r="AM30" s="1267"/>
      <c r="AN30" s="1267"/>
      <c r="AO30" s="1267"/>
      <c r="AP30" s="1267"/>
      <c r="AQ30" s="1267"/>
      <c r="AR30" s="1267"/>
      <c r="AS30" s="1267"/>
      <c r="AT30" s="1267"/>
      <c r="AU30" s="1267"/>
    </row>
    <row r="31" spans="1:47">
      <c r="A31" s="1275">
        <v>100</v>
      </c>
      <c r="B31" s="1276">
        <f t="shared" si="32"/>
        <v>0.5</v>
      </c>
      <c r="C31" s="1277">
        <v>0.5</v>
      </c>
      <c r="D31" s="1276">
        <f t="shared" si="33"/>
        <v>0.52500000000000002</v>
      </c>
      <c r="E31" s="1277">
        <v>0.55000000000000004</v>
      </c>
      <c r="F31" s="1276">
        <f t="shared" si="34"/>
        <v>0.57499999999999996</v>
      </c>
      <c r="G31" s="1277">
        <v>0.6</v>
      </c>
      <c r="H31" s="1276">
        <f t="shared" si="35"/>
        <v>0.625</v>
      </c>
      <c r="I31" s="1277">
        <v>0.65</v>
      </c>
      <c r="J31" s="1276">
        <f t="shared" si="36"/>
        <v>0.72500000000000009</v>
      </c>
      <c r="K31" s="1277">
        <v>0.8</v>
      </c>
      <c r="L31" s="1276">
        <f t="shared" si="37"/>
        <v>0.875</v>
      </c>
      <c r="M31" s="1277">
        <v>0.95</v>
      </c>
      <c r="N31" s="1276">
        <f t="shared" si="38"/>
        <v>1.1499999999999999</v>
      </c>
      <c r="O31" s="1277">
        <v>1.35</v>
      </c>
      <c r="P31" s="1267"/>
      <c r="Q31" s="1267"/>
      <c r="R31" s="1267"/>
      <c r="S31" s="1267"/>
      <c r="T31" s="1267"/>
      <c r="U31" s="1267"/>
      <c r="V31" s="1267"/>
      <c r="W31" s="1267"/>
      <c r="X31" s="1267"/>
      <c r="Y31" s="1267"/>
      <c r="Z31" s="1267"/>
      <c r="AA31" s="1267"/>
      <c r="AB31" s="1267"/>
      <c r="AC31" s="1267"/>
      <c r="AD31" s="1267"/>
      <c r="AE31" s="1267"/>
      <c r="AF31" s="1267"/>
      <c r="AG31" s="1267"/>
      <c r="AH31" s="1267"/>
      <c r="AI31" s="1267"/>
      <c r="AJ31" s="1267"/>
      <c r="AK31" s="1267"/>
      <c r="AL31" s="1267"/>
      <c r="AM31" s="1267"/>
      <c r="AN31" s="1267"/>
      <c r="AO31" s="1267"/>
      <c r="AP31" s="1267"/>
      <c r="AQ31" s="1267"/>
      <c r="AR31" s="1267"/>
      <c r="AS31" s="1267"/>
      <c r="AT31" s="1267"/>
      <c r="AU31" s="1267"/>
    </row>
    <row r="32" spans="1:47">
      <c r="A32" s="1270" t="s">
        <v>893</v>
      </c>
      <c r="B32" s="1267"/>
      <c r="C32" s="1267"/>
      <c r="D32" s="1267"/>
      <c r="E32" s="1267"/>
      <c r="F32" s="1267"/>
      <c r="G32" s="1267"/>
      <c r="H32" s="1267"/>
      <c r="I32" s="1267"/>
      <c r="J32" s="1267"/>
      <c r="K32" s="1267"/>
      <c r="L32" s="1267"/>
      <c r="M32" s="1267"/>
      <c r="N32" s="1267"/>
      <c r="O32" s="1267"/>
      <c r="P32" s="1267"/>
      <c r="Q32" s="1267"/>
      <c r="R32" s="1267"/>
      <c r="S32" s="1267"/>
      <c r="T32" s="1267"/>
      <c r="U32" s="1267"/>
      <c r="V32" s="1267"/>
      <c r="W32" s="1267"/>
      <c r="X32" s="1267"/>
      <c r="Y32" s="1267"/>
      <c r="Z32" s="1267"/>
      <c r="AA32" s="1267"/>
      <c r="AB32" s="1267"/>
      <c r="AC32" s="1267"/>
      <c r="AD32" s="1267"/>
      <c r="AE32" s="1267"/>
      <c r="AF32" s="1267"/>
      <c r="AG32" s="1267"/>
      <c r="AH32" s="1267"/>
      <c r="AI32" s="1267"/>
      <c r="AJ32" s="1267"/>
      <c r="AK32" s="1267"/>
      <c r="AL32" s="1267"/>
      <c r="AM32" s="1267"/>
      <c r="AN32" s="1267"/>
      <c r="AO32" s="1267"/>
      <c r="AP32" s="1267"/>
      <c r="AQ32" s="1267"/>
      <c r="AR32" s="1267"/>
      <c r="AS32" s="1267"/>
      <c r="AT32" s="1267"/>
      <c r="AU32" s="1267"/>
    </row>
    <row r="33" spans="1:47">
      <c r="A33" s="1271"/>
      <c r="B33" s="1271"/>
      <c r="C33" s="1522" t="s">
        <v>869</v>
      </c>
      <c r="D33" s="1522"/>
      <c r="E33" s="1522"/>
      <c r="F33" s="1522"/>
      <c r="G33" s="1522"/>
      <c r="H33" s="1522"/>
      <c r="I33" s="1522"/>
      <c r="J33" s="1522"/>
      <c r="K33" s="1522"/>
      <c r="L33" s="1522"/>
      <c r="M33" s="1522"/>
      <c r="N33" s="1522"/>
      <c r="O33" s="1522"/>
      <c r="P33" s="1267"/>
      <c r="Q33" s="1270" t="s">
        <v>912</v>
      </c>
      <c r="R33" s="1267"/>
      <c r="S33" s="1267"/>
      <c r="T33" s="1267"/>
      <c r="U33" s="1267"/>
      <c r="V33" s="1267"/>
      <c r="W33" s="1267"/>
      <c r="X33" s="1267"/>
      <c r="Y33" s="1267"/>
      <c r="Z33" s="1267"/>
      <c r="AA33" s="1267"/>
      <c r="AB33" s="1270" t="s">
        <v>913</v>
      </c>
      <c r="AC33" s="1267"/>
      <c r="AD33" s="1267"/>
      <c r="AE33" s="1267"/>
      <c r="AF33" s="1267"/>
      <c r="AG33" s="1267"/>
      <c r="AH33" s="1267"/>
      <c r="AI33" s="1267"/>
      <c r="AJ33" s="1267"/>
      <c r="AK33" s="1267"/>
      <c r="AL33" s="1267"/>
      <c r="AM33" s="1272" t="s">
        <v>872</v>
      </c>
      <c r="AN33" s="1267"/>
      <c r="AO33" s="1267"/>
      <c r="AP33" s="1267"/>
      <c r="AQ33" s="1267"/>
      <c r="AR33" s="1267"/>
      <c r="AS33" s="1267"/>
      <c r="AT33" s="1267"/>
      <c r="AU33" s="1267"/>
    </row>
    <row r="34" spans="1:47">
      <c r="A34" s="1273" t="s">
        <v>873</v>
      </c>
      <c r="B34" s="1274">
        <v>-100</v>
      </c>
      <c r="C34" s="1273">
        <v>-6</v>
      </c>
      <c r="D34" s="1274">
        <f>(C34+E34)/2</f>
        <v>-5</v>
      </c>
      <c r="E34" s="1273">
        <v>-4</v>
      </c>
      <c r="F34" s="1274">
        <f>(E34+G34)/2</f>
        <v>-3</v>
      </c>
      <c r="G34" s="1273">
        <v>-2</v>
      </c>
      <c r="H34" s="1274">
        <f>(G34+I34)/2</f>
        <v>-1</v>
      </c>
      <c r="I34" s="1273">
        <v>0</v>
      </c>
      <c r="J34" s="1274">
        <f>(I34+K34)/2</f>
        <v>1</v>
      </c>
      <c r="K34" s="1273">
        <v>2</v>
      </c>
      <c r="L34" s="1274">
        <f>(K34+M34)/2</f>
        <v>3</v>
      </c>
      <c r="M34" s="1273">
        <v>4</v>
      </c>
      <c r="N34" s="1274">
        <f>(M34+O34)/2</f>
        <v>5</v>
      </c>
      <c r="O34" s="1273">
        <v>6</v>
      </c>
      <c r="P34" s="1267"/>
      <c r="Q34" s="1273" t="s">
        <v>874</v>
      </c>
      <c r="R34" s="1273" t="s">
        <v>869</v>
      </c>
      <c r="S34" s="1273">
        <v>10</v>
      </c>
      <c r="T34" s="1273">
        <v>20</v>
      </c>
      <c r="U34" s="1273">
        <v>30</v>
      </c>
      <c r="V34" s="1273">
        <v>40</v>
      </c>
      <c r="W34" s="1273">
        <v>50</v>
      </c>
      <c r="X34" s="1273">
        <v>60</v>
      </c>
      <c r="Y34" s="1273">
        <v>70</v>
      </c>
      <c r="Z34" s="1273">
        <v>80</v>
      </c>
      <c r="AA34" s="1267"/>
      <c r="AB34" s="1273" t="s">
        <v>874</v>
      </c>
      <c r="AC34" s="1273" t="s">
        <v>869</v>
      </c>
      <c r="AD34" s="1273">
        <v>10</v>
      </c>
      <c r="AE34" s="1273">
        <v>20</v>
      </c>
      <c r="AF34" s="1273">
        <v>30</v>
      </c>
      <c r="AG34" s="1273">
        <v>40</v>
      </c>
      <c r="AH34" s="1273">
        <v>50</v>
      </c>
      <c r="AI34" s="1273">
        <v>60</v>
      </c>
      <c r="AJ34" s="1273">
        <v>70</v>
      </c>
      <c r="AK34" s="1273">
        <v>80</v>
      </c>
      <c r="AL34" s="1267"/>
      <c r="AM34" s="1273" t="s">
        <v>875</v>
      </c>
      <c r="AN34" s="1273">
        <v>10</v>
      </c>
      <c r="AO34" s="1273">
        <v>20</v>
      </c>
      <c r="AP34" s="1273">
        <v>30</v>
      </c>
      <c r="AQ34" s="1273">
        <v>40</v>
      </c>
      <c r="AR34" s="1273">
        <v>50</v>
      </c>
      <c r="AS34" s="1273">
        <v>60</v>
      </c>
      <c r="AT34" s="1273">
        <v>70</v>
      </c>
      <c r="AU34" s="1273">
        <v>80</v>
      </c>
    </row>
    <row r="35" spans="1:47">
      <c r="A35" s="1275">
        <v>0</v>
      </c>
      <c r="B35" s="1276">
        <f>C35</f>
        <v>0.2</v>
      </c>
      <c r="C35" s="1277">
        <v>0.2</v>
      </c>
      <c r="D35" s="1276">
        <f>(C35+E35)/2</f>
        <v>0.2</v>
      </c>
      <c r="E35" s="1277">
        <v>0.2</v>
      </c>
      <c r="F35" s="1276">
        <f>(E35+G35)/2</f>
        <v>0.2</v>
      </c>
      <c r="G35" s="1277">
        <v>0.2</v>
      </c>
      <c r="H35" s="1276">
        <f>(G35+I35)/2</f>
        <v>0.2</v>
      </c>
      <c r="I35" s="1277">
        <v>0.2</v>
      </c>
      <c r="J35" s="1276">
        <f>(I35+K35)/2</f>
        <v>0.2</v>
      </c>
      <c r="K35" s="1277">
        <v>0.2</v>
      </c>
      <c r="L35" s="1276">
        <f>(K35+M35)/2</f>
        <v>0.2</v>
      </c>
      <c r="M35" s="1277">
        <v>0.2</v>
      </c>
      <c r="N35" s="1276">
        <f>(M35+O35)/2</f>
        <v>0.2</v>
      </c>
      <c r="O35" s="1277">
        <v>0.2</v>
      </c>
      <c r="P35" s="1267"/>
      <c r="Q35" s="1275" t="s">
        <v>876</v>
      </c>
      <c r="R35" s="1286">
        <f t="shared" ref="R35:R44" si="60">R21</f>
        <v>0</v>
      </c>
      <c r="S35" s="1279">
        <f>HLOOKUP(INT($R35),$B$34:$O$45,3)+(HLOOKUP(INT($R35)+1,$B$34:$O$45,3)-HLOOKUP(INT($R35),$B$34:$O$45,3))*($R35-INT($R35))</f>
        <v>0.75</v>
      </c>
      <c r="T35" s="1279">
        <f>HLOOKUP(INT($R35),$B$34:$O$45,4)+(HLOOKUP(INT($R35)+1,$B$34:$O$45,4)-HLOOKUP(INT($R35),$B$34:$O$45,4))*($R35-INT($R35))</f>
        <v>0.9</v>
      </c>
      <c r="U35" s="1279">
        <f>HLOOKUP(INT($R35),$B$34:$O$45,5)+(HLOOKUP(INT($R35)+1,$B$34:$O$45,5)-HLOOKUP(INT($R35),$B$34:$O$45,5))*($R35-INT($R35))</f>
        <v>1</v>
      </c>
      <c r="V35" s="1279">
        <f>HLOOKUP(INT($R35),$B$34:$O$45,6)+(HLOOKUP(INT($R35)+1,$B$34:$O$45,6)-HLOOKUP(INT($R35),$B$34:$O$45,6))*($R35-INT($R35))</f>
        <v>1</v>
      </c>
      <c r="W35" s="1279">
        <f>HLOOKUP(INT($R35),$B$34:$O$45,7)+(HLOOKUP(INT($R35)+1,$B$34:$O$45,7)-HLOOKUP(INT($R35),$B$34:$O$45,7))*($R35-INT($R35))</f>
        <v>1.05</v>
      </c>
      <c r="X35" s="1279">
        <f>HLOOKUP(INT($R35),$B$34:$O$45,8)+(HLOOKUP(INT($R35)+1,$B$34:$O$45,8)-HLOOKUP(INT($R35),$B$34:$O$45,8))*($R35-INT($R35))</f>
        <v>1.05</v>
      </c>
      <c r="Y35" s="1279">
        <f>HLOOKUP(INT($R35),$B$34:$O$45,9)+(HLOOKUP(INT($R35)+1,$B$34:$O$45,9)-HLOOKUP(INT($R35),$B$34:$O$45,9))*($R35-INT($R35))</f>
        <v>1.1499999999999999</v>
      </c>
      <c r="Z35" s="1279">
        <f>HLOOKUP(INT($R35),$B$34:$O$45,10)+(HLOOKUP(INT($R35)+1,$B$34:$O$45,10)-HLOOKUP(INT($R35),$B$34:$O$45,10))*($R35-INT($R35))</f>
        <v>1.25</v>
      </c>
      <c r="AA35" s="1267"/>
      <c r="AB35" s="1275" t="s">
        <v>876</v>
      </c>
      <c r="AC35" s="1286">
        <f t="shared" ref="AC35:AC44" si="61">AC21</f>
        <v>1.784</v>
      </c>
      <c r="AD35" s="1279">
        <f>HLOOKUP(INT($AC35),$B$34:$O$45,3)+(HLOOKUP(INT($AC35)+1,$B$34:$O$45,3)-HLOOKUP(INT($AC35),$B$34:$O$45,3))*($AC35-INT($AC35))</f>
        <v>0.79460000000000008</v>
      </c>
      <c r="AE35" s="1279">
        <f>HLOOKUP(INT($AC35),$B$34:$O$45,4)+(HLOOKUP(INT($AC35)+1,$B$34:$O$45,4)-HLOOKUP(INT($AC35),$B$34:$O$45,4))*($AC35-INT($AC35))</f>
        <v>0.9446</v>
      </c>
      <c r="AF35" s="1279">
        <f>HLOOKUP(INT($AC35),$B$34:$O$45,5)+(HLOOKUP(INT($AC35)+1,$B$34:$O$45,5)-HLOOKUP(INT($AC35),$B$34:$O$45,5))*($AC35-INT($AC35))</f>
        <v>1.0892000000000002</v>
      </c>
      <c r="AG35" s="1279">
        <f>HLOOKUP(INT($AC35),$B$34:$O$45,6)+(HLOOKUP(INT($AC35)+1,$B$34:$O$45,6)-HLOOKUP(INT($AC35),$B$34:$O$45,6))*($AC35-INT($AC35))</f>
        <v>1.1337999999999999</v>
      </c>
      <c r="AH35" s="1279">
        <f>HLOOKUP(INT($AC35),$B$34:$O$45,7)+(HLOOKUP(INT($AC35)+1,$B$34:$O$45,7)-HLOOKUP(INT($AC35),$B$34:$O$45,7))*($AC35-INT($AC35))</f>
        <v>1.2283999999999999</v>
      </c>
      <c r="AI35" s="1279">
        <f>HLOOKUP(INT($AC35),$B$34:$O$45,8)+(HLOOKUP(INT($AC35)+1,$B$34:$O$45,8)-HLOOKUP(INT($AC35),$B$34:$O$45,8))*($AC35-INT($AC35))</f>
        <v>1.3176000000000001</v>
      </c>
      <c r="AJ35" s="1279">
        <f>HLOOKUP(INT($AC35),$B$34:$O$45,9)+(HLOOKUP(INT($AC35)+1,$B$34:$O$45,9)-HLOOKUP(INT($AC35),$B$34:$O$45,9))*($AC35-INT($AC35))</f>
        <v>1.4621999999999999</v>
      </c>
      <c r="AK35" s="1279">
        <f>HLOOKUP(INT($AC35),$B$34:$O$45,10)+(HLOOKUP(INT($AC35)+1,$B$34:$O$45,10)-HLOOKUP(INT($AC35),$B$34:$O$45,10))*($AC35-INT($AC35))</f>
        <v>1.6068</v>
      </c>
      <c r="AL35" s="1267"/>
      <c r="AM35" s="1280" t="s">
        <v>869</v>
      </c>
      <c r="AN35" s="1278">
        <v>-6</v>
      </c>
      <c r="AO35" s="1281">
        <f>AN35</f>
        <v>-6</v>
      </c>
      <c r="AP35" s="1281">
        <f t="shared" ref="AP35:AU35" si="62">AO35</f>
        <v>-6</v>
      </c>
      <c r="AQ35" s="1281">
        <f t="shared" si="62"/>
        <v>-6</v>
      </c>
      <c r="AR35" s="1281">
        <f t="shared" si="62"/>
        <v>-6</v>
      </c>
      <c r="AS35" s="1281">
        <f t="shared" si="62"/>
        <v>-6</v>
      </c>
      <c r="AT35" s="1281">
        <f t="shared" si="62"/>
        <v>-6</v>
      </c>
      <c r="AU35" s="1281">
        <f t="shared" si="62"/>
        <v>-6</v>
      </c>
    </row>
    <row r="36" spans="1:47">
      <c r="A36" s="1282">
        <v>10</v>
      </c>
      <c r="B36" s="1283">
        <f t="shared" ref="B36:B45" si="63">C36</f>
        <v>0.45</v>
      </c>
      <c r="C36" s="1284">
        <v>0.45</v>
      </c>
      <c r="D36" s="1283">
        <f t="shared" ref="D36:D45" si="64">(C36+E36)/2</f>
        <v>0.47499999999999998</v>
      </c>
      <c r="E36" s="1284">
        <v>0.5</v>
      </c>
      <c r="F36" s="1283">
        <f t="shared" ref="F36:F45" si="65">(E36+G36)/2</f>
        <v>0.55000000000000004</v>
      </c>
      <c r="G36" s="1284">
        <v>0.6</v>
      </c>
      <c r="H36" s="1283">
        <f t="shared" ref="H36:H45" si="66">(G36+I36)/2</f>
        <v>0.67500000000000004</v>
      </c>
      <c r="I36" s="1284">
        <v>0.75</v>
      </c>
      <c r="J36" s="1283">
        <f t="shared" ref="J36:J45" si="67">(I36+K36)/2</f>
        <v>0.77500000000000002</v>
      </c>
      <c r="K36" s="1284">
        <v>0.8</v>
      </c>
      <c r="L36" s="1283">
        <f t="shared" ref="L36:L45" si="68">(K36+M36)/2</f>
        <v>0.85000000000000009</v>
      </c>
      <c r="M36" s="1284">
        <v>0.9</v>
      </c>
      <c r="N36" s="1283">
        <f t="shared" ref="N36:N45" si="69">(M36+O36)/2</f>
        <v>0.97500000000000009</v>
      </c>
      <c r="O36" s="1284">
        <v>1.05</v>
      </c>
      <c r="P36" s="1267"/>
      <c r="Q36" s="1275" t="s">
        <v>3</v>
      </c>
      <c r="R36" s="1286">
        <f t="shared" si="60"/>
        <v>0</v>
      </c>
      <c r="S36" s="1279">
        <f t="shared" ref="S36:S44" si="70">HLOOKUP(INT($R36),$B$34:$O$45,3)+(HLOOKUP(INT($R36)+1,$B$34:$O$45,3)-HLOOKUP(INT($R36),$B$34:$O$45,3))*($R36-INT($R36))</f>
        <v>0.75</v>
      </c>
      <c r="T36" s="1279">
        <f t="shared" ref="T36:T44" si="71">HLOOKUP(INT($R36),$B$34:$O$45,4)+(HLOOKUP(INT($R36)+1,$B$34:$O$45,4)-HLOOKUP(INT($R36),$B$34:$O$45,4))*($R36-INT($R36))</f>
        <v>0.9</v>
      </c>
      <c r="U36" s="1279">
        <f t="shared" ref="U36:U44" si="72">HLOOKUP(INT($R36),$B$34:$O$45,5)+(HLOOKUP(INT($R36)+1,$B$34:$O$45,5)-HLOOKUP(INT($R36),$B$34:$O$45,5))*($R36-INT($R36))</f>
        <v>1</v>
      </c>
      <c r="V36" s="1279">
        <f t="shared" ref="V36:V44" si="73">HLOOKUP(INT($R36),$B$34:$O$45,6)+(HLOOKUP(INT($R36)+1,$B$34:$O$45,6)-HLOOKUP(INT($R36),$B$34:$O$45,6))*($R36-INT($R36))</f>
        <v>1</v>
      </c>
      <c r="W36" s="1279">
        <f t="shared" ref="W36:W44" si="74">HLOOKUP(INT($R36),$B$34:$O$45,7)+(HLOOKUP(INT($R36)+1,$B$34:$O$45,7)-HLOOKUP(INT($R36),$B$34:$O$45,7))*($R36-INT($R36))</f>
        <v>1.05</v>
      </c>
      <c r="X36" s="1279">
        <f t="shared" ref="X36:X44" si="75">HLOOKUP(INT($R36),$B$34:$O$45,8)+(HLOOKUP(INT($R36)+1,$B$34:$O$45,8)-HLOOKUP(INT($R36),$B$34:$O$45,8))*($R36-INT($R36))</f>
        <v>1.05</v>
      </c>
      <c r="Y36" s="1279">
        <f t="shared" ref="Y36:Y44" si="76">HLOOKUP(INT($R36),$B$34:$O$45,9)+(HLOOKUP(INT($R36)+1,$B$34:$O$45,9)-HLOOKUP(INT($R36),$B$34:$O$45,9))*($R36-INT($R36))</f>
        <v>1.1499999999999999</v>
      </c>
      <c r="Z36" s="1279">
        <f t="shared" ref="Z36:Z44" si="77">HLOOKUP(INT($R36),$B$34:$O$45,10)+(HLOOKUP(INT($R36)+1,$B$34:$O$45,10)-HLOOKUP(INT($R36),$B$34:$O$45,10))*($R36-INT($R36))</f>
        <v>1.25</v>
      </c>
      <c r="AA36" s="1267"/>
      <c r="AB36" s="1275" t="s">
        <v>3</v>
      </c>
      <c r="AC36" s="1286">
        <f t="shared" si="61"/>
        <v>0</v>
      </c>
      <c r="AD36" s="1279">
        <f t="shared" ref="AD36:AD44" si="78">HLOOKUP(INT($AC36),$B$34:$O$45,3)+(HLOOKUP(INT($AC36)+1,$B$34:$O$45,3)-HLOOKUP(INT($AC36),$B$34:$O$45,3))*($AC36-INT($AC36))</f>
        <v>0.75</v>
      </c>
      <c r="AE36" s="1279">
        <f t="shared" ref="AE36:AE44" si="79">HLOOKUP(INT($AC36),$B$34:$O$45,4)+(HLOOKUP(INT($AC36)+1,$B$34:$O$45,4)-HLOOKUP(INT($AC36),$B$34:$O$45,4))*($AC36-INT($AC36))</f>
        <v>0.9</v>
      </c>
      <c r="AF36" s="1279">
        <f t="shared" ref="AF36:AF44" si="80">HLOOKUP(INT($AC36),$B$34:$O$45,5)+(HLOOKUP(INT($AC36)+1,$B$34:$O$45,5)-HLOOKUP(INT($AC36),$B$34:$O$45,5))*($AC36-INT($AC36))</f>
        <v>1</v>
      </c>
      <c r="AG36" s="1279">
        <f t="shared" ref="AG36:AG44" si="81">HLOOKUP(INT($AC36),$B$34:$O$45,6)+(HLOOKUP(INT($AC36)+1,$B$34:$O$45,6)-HLOOKUP(INT($AC36),$B$34:$O$45,6))*($AC36-INT($AC36))</f>
        <v>1</v>
      </c>
      <c r="AH36" s="1279">
        <f t="shared" ref="AH36:AH44" si="82">HLOOKUP(INT($AC36),$B$34:$O$45,7)+(HLOOKUP(INT($AC36)+1,$B$34:$O$45,7)-HLOOKUP(INT($AC36),$B$34:$O$45,7))*($AC36-INT($AC36))</f>
        <v>1.05</v>
      </c>
      <c r="AI36" s="1279">
        <f t="shared" ref="AI36:AI44" si="83">HLOOKUP(INT($AC36),$B$34:$O$45,8)+(HLOOKUP(INT($AC36)+1,$B$34:$O$45,8)-HLOOKUP(INT($AC36),$B$34:$O$45,8))*($AC36-INT($AC36))</f>
        <v>1.05</v>
      </c>
      <c r="AJ36" s="1279">
        <f t="shared" ref="AJ36:AJ44" si="84">HLOOKUP(INT($AC36),$B$34:$O$45,9)+(HLOOKUP(INT($AC36)+1,$B$34:$O$45,9)-HLOOKUP(INT($AC36),$B$34:$O$45,9))*($AC36-INT($AC36))</f>
        <v>1.1499999999999999</v>
      </c>
      <c r="AK36" s="1279">
        <f t="shared" ref="AK36:AK44" si="85">HLOOKUP(INT($AC36),$B$34:$O$45,10)+(HLOOKUP(INT($AC36)+1,$B$34:$O$45,10)-HLOOKUP(INT($AC36),$B$34:$O$45,10))*($AC36-INT($AC36))</f>
        <v>1.25</v>
      </c>
      <c r="AL36" s="1267"/>
      <c r="AM36" s="1267" t="s">
        <v>877</v>
      </c>
      <c r="AN36" s="1279">
        <f t="shared" ref="AN36:AU36" si="86">AN39+(AN41-AN39)*(AN35-AN38)</f>
        <v>0.45</v>
      </c>
      <c r="AO36" s="1279">
        <f t="shared" si="86"/>
        <v>0.5</v>
      </c>
      <c r="AP36" s="1279">
        <f t="shared" si="86"/>
        <v>0.5</v>
      </c>
      <c r="AQ36" s="1279">
        <f t="shared" si="86"/>
        <v>0.55000000000000004</v>
      </c>
      <c r="AR36" s="1279">
        <f t="shared" si="86"/>
        <v>0.55000000000000004</v>
      </c>
      <c r="AS36" s="1279">
        <f t="shared" si="86"/>
        <v>0.5</v>
      </c>
      <c r="AT36" s="1279">
        <f t="shared" si="86"/>
        <v>0.55000000000000004</v>
      </c>
      <c r="AU36" s="1279">
        <f t="shared" si="86"/>
        <v>0.7</v>
      </c>
    </row>
    <row r="37" spans="1:47">
      <c r="A37" s="1282">
        <v>20</v>
      </c>
      <c r="B37" s="1283">
        <f t="shared" si="63"/>
        <v>0.5</v>
      </c>
      <c r="C37" s="1284">
        <v>0.5</v>
      </c>
      <c r="D37" s="1283">
        <f t="shared" si="64"/>
        <v>0.55000000000000004</v>
      </c>
      <c r="E37" s="1284">
        <v>0.6</v>
      </c>
      <c r="F37" s="1283">
        <f t="shared" si="65"/>
        <v>0.67500000000000004</v>
      </c>
      <c r="G37" s="1284">
        <v>0.75</v>
      </c>
      <c r="H37" s="1283">
        <f t="shared" si="66"/>
        <v>0.82499999999999996</v>
      </c>
      <c r="I37" s="1284">
        <v>0.9</v>
      </c>
      <c r="J37" s="1283">
        <f t="shared" si="67"/>
        <v>0.92500000000000004</v>
      </c>
      <c r="K37" s="1284">
        <v>0.95</v>
      </c>
      <c r="L37" s="1283">
        <f t="shared" si="68"/>
        <v>1</v>
      </c>
      <c r="M37" s="1284">
        <v>1.05</v>
      </c>
      <c r="N37" s="1283">
        <f t="shared" si="69"/>
        <v>1.1000000000000001</v>
      </c>
      <c r="O37" s="1284">
        <v>1.1499999999999999</v>
      </c>
      <c r="P37" s="1267"/>
      <c r="Q37" s="1275" t="s">
        <v>878</v>
      </c>
      <c r="R37" s="1286">
        <f t="shared" si="60"/>
        <v>0</v>
      </c>
      <c r="S37" s="1279">
        <f t="shared" si="70"/>
        <v>0.75</v>
      </c>
      <c r="T37" s="1279">
        <f t="shared" si="71"/>
        <v>0.9</v>
      </c>
      <c r="U37" s="1279">
        <f t="shared" si="72"/>
        <v>1</v>
      </c>
      <c r="V37" s="1279">
        <f t="shared" si="73"/>
        <v>1</v>
      </c>
      <c r="W37" s="1279">
        <f t="shared" si="74"/>
        <v>1.05</v>
      </c>
      <c r="X37" s="1279">
        <f t="shared" si="75"/>
        <v>1.05</v>
      </c>
      <c r="Y37" s="1279">
        <f t="shared" si="76"/>
        <v>1.1499999999999999</v>
      </c>
      <c r="Z37" s="1279">
        <f t="shared" si="77"/>
        <v>1.25</v>
      </c>
      <c r="AA37" s="1267"/>
      <c r="AB37" s="1275" t="s">
        <v>878</v>
      </c>
      <c r="AC37" s="1286">
        <f t="shared" si="61"/>
        <v>0</v>
      </c>
      <c r="AD37" s="1279">
        <f t="shared" si="78"/>
        <v>0.75</v>
      </c>
      <c r="AE37" s="1279">
        <f t="shared" si="79"/>
        <v>0.9</v>
      </c>
      <c r="AF37" s="1279">
        <f t="shared" si="80"/>
        <v>1</v>
      </c>
      <c r="AG37" s="1279">
        <f t="shared" si="81"/>
        <v>1</v>
      </c>
      <c r="AH37" s="1279">
        <f t="shared" si="82"/>
        <v>1.05</v>
      </c>
      <c r="AI37" s="1279">
        <f t="shared" si="83"/>
        <v>1.05</v>
      </c>
      <c r="AJ37" s="1279">
        <f t="shared" si="84"/>
        <v>1.1499999999999999</v>
      </c>
      <c r="AK37" s="1279">
        <f t="shared" si="85"/>
        <v>1.25</v>
      </c>
      <c r="AL37" s="1267"/>
      <c r="AM37" s="1267"/>
      <c r="AN37" s="1275"/>
      <c r="AO37" s="1275"/>
      <c r="AP37" s="1275"/>
      <c r="AQ37" s="1275"/>
      <c r="AR37" s="1275"/>
      <c r="AS37" s="1275"/>
      <c r="AT37" s="1275"/>
      <c r="AU37" s="1275"/>
    </row>
    <row r="38" spans="1:47">
      <c r="A38" s="1282">
        <v>30</v>
      </c>
      <c r="B38" s="1283">
        <f t="shared" si="63"/>
        <v>0.5</v>
      </c>
      <c r="C38" s="1284">
        <v>0.5</v>
      </c>
      <c r="D38" s="1283">
        <f t="shared" si="64"/>
        <v>0.57499999999999996</v>
      </c>
      <c r="E38" s="1284">
        <v>0.65</v>
      </c>
      <c r="F38" s="1283">
        <f t="shared" si="65"/>
        <v>0.72500000000000009</v>
      </c>
      <c r="G38" s="1284">
        <v>0.8</v>
      </c>
      <c r="H38" s="1283">
        <f t="shared" si="66"/>
        <v>0.9</v>
      </c>
      <c r="I38" s="1284">
        <v>1</v>
      </c>
      <c r="J38" s="1283">
        <f t="shared" si="67"/>
        <v>1.05</v>
      </c>
      <c r="K38" s="1284">
        <v>1.1000000000000001</v>
      </c>
      <c r="L38" s="1283">
        <f t="shared" si="68"/>
        <v>1.1499999999999999</v>
      </c>
      <c r="M38" s="1284">
        <v>1.2</v>
      </c>
      <c r="N38" s="1283">
        <f t="shared" si="69"/>
        <v>1.25</v>
      </c>
      <c r="O38" s="1284">
        <v>1.3</v>
      </c>
      <c r="P38" s="1267"/>
      <c r="Q38" s="1275" t="s">
        <v>879</v>
      </c>
      <c r="R38" s="1286">
        <f t="shared" si="60"/>
        <v>0</v>
      </c>
      <c r="S38" s="1279">
        <f t="shared" si="70"/>
        <v>0.75</v>
      </c>
      <c r="T38" s="1279">
        <f t="shared" si="71"/>
        <v>0.9</v>
      </c>
      <c r="U38" s="1279">
        <f t="shared" si="72"/>
        <v>1</v>
      </c>
      <c r="V38" s="1279">
        <f t="shared" si="73"/>
        <v>1</v>
      </c>
      <c r="W38" s="1279">
        <f t="shared" si="74"/>
        <v>1.05</v>
      </c>
      <c r="X38" s="1279">
        <f t="shared" si="75"/>
        <v>1.05</v>
      </c>
      <c r="Y38" s="1279">
        <f t="shared" si="76"/>
        <v>1.1499999999999999</v>
      </c>
      <c r="Z38" s="1279">
        <f t="shared" si="77"/>
        <v>1.25</v>
      </c>
      <c r="AA38" s="1267"/>
      <c r="AB38" s="1275" t="s">
        <v>879</v>
      </c>
      <c r="AC38" s="1286">
        <f t="shared" si="61"/>
        <v>0</v>
      </c>
      <c r="AD38" s="1279">
        <f t="shared" si="78"/>
        <v>0.75</v>
      </c>
      <c r="AE38" s="1279">
        <f t="shared" si="79"/>
        <v>0.9</v>
      </c>
      <c r="AF38" s="1279">
        <f t="shared" si="80"/>
        <v>1</v>
      </c>
      <c r="AG38" s="1279">
        <f t="shared" si="81"/>
        <v>1</v>
      </c>
      <c r="AH38" s="1279">
        <f t="shared" si="82"/>
        <v>1.05</v>
      </c>
      <c r="AI38" s="1279">
        <f t="shared" si="83"/>
        <v>1.05</v>
      </c>
      <c r="AJ38" s="1279">
        <f t="shared" si="84"/>
        <v>1.1499999999999999</v>
      </c>
      <c r="AK38" s="1279">
        <f t="shared" si="85"/>
        <v>1.25</v>
      </c>
      <c r="AL38" s="1267"/>
      <c r="AM38" s="1285" t="s">
        <v>880</v>
      </c>
      <c r="AN38" s="1286">
        <f>INT(AN35)</f>
        <v>-6</v>
      </c>
      <c r="AO38" s="1286">
        <f t="shared" ref="AO38:AU38" si="87">INT(AO35)</f>
        <v>-6</v>
      </c>
      <c r="AP38" s="1286">
        <f t="shared" si="87"/>
        <v>-6</v>
      </c>
      <c r="AQ38" s="1286">
        <f t="shared" si="87"/>
        <v>-6</v>
      </c>
      <c r="AR38" s="1286">
        <f t="shared" si="87"/>
        <v>-6</v>
      </c>
      <c r="AS38" s="1286">
        <f t="shared" si="87"/>
        <v>-6</v>
      </c>
      <c r="AT38" s="1286">
        <f t="shared" si="87"/>
        <v>-6</v>
      </c>
      <c r="AU38" s="1286">
        <f t="shared" si="87"/>
        <v>-6</v>
      </c>
    </row>
    <row r="39" spans="1:47">
      <c r="A39" s="1287">
        <v>40</v>
      </c>
      <c r="B39" s="1288">
        <f t="shared" si="63"/>
        <v>0.55000000000000004</v>
      </c>
      <c r="C39" s="1289">
        <v>0.55000000000000004</v>
      </c>
      <c r="D39" s="1288">
        <f t="shared" si="64"/>
        <v>0.60000000000000009</v>
      </c>
      <c r="E39" s="1289">
        <v>0.65</v>
      </c>
      <c r="F39" s="1288">
        <f t="shared" si="65"/>
        <v>0.75</v>
      </c>
      <c r="G39" s="1289">
        <v>0.85</v>
      </c>
      <c r="H39" s="1288">
        <f t="shared" si="66"/>
        <v>0.92500000000000004</v>
      </c>
      <c r="I39" s="1289">
        <v>1</v>
      </c>
      <c r="J39" s="1288">
        <f t="shared" si="67"/>
        <v>1.075</v>
      </c>
      <c r="K39" s="1289">
        <v>1.1499999999999999</v>
      </c>
      <c r="L39" s="1288">
        <f t="shared" si="68"/>
        <v>1.2</v>
      </c>
      <c r="M39" s="1289">
        <v>1.25</v>
      </c>
      <c r="N39" s="1288">
        <f t="shared" si="69"/>
        <v>1.35</v>
      </c>
      <c r="O39" s="1289">
        <v>1.45</v>
      </c>
      <c r="P39" s="1267"/>
      <c r="Q39" s="1275" t="s">
        <v>881</v>
      </c>
      <c r="R39" s="1286">
        <f t="shared" si="60"/>
        <v>0</v>
      </c>
      <c r="S39" s="1279">
        <f t="shared" si="70"/>
        <v>0.75</v>
      </c>
      <c r="T39" s="1279">
        <f t="shared" si="71"/>
        <v>0.9</v>
      </c>
      <c r="U39" s="1279">
        <f t="shared" si="72"/>
        <v>1</v>
      </c>
      <c r="V39" s="1279">
        <f t="shared" si="73"/>
        <v>1</v>
      </c>
      <c r="W39" s="1279">
        <f t="shared" si="74"/>
        <v>1.05</v>
      </c>
      <c r="X39" s="1279">
        <f t="shared" si="75"/>
        <v>1.05</v>
      </c>
      <c r="Y39" s="1279">
        <f t="shared" si="76"/>
        <v>1.1499999999999999</v>
      </c>
      <c r="Z39" s="1279">
        <f t="shared" si="77"/>
        <v>1.25</v>
      </c>
      <c r="AA39" s="1267"/>
      <c r="AB39" s="1275" t="s">
        <v>881</v>
      </c>
      <c r="AC39" s="1286">
        <f t="shared" si="61"/>
        <v>0</v>
      </c>
      <c r="AD39" s="1279">
        <f t="shared" si="78"/>
        <v>0.75</v>
      </c>
      <c r="AE39" s="1279">
        <f t="shared" si="79"/>
        <v>0.9</v>
      </c>
      <c r="AF39" s="1279">
        <f t="shared" si="80"/>
        <v>1</v>
      </c>
      <c r="AG39" s="1279">
        <f t="shared" si="81"/>
        <v>1</v>
      </c>
      <c r="AH39" s="1279">
        <f t="shared" si="82"/>
        <v>1.05</v>
      </c>
      <c r="AI39" s="1279">
        <f t="shared" si="83"/>
        <v>1.05</v>
      </c>
      <c r="AJ39" s="1279">
        <f t="shared" si="84"/>
        <v>1.1499999999999999</v>
      </c>
      <c r="AK39" s="1279">
        <f t="shared" si="85"/>
        <v>1.25</v>
      </c>
      <c r="AL39" s="1267"/>
      <c r="AM39" s="1285" t="s">
        <v>882</v>
      </c>
      <c r="AN39" s="1290">
        <f t="shared" ref="AN39:AU39" si="88">HLOOKUP(AN38,$B$34:$O$45,AN42)</f>
        <v>0.45</v>
      </c>
      <c r="AO39" s="1290">
        <f t="shared" si="88"/>
        <v>0.5</v>
      </c>
      <c r="AP39" s="1290">
        <f t="shared" si="88"/>
        <v>0.5</v>
      </c>
      <c r="AQ39" s="1290">
        <f t="shared" si="88"/>
        <v>0.55000000000000004</v>
      </c>
      <c r="AR39" s="1290">
        <f t="shared" si="88"/>
        <v>0.55000000000000004</v>
      </c>
      <c r="AS39" s="1290">
        <f t="shared" si="88"/>
        <v>0.5</v>
      </c>
      <c r="AT39" s="1290">
        <f t="shared" si="88"/>
        <v>0.55000000000000004</v>
      </c>
      <c r="AU39" s="1290">
        <f t="shared" si="88"/>
        <v>0.7</v>
      </c>
    </row>
    <row r="40" spans="1:47">
      <c r="A40" s="1287">
        <v>50</v>
      </c>
      <c r="B40" s="1288">
        <f t="shared" si="63"/>
        <v>0.55000000000000004</v>
      </c>
      <c r="C40" s="1289">
        <v>0.55000000000000004</v>
      </c>
      <c r="D40" s="1288">
        <f t="shared" si="64"/>
        <v>0.625</v>
      </c>
      <c r="E40" s="1289">
        <v>0.7</v>
      </c>
      <c r="F40" s="1288">
        <f t="shared" si="65"/>
        <v>0.77499999999999991</v>
      </c>
      <c r="G40" s="1289">
        <v>0.85</v>
      </c>
      <c r="H40" s="1288">
        <f t="shared" si="66"/>
        <v>0.95</v>
      </c>
      <c r="I40" s="1289">
        <v>1.05</v>
      </c>
      <c r="J40" s="1288">
        <f t="shared" si="67"/>
        <v>1.1499999999999999</v>
      </c>
      <c r="K40" s="1289">
        <v>1.25</v>
      </c>
      <c r="L40" s="1288">
        <f t="shared" si="68"/>
        <v>1.325</v>
      </c>
      <c r="M40" s="1289">
        <v>1.4</v>
      </c>
      <c r="N40" s="1288">
        <f t="shared" si="69"/>
        <v>1.45</v>
      </c>
      <c r="O40" s="1289">
        <v>1.5</v>
      </c>
      <c r="P40" s="1267"/>
      <c r="Q40" s="1275" t="s">
        <v>883</v>
      </c>
      <c r="R40" s="1286">
        <f t="shared" si="60"/>
        <v>0</v>
      </c>
      <c r="S40" s="1279">
        <f t="shared" si="70"/>
        <v>0.75</v>
      </c>
      <c r="T40" s="1279">
        <f t="shared" si="71"/>
        <v>0.9</v>
      </c>
      <c r="U40" s="1279">
        <f t="shared" si="72"/>
        <v>1</v>
      </c>
      <c r="V40" s="1279">
        <f t="shared" si="73"/>
        <v>1</v>
      </c>
      <c r="W40" s="1279">
        <f t="shared" si="74"/>
        <v>1.05</v>
      </c>
      <c r="X40" s="1279">
        <f t="shared" si="75"/>
        <v>1.05</v>
      </c>
      <c r="Y40" s="1279">
        <f t="shared" si="76"/>
        <v>1.1499999999999999</v>
      </c>
      <c r="Z40" s="1279">
        <f t="shared" si="77"/>
        <v>1.25</v>
      </c>
      <c r="AA40" s="1267"/>
      <c r="AB40" s="1275" t="s">
        <v>883</v>
      </c>
      <c r="AC40" s="1286">
        <f t="shared" si="61"/>
        <v>0</v>
      </c>
      <c r="AD40" s="1279">
        <f t="shared" si="78"/>
        <v>0.75</v>
      </c>
      <c r="AE40" s="1279">
        <f t="shared" si="79"/>
        <v>0.9</v>
      </c>
      <c r="AF40" s="1279">
        <f t="shared" si="80"/>
        <v>1</v>
      </c>
      <c r="AG40" s="1279">
        <f t="shared" si="81"/>
        <v>1</v>
      </c>
      <c r="AH40" s="1279">
        <f t="shared" si="82"/>
        <v>1.05</v>
      </c>
      <c r="AI40" s="1279">
        <f t="shared" si="83"/>
        <v>1.05</v>
      </c>
      <c r="AJ40" s="1279">
        <f t="shared" si="84"/>
        <v>1.1499999999999999</v>
      </c>
      <c r="AK40" s="1279">
        <f t="shared" si="85"/>
        <v>1.25</v>
      </c>
      <c r="AL40" s="1267"/>
      <c r="AM40" s="1285" t="s">
        <v>884</v>
      </c>
      <c r="AN40" s="1286">
        <f>AN38+1</f>
        <v>-5</v>
      </c>
      <c r="AO40" s="1286">
        <f t="shared" ref="AO40:AU40" si="89">AO38+1</f>
        <v>-5</v>
      </c>
      <c r="AP40" s="1286">
        <f t="shared" si="89"/>
        <v>-5</v>
      </c>
      <c r="AQ40" s="1286">
        <f t="shared" si="89"/>
        <v>-5</v>
      </c>
      <c r="AR40" s="1286">
        <f t="shared" si="89"/>
        <v>-5</v>
      </c>
      <c r="AS40" s="1286">
        <f t="shared" si="89"/>
        <v>-5</v>
      </c>
      <c r="AT40" s="1286">
        <f t="shared" si="89"/>
        <v>-5</v>
      </c>
      <c r="AU40" s="1286">
        <f t="shared" si="89"/>
        <v>-5</v>
      </c>
    </row>
    <row r="41" spans="1:47">
      <c r="A41" s="1287">
        <v>60</v>
      </c>
      <c r="B41" s="1288">
        <f t="shared" si="63"/>
        <v>0.5</v>
      </c>
      <c r="C41" s="1289">
        <v>0.5</v>
      </c>
      <c r="D41" s="1288">
        <f t="shared" si="64"/>
        <v>0.6</v>
      </c>
      <c r="E41" s="1289">
        <v>0.7</v>
      </c>
      <c r="F41" s="1288">
        <f t="shared" si="65"/>
        <v>0.77499999999999991</v>
      </c>
      <c r="G41" s="1289">
        <v>0.85</v>
      </c>
      <c r="H41" s="1288">
        <f t="shared" si="66"/>
        <v>0.95</v>
      </c>
      <c r="I41" s="1289">
        <v>1.05</v>
      </c>
      <c r="J41" s="1288">
        <f t="shared" si="67"/>
        <v>1.2000000000000002</v>
      </c>
      <c r="K41" s="1289">
        <v>1.35</v>
      </c>
      <c r="L41" s="1288">
        <f t="shared" si="68"/>
        <v>1.425</v>
      </c>
      <c r="M41" s="1289">
        <v>1.5</v>
      </c>
      <c r="N41" s="1288">
        <f t="shared" si="69"/>
        <v>1.6</v>
      </c>
      <c r="O41" s="1289">
        <v>1.7</v>
      </c>
      <c r="P41" s="1267"/>
      <c r="Q41" s="1275" t="s">
        <v>885</v>
      </c>
      <c r="R41" s="1286">
        <f t="shared" si="60"/>
        <v>0</v>
      </c>
      <c r="S41" s="1279">
        <f t="shared" si="70"/>
        <v>0.75</v>
      </c>
      <c r="T41" s="1279">
        <f t="shared" si="71"/>
        <v>0.9</v>
      </c>
      <c r="U41" s="1279">
        <f t="shared" si="72"/>
        <v>1</v>
      </c>
      <c r="V41" s="1279">
        <f t="shared" si="73"/>
        <v>1</v>
      </c>
      <c r="W41" s="1279">
        <f t="shared" si="74"/>
        <v>1.05</v>
      </c>
      <c r="X41" s="1279">
        <f t="shared" si="75"/>
        <v>1.05</v>
      </c>
      <c r="Y41" s="1279">
        <f t="shared" si="76"/>
        <v>1.1499999999999999</v>
      </c>
      <c r="Z41" s="1279">
        <f t="shared" si="77"/>
        <v>1.25</v>
      </c>
      <c r="AA41" s="1267"/>
      <c r="AB41" s="1275" t="s">
        <v>885</v>
      </c>
      <c r="AC41" s="1286">
        <f t="shared" si="61"/>
        <v>0</v>
      </c>
      <c r="AD41" s="1279">
        <f t="shared" si="78"/>
        <v>0.75</v>
      </c>
      <c r="AE41" s="1279">
        <f t="shared" si="79"/>
        <v>0.9</v>
      </c>
      <c r="AF41" s="1279">
        <f t="shared" si="80"/>
        <v>1</v>
      </c>
      <c r="AG41" s="1279">
        <f t="shared" si="81"/>
        <v>1</v>
      </c>
      <c r="AH41" s="1279">
        <f t="shared" si="82"/>
        <v>1.05</v>
      </c>
      <c r="AI41" s="1279">
        <f t="shared" si="83"/>
        <v>1.05</v>
      </c>
      <c r="AJ41" s="1279">
        <f t="shared" si="84"/>
        <v>1.1499999999999999</v>
      </c>
      <c r="AK41" s="1279">
        <f t="shared" si="85"/>
        <v>1.25</v>
      </c>
      <c r="AL41" s="1267"/>
      <c r="AM41" s="1285" t="s">
        <v>886</v>
      </c>
      <c r="AN41" s="1290">
        <f t="shared" ref="AN41:AU41" si="90">HLOOKUP(AN40,$B$34:$O$45,AN42)</f>
        <v>0.47499999999999998</v>
      </c>
      <c r="AO41" s="1290">
        <f t="shared" si="90"/>
        <v>0.55000000000000004</v>
      </c>
      <c r="AP41" s="1290">
        <f t="shared" si="90"/>
        <v>0.57499999999999996</v>
      </c>
      <c r="AQ41" s="1290">
        <f t="shared" si="90"/>
        <v>0.60000000000000009</v>
      </c>
      <c r="AR41" s="1290">
        <f t="shared" si="90"/>
        <v>0.625</v>
      </c>
      <c r="AS41" s="1290">
        <f t="shared" si="90"/>
        <v>0.6</v>
      </c>
      <c r="AT41" s="1290">
        <f t="shared" si="90"/>
        <v>0.67500000000000004</v>
      </c>
      <c r="AU41" s="1290">
        <f t="shared" si="90"/>
        <v>0.77499999999999991</v>
      </c>
    </row>
    <row r="42" spans="1:47">
      <c r="A42" s="1282">
        <v>70</v>
      </c>
      <c r="B42" s="1283">
        <f t="shared" si="63"/>
        <v>0.55000000000000004</v>
      </c>
      <c r="C42" s="1284">
        <v>0.55000000000000004</v>
      </c>
      <c r="D42" s="1283">
        <f t="shared" si="64"/>
        <v>0.67500000000000004</v>
      </c>
      <c r="E42" s="1284">
        <v>0.8</v>
      </c>
      <c r="F42" s="1283">
        <f t="shared" si="65"/>
        <v>0.85000000000000009</v>
      </c>
      <c r="G42" s="1284">
        <v>0.9</v>
      </c>
      <c r="H42" s="1283">
        <f t="shared" si="66"/>
        <v>1.0249999999999999</v>
      </c>
      <c r="I42" s="1284">
        <v>1.1499999999999999</v>
      </c>
      <c r="J42" s="1283">
        <f t="shared" si="67"/>
        <v>1.325</v>
      </c>
      <c r="K42" s="1284">
        <v>1.5</v>
      </c>
      <c r="L42" s="1283">
        <f t="shared" si="68"/>
        <v>1.575</v>
      </c>
      <c r="M42" s="1284">
        <v>1.65</v>
      </c>
      <c r="N42" s="1283">
        <f t="shared" si="69"/>
        <v>1.7749999999999999</v>
      </c>
      <c r="O42" s="1284">
        <v>1.9</v>
      </c>
      <c r="P42" s="1267"/>
      <c r="Q42" s="1275" t="s">
        <v>887</v>
      </c>
      <c r="R42" s="1286">
        <f t="shared" si="60"/>
        <v>0</v>
      </c>
      <c r="S42" s="1279">
        <f t="shared" si="70"/>
        <v>0.75</v>
      </c>
      <c r="T42" s="1279">
        <f t="shared" si="71"/>
        <v>0.9</v>
      </c>
      <c r="U42" s="1279">
        <f t="shared" si="72"/>
        <v>1</v>
      </c>
      <c r="V42" s="1279">
        <f t="shared" si="73"/>
        <v>1</v>
      </c>
      <c r="W42" s="1279">
        <f t="shared" si="74"/>
        <v>1.05</v>
      </c>
      <c r="X42" s="1279">
        <f t="shared" si="75"/>
        <v>1.05</v>
      </c>
      <c r="Y42" s="1279">
        <f t="shared" si="76"/>
        <v>1.1499999999999999</v>
      </c>
      <c r="Z42" s="1279">
        <f t="shared" si="77"/>
        <v>1.25</v>
      </c>
      <c r="AA42" s="1267"/>
      <c r="AB42" s="1275" t="s">
        <v>887</v>
      </c>
      <c r="AC42" s="1286">
        <f t="shared" si="61"/>
        <v>0</v>
      </c>
      <c r="AD42" s="1279">
        <f t="shared" si="78"/>
        <v>0.75</v>
      </c>
      <c r="AE42" s="1279">
        <f t="shared" si="79"/>
        <v>0.9</v>
      </c>
      <c r="AF42" s="1279">
        <f t="shared" si="80"/>
        <v>1</v>
      </c>
      <c r="AG42" s="1279">
        <f t="shared" si="81"/>
        <v>1</v>
      </c>
      <c r="AH42" s="1279">
        <f t="shared" si="82"/>
        <v>1.05</v>
      </c>
      <c r="AI42" s="1279">
        <f t="shared" si="83"/>
        <v>1.05</v>
      </c>
      <c r="AJ42" s="1279">
        <f t="shared" si="84"/>
        <v>1.1499999999999999</v>
      </c>
      <c r="AK42" s="1279">
        <f t="shared" si="85"/>
        <v>1.25</v>
      </c>
      <c r="AL42" s="1267"/>
      <c r="AM42" s="1267"/>
      <c r="AN42" s="1275">
        <v>3</v>
      </c>
      <c r="AO42" s="1275">
        <v>4</v>
      </c>
      <c r="AP42" s="1275">
        <v>5</v>
      </c>
      <c r="AQ42" s="1275">
        <v>6</v>
      </c>
      <c r="AR42" s="1275">
        <v>7</v>
      </c>
      <c r="AS42" s="1275">
        <v>8</v>
      </c>
      <c r="AT42" s="1275">
        <v>9</v>
      </c>
      <c r="AU42" s="1275">
        <v>10</v>
      </c>
    </row>
    <row r="43" spans="1:47">
      <c r="A43" s="1282">
        <v>80</v>
      </c>
      <c r="B43" s="1283">
        <f t="shared" si="63"/>
        <v>0.7</v>
      </c>
      <c r="C43" s="1284">
        <v>0.7</v>
      </c>
      <c r="D43" s="1283">
        <f t="shared" si="64"/>
        <v>0.77499999999999991</v>
      </c>
      <c r="E43" s="1284">
        <v>0.85</v>
      </c>
      <c r="F43" s="1283">
        <f t="shared" si="65"/>
        <v>0.89999999999999991</v>
      </c>
      <c r="G43" s="1284">
        <v>0.95</v>
      </c>
      <c r="H43" s="1283">
        <f t="shared" si="66"/>
        <v>1.1000000000000001</v>
      </c>
      <c r="I43" s="1284">
        <v>1.25</v>
      </c>
      <c r="J43" s="1283">
        <f t="shared" si="67"/>
        <v>1.45</v>
      </c>
      <c r="K43" s="1284">
        <v>1.65</v>
      </c>
      <c r="L43" s="1283">
        <f t="shared" si="68"/>
        <v>1.7250000000000001</v>
      </c>
      <c r="M43" s="1284">
        <v>1.8</v>
      </c>
      <c r="N43" s="1283">
        <f t="shared" si="69"/>
        <v>1.9500000000000002</v>
      </c>
      <c r="O43" s="1284">
        <v>2.1</v>
      </c>
      <c r="P43" s="1267"/>
      <c r="Q43" s="1275" t="s">
        <v>888</v>
      </c>
      <c r="R43" s="1286">
        <f t="shared" si="60"/>
        <v>0</v>
      </c>
      <c r="S43" s="1279">
        <f t="shared" si="70"/>
        <v>0.75</v>
      </c>
      <c r="T43" s="1279">
        <f t="shared" si="71"/>
        <v>0.9</v>
      </c>
      <c r="U43" s="1279">
        <f t="shared" si="72"/>
        <v>1</v>
      </c>
      <c r="V43" s="1279">
        <f t="shared" si="73"/>
        <v>1</v>
      </c>
      <c r="W43" s="1279">
        <f t="shared" si="74"/>
        <v>1.05</v>
      </c>
      <c r="X43" s="1279">
        <f t="shared" si="75"/>
        <v>1.05</v>
      </c>
      <c r="Y43" s="1279">
        <f t="shared" si="76"/>
        <v>1.1499999999999999</v>
      </c>
      <c r="Z43" s="1279">
        <f t="shared" si="77"/>
        <v>1.25</v>
      </c>
      <c r="AA43" s="1267"/>
      <c r="AB43" s="1275" t="s">
        <v>888</v>
      </c>
      <c r="AC43" s="1286">
        <f t="shared" si="61"/>
        <v>0</v>
      </c>
      <c r="AD43" s="1279">
        <f t="shared" si="78"/>
        <v>0.75</v>
      </c>
      <c r="AE43" s="1279">
        <f t="shared" si="79"/>
        <v>0.9</v>
      </c>
      <c r="AF43" s="1279">
        <f t="shared" si="80"/>
        <v>1</v>
      </c>
      <c r="AG43" s="1279">
        <f t="shared" si="81"/>
        <v>1</v>
      </c>
      <c r="AH43" s="1279">
        <f t="shared" si="82"/>
        <v>1.05</v>
      </c>
      <c r="AI43" s="1279">
        <f t="shared" si="83"/>
        <v>1.05</v>
      </c>
      <c r="AJ43" s="1279">
        <f t="shared" si="84"/>
        <v>1.1499999999999999</v>
      </c>
      <c r="AK43" s="1279">
        <f t="shared" si="85"/>
        <v>1.25</v>
      </c>
      <c r="AL43" s="1267"/>
      <c r="AM43" s="1267"/>
      <c r="AN43" s="1267"/>
      <c r="AO43" s="1267"/>
      <c r="AP43" s="1267"/>
      <c r="AQ43" s="1267"/>
      <c r="AR43" s="1267"/>
      <c r="AS43" s="1267"/>
      <c r="AT43" s="1267"/>
      <c r="AU43" s="1267"/>
    </row>
    <row r="44" spans="1:47">
      <c r="A44" s="1275">
        <v>90</v>
      </c>
      <c r="B44" s="1276">
        <f t="shared" si="63"/>
        <v>0.85</v>
      </c>
      <c r="C44" s="1277">
        <v>0.85</v>
      </c>
      <c r="D44" s="1276">
        <f t="shared" si="64"/>
        <v>0.92500000000000004</v>
      </c>
      <c r="E44" s="1277">
        <v>1</v>
      </c>
      <c r="F44" s="1276">
        <f t="shared" si="65"/>
        <v>1.0249999999999999</v>
      </c>
      <c r="G44" s="1277">
        <v>1.05</v>
      </c>
      <c r="H44" s="1276">
        <f t="shared" si="66"/>
        <v>1.175</v>
      </c>
      <c r="I44" s="1277">
        <v>1.3</v>
      </c>
      <c r="J44" s="1276">
        <f t="shared" si="67"/>
        <v>1.5249999999999999</v>
      </c>
      <c r="K44" s="1277">
        <v>1.75</v>
      </c>
      <c r="L44" s="1276">
        <f t="shared" si="68"/>
        <v>1.85</v>
      </c>
      <c r="M44" s="1277">
        <v>1.95</v>
      </c>
      <c r="N44" s="1276">
        <f t="shared" si="69"/>
        <v>2.25</v>
      </c>
      <c r="O44" s="1277">
        <v>2.5499999999999998</v>
      </c>
      <c r="P44" s="1267"/>
      <c r="Q44" s="1275" t="s">
        <v>889</v>
      </c>
      <c r="R44" s="1286">
        <f t="shared" si="60"/>
        <v>0</v>
      </c>
      <c r="S44" s="1279">
        <f t="shared" si="70"/>
        <v>0.75</v>
      </c>
      <c r="T44" s="1279">
        <f t="shared" si="71"/>
        <v>0.9</v>
      </c>
      <c r="U44" s="1279">
        <f t="shared" si="72"/>
        <v>1</v>
      </c>
      <c r="V44" s="1279">
        <f t="shared" si="73"/>
        <v>1</v>
      </c>
      <c r="W44" s="1279">
        <f t="shared" si="74"/>
        <v>1.05</v>
      </c>
      <c r="X44" s="1279">
        <f t="shared" si="75"/>
        <v>1.05</v>
      </c>
      <c r="Y44" s="1279">
        <f t="shared" si="76"/>
        <v>1.1499999999999999</v>
      </c>
      <c r="Z44" s="1279">
        <f t="shared" si="77"/>
        <v>1.25</v>
      </c>
      <c r="AA44" s="1267"/>
      <c r="AB44" s="1275" t="s">
        <v>889</v>
      </c>
      <c r="AC44" s="1286">
        <f t="shared" si="61"/>
        <v>0</v>
      </c>
      <c r="AD44" s="1279">
        <f t="shared" si="78"/>
        <v>0.75</v>
      </c>
      <c r="AE44" s="1279">
        <f t="shared" si="79"/>
        <v>0.9</v>
      </c>
      <c r="AF44" s="1279">
        <f t="shared" si="80"/>
        <v>1</v>
      </c>
      <c r="AG44" s="1279">
        <f t="shared" si="81"/>
        <v>1</v>
      </c>
      <c r="AH44" s="1279">
        <f t="shared" si="82"/>
        <v>1.05</v>
      </c>
      <c r="AI44" s="1279">
        <f t="shared" si="83"/>
        <v>1.05</v>
      </c>
      <c r="AJ44" s="1279">
        <f t="shared" si="84"/>
        <v>1.1499999999999999</v>
      </c>
      <c r="AK44" s="1279">
        <f t="shared" si="85"/>
        <v>1.25</v>
      </c>
      <c r="AL44" s="1267"/>
      <c r="AM44" s="1267"/>
      <c r="AN44" s="1267"/>
      <c r="AO44" s="1267"/>
      <c r="AP44" s="1267"/>
      <c r="AQ44" s="1267"/>
      <c r="AR44" s="1267"/>
      <c r="AS44" s="1267"/>
      <c r="AT44" s="1267"/>
      <c r="AU44" s="1267"/>
    </row>
    <row r="45" spans="1:47">
      <c r="A45" s="1275">
        <v>100</v>
      </c>
      <c r="B45" s="1276">
        <f t="shared" si="63"/>
        <v>1</v>
      </c>
      <c r="C45" s="1277">
        <v>1</v>
      </c>
      <c r="D45" s="1276">
        <f t="shared" si="64"/>
        <v>1.075</v>
      </c>
      <c r="E45" s="1277">
        <v>1.1499999999999999</v>
      </c>
      <c r="F45" s="1276">
        <f t="shared" si="65"/>
        <v>1.125</v>
      </c>
      <c r="G45" s="1277">
        <v>1.1000000000000001</v>
      </c>
      <c r="H45" s="1276">
        <f t="shared" si="66"/>
        <v>1.25</v>
      </c>
      <c r="I45" s="1277">
        <v>1.4</v>
      </c>
      <c r="J45" s="1276">
        <f t="shared" si="67"/>
        <v>1.6749999999999998</v>
      </c>
      <c r="K45" s="1277">
        <v>1.95</v>
      </c>
      <c r="L45" s="1276">
        <f t="shared" si="68"/>
        <v>2.125</v>
      </c>
      <c r="M45" s="1277">
        <v>2.2999999999999998</v>
      </c>
      <c r="N45" s="1276">
        <f t="shared" si="69"/>
        <v>2.5750000000000002</v>
      </c>
      <c r="O45" s="1277">
        <v>2.85</v>
      </c>
      <c r="P45" s="1267"/>
      <c r="Q45" s="1267"/>
      <c r="R45" s="1267"/>
      <c r="S45" s="1267"/>
      <c r="T45" s="1267"/>
      <c r="U45" s="1267"/>
      <c r="V45" s="1267"/>
      <c r="W45" s="1267"/>
      <c r="X45" s="1267"/>
      <c r="Y45" s="1267"/>
      <c r="Z45" s="1267"/>
      <c r="AA45" s="1267"/>
      <c r="AB45" s="1267"/>
      <c r="AC45" s="1267"/>
      <c r="AD45" s="1267"/>
      <c r="AE45" s="1267"/>
      <c r="AF45" s="1267"/>
      <c r="AG45" s="1267"/>
      <c r="AH45" s="1267"/>
      <c r="AI45" s="1267"/>
      <c r="AJ45" s="1267"/>
      <c r="AK45" s="1267"/>
      <c r="AL45" s="1267"/>
      <c r="AM45" s="1267"/>
      <c r="AN45" s="1267"/>
      <c r="AO45" s="1267"/>
      <c r="AP45" s="1267"/>
      <c r="AQ45" s="1267"/>
      <c r="AR45" s="1267"/>
      <c r="AS45" s="1267"/>
      <c r="AT45" s="1267"/>
      <c r="AU45" s="1267"/>
    </row>
    <row r="46" spans="1:47">
      <c r="A46" s="1270" t="s">
        <v>896</v>
      </c>
      <c r="B46" s="1267"/>
      <c r="C46" s="1267"/>
      <c r="D46" s="1267"/>
      <c r="E46" s="1267"/>
      <c r="F46" s="1267"/>
      <c r="G46" s="1267"/>
      <c r="H46" s="1267"/>
      <c r="I46" s="1267"/>
      <c r="J46" s="1267"/>
      <c r="K46" s="1267"/>
      <c r="L46" s="1267"/>
      <c r="M46" s="1267"/>
      <c r="N46" s="1267"/>
      <c r="O46" s="1267"/>
      <c r="P46" s="1267"/>
      <c r="Q46" s="1267"/>
      <c r="R46" s="1267"/>
      <c r="S46" s="1267"/>
      <c r="T46" s="1267"/>
      <c r="U46" s="1267"/>
      <c r="V46" s="1267"/>
      <c r="W46" s="1267"/>
      <c r="X46" s="1267"/>
      <c r="Y46" s="1267"/>
      <c r="Z46" s="1267"/>
      <c r="AA46" s="1267"/>
      <c r="AB46" s="1267"/>
      <c r="AC46" s="1267"/>
      <c r="AD46" s="1267"/>
      <c r="AE46" s="1267"/>
      <c r="AF46" s="1267"/>
      <c r="AG46" s="1267"/>
      <c r="AH46" s="1267"/>
      <c r="AI46" s="1267"/>
      <c r="AJ46" s="1267"/>
      <c r="AK46" s="1267"/>
      <c r="AL46" s="1267"/>
      <c r="AM46" s="1267"/>
      <c r="AN46" s="1267"/>
      <c r="AO46" s="1267"/>
      <c r="AP46" s="1267"/>
      <c r="AQ46" s="1267"/>
      <c r="AR46" s="1267"/>
      <c r="AS46" s="1267"/>
      <c r="AT46" s="1267"/>
      <c r="AU46" s="1267"/>
    </row>
    <row r="47" spans="1:47">
      <c r="A47" s="1271"/>
      <c r="B47" s="1271"/>
      <c r="C47" s="1522" t="s">
        <v>869</v>
      </c>
      <c r="D47" s="1522"/>
      <c r="E47" s="1522"/>
      <c r="F47" s="1522"/>
      <c r="G47" s="1522"/>
      <c r="H47" s="1522"/>
      <c r="I47" s="1522"/>
      <c r="J47" s="1522"/>
      <c r="K47" s="1522"/>
      <c r="L47" s="1522"/>
      <c r="M47" s="1522"/>
      <c r="N47" s="1522"/>
      <c r="O47" s="1522"/>
      <c r="P47" s="1267"/>
      <c r="Q47" s="1270" t="s">
        <v>914</v>
      </c>
      <c r="R47" s="1267"/>
      <c r="S47" s="1267"/>
      <c r="T47" s="1267"/>
      <c r="U47" s="1267"/>
      <c r="V47" s="1267"/>
      <c r="W47" s="1267"/>
      <c r="X47" s="1267"/>
      <c r="Y47" s="1267"/>
      <c r="Z47" s="1267"/>
      <c r="AA47" s="1267"/>
      <c r="AB47" s="1270" t="s">
        <v>915</v>
      </c>
      <c r="AC47" s="1267"/>
      <c r="AD47" s="1267"/>
      <c r="AE47" s="1267"/>
      <c r="AF47" s="1267"/>
      <c r="AG47" s="1267"/>
      <c r="AH47" s="1267"/>
      <c r="AI47" s="1267"/>
      <c r="AJ47" s="1267"/>
      <c r="AK47" s="1267"/>
      <c r="AL47" s="1267"/>
      <c r="AM47" s="1272" t="s">
        <v>872</v>
      </c>
      <c r="AN47" s="1267"/>
      <c r="AO47" s="1267"/>
      <c r="AP47" s="1267"/>
      <c r="AQ47" s="1267"/>
      <c r="AR47" s="1267"/>
      <c r="AS47" s="1267"/>
      <c r="AT47" s="1267"/>
      <c r="AU47" s="1267"/>
    </row>
    <row r="48" spans="1:47">
      <c r="A48" s="1273" t="s">
        <v>873</v>
      </c>
      <c r="B48" s="1274">
        <v>-100</v>
      </c>
      <c r="C48" s="1273">
        <v>-6</v>
      </c>
      <c r="D48" s="1274">
        <f>(C48+E48)/2</f>
        <v>-5</v>
      </c>
      <c r="E48" s="1273">
        <v>-4</v>
      </c>
      <c r="F48" s="1274">
        <f>(E48+G48)/2</f>
        <v>-3</v>
      </c>
      <c r="G48" s="1273">
        <v>-2</v>
      </c>
      <c r="H48" s="1274">
        <f>(G48+I48)/2</f>
        <v>-1</v>
      </c>
      <c r="I48" s="1273">
        <v>0</v>
      </c>
      <c r="J48" s="1274">
        <f>(I48+K48)/2</f>
        <v>1</v>
      </c>
      <c r="K48" s="1273">
        <v>2</v>
      </c>
      <c r="L48" s="1274">
        <f>(K48+M48)/2</f>
        <v>3</v>
      </c>
      <c r="M48" s="1273">
        <v>4</v>
      </c>
      <c r="N48" s="1274">
        <f>(M48+O48)/2</f>
        <v>5</v>
      </c>
      <c r="O48" s="1273">
        <v>6</v>
      </c>
      <c r="P48" s="1267"/>
      <c r="Q48" s="1273" t="s">
        <v>874</v>
      </c>
      <c r="R48" s="1273" t="s">
        <v>869</v>
      </c>
      <c r="S48" s="1273">
        <v>10</v>
      </c>
      <c r="T48" s="1273">
        <v>20</v>
      </c>
      <c r="U48" s="1273">
        <v>30</v>
      </c>
      <c r="V48" s="1273">
        <v>40</v>
      </c>
      <c r="W48" s="1273">
        <v>50</v>
      </c>
      <c r="X48" s="1273">
        <v>60</v>
      </c>
      <c r="Y48" s="1273">
        <v>70</v>
      </c>
      <c r="Z48" s="1273">
        <v>80</v>
      </c>
      <c r="AA48" s="1267"/>
      <c r="AB48" s="1273" t="s">
        <v>874</v>
      </c>
      <c r="AC48" s="1273" t="s">
        <v>869</v>
      </c>
      <c r="AD48" s="1273">
        <v>10</v>
      </c>
      <c r="AE48" s="1273">
        <v>20</v>
      </c>
      <c r="AF48" s="1273">
        <v>30</v>
      </c>
      <c r="AG48" s="1273">
        <v>40</v>
      </c>
      <c r="AH48" s="1273">
        <v>50</v>
      </c>
      <c r="AI48" s="1273">
        <v>60</v>
      </c>
      <c r="AJ48" s="1273">
        <v>70</v>
      </c>
      <c r="AK48" s="1273">
        <v>80</v>
      </c>
      <c r="AL48" s="1267"/>
      <c r="AM48" s="1273" t="s">
        <v>875</v>
      </c>
      <c r="AN48" s="1273">
        <v>10</v>
      </c>
      <c r="AO48" s="1273">
        <v>20</v>
      </c>
      <c r="AP48" s="1273">
        <v>30</v>
      </c>
      <c r="AQ48" s="1273">
        <v>40</v>
      </c>
      <c r="AR48" s="1273">
        <v>50</v>
      </c>
      <c r="AS48" s="1273">
        <v>60</v>
      </c>
      <c r="AT48" s="1273">
        <v>70</v>
      </c>
      <c r="AU48" s="1273">
        <v>80</v>
      </c>
    </row>
    <row r="49" spans="1:47">
      <c r="A49" s="1275">
        <v>0</v>
      </c>
      <c r="B49" s="1276">
        <f>C49</f>
        <v>0.14099999999999999</v>
      </c>
      <c r="C49" s="1277">
        <v>0.14099999999999999</v>
      </c>
      <c r="D49" s="1276">
        <f>(C49+E49)/2</f>
        <v>0.14099999999999999</v>
      </c>
      <c r="E49" s="1277">
        <v>0.14099999999999999</v>
      </c>
      <c r="F49" s="1276">
        <f>(E49+G49)/2</f>
        <v>0.14099999999999999</v>
      </c>
      <c r="G49" s="1277">
        <v>0.14099999999999999</v>
      </c>
      <c r="H49" s="1276">
        <f>(G49+I49)/2</f>
        <v>0.14099999999999999</v>
      </c>
      <c r="I49" s="1277">
        <v>0.14099999999999999</v>
      </c>
      <c r="J49" s="1276">
        <f>(I49+K49)/2</f>
        <v>0.14099999999999999</v>
      </c>
      <c r="K49" s="1277">
        <v>0.14099999999999999</v>
      </c>
      <c r="L49" s="1276">
        <f>(K49+M49)/2</f>
        <v>0.14099999999999999</v>
      </c>
      <c r="M49" s="1277">
        <v>0.14099999999999999</v>
      </c>
      <c r="N49" s="1276">
        <f>(M49+O49)/2</f>
        <v>0.14099999999999999</v>
      </c>
      <c r="O49" s="1277">
        <v>0.14099999999999999</v>
      </c>
      <c r="P49" s="1267"/>
      <c r="Q49" s="1275" t="s">
        <v>876</v>
      </c>
      <c r="R49" s="1286">
        <f t="shared" ref="R49:R58" si="91">R35</f>
        <v>0</v>
      </c>
      <c r="S49" s="1279">
        <f>HLOOKUP(INT($R49),$B$48:$O$59,3)+(HLOOKUP(INT($R49)+1,$B$48:$O$59,3)-HLOOKUP(INT($R49),$B$48:$O$59,3))*($R49-INT($R49))</f>
        <v>0.78100000000000003</v>
      </c>
      <c r="T49" s="1279">
        <f>HLOOKUP(INT($R49),$B$48:$O$59,4)+(HLOOKUP(INT($R49)+1,$B$48:$O$59,4)-HLOOKUP(INT($R49),$B$48:$O$59,4))*($R49-INT($R49))</f>
        <v>0.82899999999999996</v>
      </c>
      <c r="U49" s="1279">
        <f>HLOOKUP(INT($R49),$B$48:$O$59,5)+(HLOOKUP(INT($R49)+1,$B$48:$O$59,5)-HLOOKUP(INT($R49),$B$48:$O$59,5))*($R49-INT($R49))</f>
        <v>0.88800000000000001</v>
      </c>
      <c r="V49" s="1279">
        <f>HLOOKUP(INT($R49),$B$48:$O$59,6)+(HLOOKUP(INT($R49)+1,$B$48:$O$59,6)-HLOOKUP(INT($R49),$B$48:$O$59,6))*($R49-INT($R49))</f>
        <v>1</v>
      </c>
      <c r="W49" s="1279">
        <f>HLOOKUP(INT($R49),$B$48:$O$59,7)+(HLOOKUP(INT($R49)+1,$B$48:$O$59,7)-HLOOKUP(INT($R49),$B$48:$O$59,7))*($R49-INT($R49))</f>
        <v>1.093</v>
      </c>
      <c r="X49" s="1279">
        <f>HLOOKUP(INT($R49),$B$48:$O$59,8)+(HLOOKUP(INT($R49)+1,$B$48:$O$59,8)-HLOOKUP(INT($R49),$B$48:$O$59,8))*($R49-INT($R49))</f>
        <v>1.2969999999999999</v>
      </c>
      <c r="Y49" s="1279">
        <f>HLOOKUP(INT($R49),$B$48:$O$59,9)+(HLOOKUP(INT($R49)+1,$B$48:$O$59,9)-HLOOKUP(INT($R49),$B$48:$O$59,9))*($R49-INT($R49))</f>
        <v>1.498</v>
      </c>
      <c r="Z49" s="1279">
        <f>HLOOKUP(INT($R49),$B$48:$O$59,10)+(HLOOKUP(INT($R49)+1,$B$48:$O$59,10)-HLOOKUP(INT($R49),$B$48:$O$59,10))*($R49-INT($R49))</f>
        <v>1.7030000000000001</v>
      </c>
      <c r="AA49" s="1267"/>
      <c r="AB49" s="1275" t="s">
        <v>876</v>
      </c>
      <c r="AC49" s="1286">
        <f t="shared" ref="AC49:AC58" si="92">AC35</f>
        <v>1.784</v>
      </c>
      <c r="AD49" s="1279">
        <f>HLOOKUP(INT($AC49),$B$48:$O$59,3)+(HLOOKUP(INT($AC49)+1,$B$48:$O$59,3)-HLOOKUP(INT($AC49),$B$48:$O$59,3))*($AC49-INT($AC49))</f>
        <v>0.88982400000000006</v>
      </c>
      <c r="AE49" s="1279">
        <f>HLOOKUP(INT($AC49),$B$48:$O$59,4)+(HLOOKUP(INT($AC49)+1,$B$48:$O$59,4)-HLOOKUP(INT($AC49),$B$48:$O$59,4))*($AC49-INT($AC49))</f>
        <v>0.95833999999999997</v>
      </c>
      <c r="AF49" s="1279">
        <f>HLOOKUP(INT($AC49),$B$48:$O$59,5)+(HLOOKUP(INT($AC49)+1,$B$48:$O$59,5)-HLOOKUP(INT($AC49),$B$48:$O$59,5))*($AC49-INT($AC49))</f>
        <v>1.111</v>
      </c>
      <c r="AG49" s="1279">
        <f>HLOOKUP(INT($AC49),$B$48:$O$59,6)+(HLOOKUP(INT($AC49)+1,$B$48:$O$59,6)-HLOOKUP(INT($AC49),$B$48:$O$59,6))*($AC49-INT($AC49))</f>
        <v>1.3452040000000001</v>
      </c>
      <c r="AH49" s="1279">
        <f>HLOOKUP(INT($AC49),$B$48:$O$59,7)+(HLOOKUP(INT($AC49)+1,$B$48:$O$59,7)-HLOOKUP(INT($AC49),$B$48:$O$59,7))*($AC49-INT($AC49))</f>
        <v>1.5505960000000001</v>
      </c>
      <c r="AI49" s="1279">
        <f>HLOOKUP(INT($AC49),$B$48:$O$59,8)+(HLOOKUP(INT($AC49)+1,$B$48:$O$59,8)-HLOOKUP(INT($AC49),$B$48:$O$59,8))*($AC49-INT($AC49))</f>
        <v>1.9071280000000002</v>
      </c>
      <c r="AJ49" s="1279">
        <f>HLOOKUP(INT($AC49),$B$48:$O$59,9)+(HLOOKUP(INT($AC49)+1,$B$48:$O$59,9)-HLOOKUP(INT($AC49),$B$48:$O$59,9))*($AC49-INT($AC49))</f>
        <v>2.254416</v>
      </c>
      <c r="AK49" s="1279">
        <f>HLOOKUP(INT($AC49),$B$48:$O$59,10)+(HLOOKUP(INT($AC49)+1,$B$48:$O$59,10)-HLOOKUP(INT($AC49),$B$48:$O$59,10))*($AC49-INT($AC49))</f>
        <v>2.6146240000000001</v>
      </c>
      <c r="AL49" s="1267"/>
      <c r="AM49" s="1280" t="s">
        <v>869</v>
      </c>
      <c r="AN49" s="1278">
        <f>R58</f>
        <v>0</v>
      </c>
      <c r="AO49" s="1281">
        <f>AN49</f>
        <v>0</v>
      </c>
      <c r="AP49" s="1281">
        <f t="shared" ref="AP49:AU49" si="93">AO49</f>
        <v>0</v>
      </c>
      <c r="AQ49" s="1281">
        <f t="shared" si="93"/>
        <v>0</v>
      </c>
      <c r="AR49" s="1281">
        <f t="shared" si="93"/>
        <v>0</v>
      </c>
      <c r="AS49" s="1281">
        <f t="shared" si="93"/>
        <v>0</v>
      </c>
      <c r="AT49" s="1281">
        <f t="shared" si="93"/>
        <v>0</v>
      </c>
      <c r="AU49" s="1281">
        <f t="shared" si="93"/>
        <v>0</v>
      </c>
    </row>
    <row r="50" spans="1:47">
      <c r="A50" s="1282">
        <v>10</v>
      </c>
      <c r="B50" s="1283">
        <f t="shared" ref="B50:B59" si="94">C50</f>
        <v>0.435</v>
      </c>
      <c r="C50" s="1284">
        <v>0.435</v>
      </c>
      <c r="D50" s="1283">
        <f t="shared" ref="D50:D59" si="95">(C50+E50)/2</f>
        <v>0.47950000000000004</v>
      </c>
      <c r="E50" s="1284">
        <v>0.52400000000000002</v>
      </c>
      <c r="F50" s="1283">
        <f t="shared" ref="F50:F59" si="96">(E50+G50)/2</f>
        <v>0.58350000000000002</v>
      </c>
      <c r="G50" s="1284">
        <v>0.64300000000000002</v>
      </c>
      <c r="H50" s="1283">
        <f t="shared" ref="H50:H59" si="97">(G50+I50)/2</f>
        <v>0.71199999999999997</v>
      </c>
      <c r="I50" s="1284">
        <v>0.78100000000000003</v>
      </c>
      <c r="J50" s="1283">
        <f t="shared" ref="J50:J59" si="98">(I50+K50)/2</f>
        <v>0.84200000000000008</v>
      </c>
      <c r="K50" s="1284">
        <v>0.90300000000000002</v>
      </c>
      <c r="L50" s="1283">
        <f t="shared" ref="L50:L59" si="99">(K50+M50)/2</f>
        <v>0.97199999999999998</v>
      </c>
      <c r="M50" s="1284">
        <v>1.0409999999999999</v>
      </c>
      <c r="N50" s="1283">
        <f t="shared" ref="N50:N59" si="100">(M50+O50)/2</f>
        <v>1.1025</v>
      </c>
      <c r="O50" s="1284">
        <v>1.1639999999999999</v>
      </c>
      <c r="P50" s="1267"/>
      <c r="Q50" s="1275" t="s">
        <v>3</v>
      </c>
      <c r="R50" s="1286">
        <f t="shared" si="91"/>
        <v>0</v>
      </c>
      <c r="S50" s="1279">
        <f t="shared" ref="S50:S58" si="101">HLOOKUP(INT($R50),$B$48:$O$59,3)+(HLOOKUP(INT($R50)+1,$B$48:$O$59,3)-HLOOKUP(INT($R50),$B$48:$O$59,3))*($R50-INT($R50))</f>
        <v>0.78100000000000003</v>
      </c>
      <c r="T50" s="1279">
        <f t="shared" ref="T50:T58" si="102">HLOOKUP(INT($R50),$B$48:$O$59,4)+(HLOOKUP(INT($R50)+1,$B$48:$O$59,4)-HLOOKUP(INT($R50),$B$48:$O$59,4))*($R50-INT($R50))</f>
        <v>0.82899999999999996</v>
      </c>
      <c r="U50" s="1279">
        <f t="shared" ref="U50:U58" si="103">HLOOKUP(INT($R50),$B$48:$O$59,5)+(HLOOKUP(INT($R50)+1,$B$48:$O$59,5)-HLOOKUP(INT($R50),$B$48:$O$59,5))*($R50-INT($R50))</f>
        <v>0.88800000000000001</v>
      </c>
      <c r="V50" s="1279">
        <f t="shared" ref="V50:V58" si="104">HLOOKUP(INT($R50),$B$48:$O$59,6)+(HLOOKUP(INT($R50)+1,$B$48:$O$59,6)-HLOOKUP(INT($R50),$B$48:$O$59,6))*($R50-INT($R50))</f>
        <v>1</v>
      </c>
      <c r="W50" s="1279">
        <f t="shared" ref="W50:W58" si="105">HLOOKUP(INT($R50),$B$48:$O$59,7)+(HLOOKUP(INT($R50)+1,$B$48:$O$59,7)-HLOOKUP(INT($R50),$B$48:$O$59,7))*($R50-INT($R50))</f>
        <v>1.093</v>
      </c>
      <c r="X50" s="1279">
        <f t="shared" ref="X50:X58" si="106">HLOOKUP(INT($R50),$B$48:$O$59,8)+(HLOOKUP(INT($R50)+1,$B$48:$O$59,8)-HLOOKUP(INT($R50),$B$48:$O$59,8))*($R50-INT($R50))</f>
        <v>1.2969999999999999</v>
      </c>
      <c r="Y50" s="1279">
        <f t="shared" ref="Y50:Y58" si="107">HLOOKUP(INT($R50),$B$48:$O$59,9)+(HLOOKUP(INT($R50)+1,$B$48:$O$59,9)-HLOOKUP(INT($R50),$B$48:$O$59,9))*($R50-INT($R50))</f>
        <v>1.498</v>
      </c>
      <c r="Z50" s="1279">
        <f t="shared" ref="Z50:Z58" si="108">HLOOKUP(INT($R50),$B$48:$O$59,10)+(HLOOKUP(INT($R50)+1,$B$48:$O$59,10)-HLOOKUP(INT($R50),$B$48:$O$59,10))*($R50-INT($R50))</f>
        <v>1.7030000000000001</v>
      </c>
      <c r="AA50" s="1267"/>
      <c r="AB50" s="1275" t="s">
        <v>3</v>
      </c>
      <c r="AC50" s="1286">
        <f t="shared" si="92"/>
        <v>0</v>
      </c>
      <c r="AD50" s="1279">
        <f t="shared" ref="AD50:AD58" si="109">HLOOKUP(INT($AC50),$B$48:$O$59,3)+(HLOOKUP(INT($AC50)+1,$B$48:$O$59,3)-HLOOKUP(INT($AC50),$B$48:$O$59,3))*($AC50-INT($AC50))</f>
        <v>0.78100000000000003</v>
      </c>
      <c r="AE50" s="1279">
        <f t="shared" ref="AE50:AE58" si="110">HLOOKUP(INT($AC50),$B$48:$O$59,4)+(HLOOKUP(INT($AC50)+1,$B$48:$O$59,4)-HLOOKUP(INT($AC50),$B$48:$O$59,4))*($AC50-INT($AC50))</f>
        <v>0.82899999999999996</v>
      </c>
      <c r="AF50" s="1279">
        <f t="shared" ref="AF50:AF58" si="111">HLOOKUP(INT($AC50),$B$48:$O$59,5)+(HLOOKUP(INT($AC50)+1,$B$48:$O$59,5)-HLOOKUP(INT($AC50),$B$48:$O$59,5))*($AC50-INT($AC50))</f>
        <v>0.88800000000000001</v>
      </c>
      <c r="AG50" s="1279">
        <f t="shared" ref="AG50:AG58" si="112">HLOOKUP(INT($AC50),$B$48:$O$59,6)+(HLOOKUP(INT($AC50)+1,$B$48:$O$59,6)-HLOOKUP(INT($AC50),$B$48:$O$59,6))*($AC50-INT($AC50))</f>
        <v>1</v>
      </c>
      <c r="AH50" s="1279">
        <f t="shared" ref="AH50:AH58" si="113">HLOOKUP(INT($AC50),$B$48:$O$59,7)+(HLOOKUP(INT($AC50)+1,$B$48:$O$59,7)-HLOOKUP(INT($AC50),$B$48:$O$59,7))*($AC50-INT($AC50))</f>
        <v>1.093</v>
      </c>
      <c r="AI50" s="1279">
        <f t="shared" ref="AI50:AI58" si="114">HLOOKUP(INT($AC50),$B$48:$O$59,8)+(HLOOKUP(INT($AC50)+1,$B$48:$O$59,8)-HLOOKUP(INT($AC50),$B$48:$O$59,8))*($AC50-INT($AC50))</f>
        <v>1.2969999999999999</v>
      </c>
      <c r="AJ50" s="1279">
        <f t="shared" ref="AJ50:AJ58" si="115">HLOOKUP(INT($AC50),$B$48:$O$59,9)+(HLOOKUP(INT($AC50)+1,$B$48:$O$59,9)-HLOOKUP(INT($AC50),$B$48:$O$59,9))*($AC50-INT($AC50))</f>
        <v>1.498</v>
      </c>
      <c r="AK50" s="1279">
        <f t="shared" ref="AK50:AK58" si="116">HLOOKUP(INT($AC50),$B$48:$O$59,10)+(HLOOKUP(INT($AC50)+1,$B$48:$O$59,10)-HLOOKUP(INT($AC50),$B$48:$O$59,10))*($AC50-INT($AC50))</f>
        <v>1.7030000000000001</v>
      </c>
      <c r="AL50" s="1267"/>
      <c r="AM50" s="1267" t="s">
        <v>877</v>
      </c>
      <c r="AN50" s="1279">
        <f t="shared" ref="AN50:AU50" si="117">AN53+(AN55-AN53)*(AN49-AN52)</f>
        <v>0.78100000000000003</v>
      </c>
      <c r="AO50" s="1279">
        <f t="shared" si="117"/>
        <v>0.82899999999999996</v>
      </c>
      <c r="AP50" s="1279">
        <f t="shared" si="117"/>
        <v>0.88800000000000001</v>
      </c>
      <c r="AQ50" s="1279">
        <f t="shared" si="117"/>
        <v>1</v>
      </c>
      <c r="AR50" s="1279">
        <f t="shared" si="117"/>
        <v>1.093</v>
      </c>
      <c r="AS50" s="1279">
        <f t="shared" si="117"/>
        <v>1.2969999999999999</v>
      </c>
      <c r="AT50" s="1279">
        <f t="shared" si="117"/>
        <v>1.498</v>
      </c>
      <c r="AU50" s="1279">
        <f t="shared" si="117"/>
        <v>1.7030000000000001</v>
      </c>
    </row>
    <row r="51" spans="1:47">
      <c r="A51" s="1282">
        <v>20</v>
      </c>
      <c r="B51" s="1283">
        <f t="shared" si="94"/>
        <v>0.372</v>
      </c>
      <c r="C51" s="1284">
        <v>0.372</v>
      </c>
      <c r="D51" s="1283">
        <f t="shared" si="95"/>
        <v>0.39800000000000002</v>
      </c>
      <c r="E51" s="1284">
        <v>0.42399999999999999</v>
      </c>
      <c r="F51" s="1283">
        <f t="shared" si="96"/>
        <v>0.54300000000000004</v>
      </c>
      <c r="G51" s="1284">
        <v>0.66200000000000003</v>
      </c>
      <c r="H51" s="1283">
        <f t="shared" si="97"/>
        <v>0.74550000000000005</v>
      </c>
      <c r="I51" s="1284">
        <v>0.82899999999999996</v>
      </c>
      <c r="J51" s="1283">
        <f t="shared" si="98"/>
        <v>0.90149999999999997</v>
      </c>
      <c r="K51" s="1284">
        <v>0.97399999999999998</v>
      </c>
      <c r="L51" s="1283">
        <f t="shared" si="99"/>
        <v>1.056</v>
      </c>
      <c r="M51" s="1284">
        <v>1.1379999999999999</v>
      </c>
      <c r="N51" s="1283">
        <f t="shared" si="100"/>
        <v>1.2235</v>
      </c>
      <c r="O51" s="1284">
        <v>1.3089999999999999</v>
      </c>
      <c r="P51" s="1267"/>
      <c r="Q51" s="1275" t="s">
        <v>878</v>
      </c>
      <c r="R51" s="1286">
        <f t="shared" si="91"/>
        <v>0</v>
      </c>
      <c r="S51" s="1279">
        <f t="shared" si="101"/>
        <v>0.78100000000000003</v>
      </c>
      <c r="T51" s="1279">
        <f t="shared" si="102"/>
        <v>0.82899999999999996</v>
      </c>
      <c r="U51" s="1279">
        <f t="shared" si="103"/>
        <v>0.88800000000000001</v>
      </c>
      <c r="V51" s="1279">
        <f t="shared" si="104"/>
        <v>1</v>
      </c>
      <c r="W51" s="1279">
        <f t="shared" si="105"/>
        <v>1.093</v>
      </c>
      <c r="X51" s="1279">
        <f t="shared" si="106"/>
        <v>1.2969999999999999</v>
      </c>
      <c r="Y51" s="1279">
        <f t="shared" si="107"/>
        <v>1.498</v>
      </c>
      <c r="Z51" s="1279">
        <f t="shared" si="108"/>
        <v>1.7030000000000001</v>
      </c>
      <c r="AA51" s="1267"/>
      <c r="AB51" s="1275" t="s">
        <v>878</v>
      </c>
      <c r="AC51" s="1286">
        <f t="shared" si="92"/>
        <v>0</v>
      </c>
      <c r="AD51" s="1279">
        <f t="shared" si="109"/>
        <v>0.78100000000000003</v>
      </c>
      <c r="AE51" s="1279">
        <f t="shared" si="110"/>
        <v>0.82899999999999996</v>
      </c>
      <c r="AF51" s="1279">
        <f t="shared" si="111"/>
        <v>0.88800000000000001</v>
      </c>
      <c r="AG51" s="1279">
        <f t="shared" si="112"/>
        <v>1</v>
      </c>
      <c r="AH51" s="1279">
        <f t="shared" si="113"/>
        <v>1.093</v>
      </c>
      <c r="AI51" s="1279">
        <f t="shared" si="114"/>
        <v>1.2969999999999999</v>
      </c>
      <c r="AJ51" s="1279">
        <f t="shared" si="115"/>
        <v>1.498</v>
      </c>
      <c r="AK51" s="1279">
        <f t="shared" si="116"/>
        <v>1.7030000000000001</v>
      </c>
      <c r="AL51" s="1267"/>
      <c r="AM51" s="1267"/>
      <c r="AN51" s="1275"/>
      <c r="AO51" s="1275"/>
      <c r="AP51" s="1275"/>
      <c r="AQ51" s="1275"/>
      <c r="AR51" s="1275"/>
      <c r="AS51" s="1275"/>
      <c r="AT51" s="1275"/>
      <c r="AU51" s="1275"/>
    </row>
    <row r="52" spans="1:47">
      <c r="A52" s="1282">
        <v>30</v>
      </c>
      <c r="B52" s="1283">
        <f t="shared" si="94"/>
        <v>0.32300000000000001</v>
      </c>
      <c r="C52" s="1284">
        <v>0.32300000000000001</v>
      </c>
      <c r="D52" s="1283">
        <f t="shared" si="95"/>
        <v>0.34899999999999998</v>
      </c>
      <c r="E52" s="1284">
        <v>0.375</v>
      </c>
      <c r="F52" s="1283">
        <f t="shared" si="96"/>
        <v>0.52750000000000008</v>
      </c>
      <c r="G52" s="1284">
        <v>0.68</v>
      </c>
      <c r="H52" s="1283">
        <f t="shared" si="97"/>
        <v>0.78400000000000003</v>
      </c>
      <c r="I52" s="1284">
        <v>0.88800000000000001</v>
      </c>
      <c r="J52" s="1283">
        <f t="shared" si="98"/>
        <v>1.0129999999999999</v>
      </c>
      <c r="K52" s="1284">
        <v>1.1379999999999999</v>
      </c>
      <c r="L52" s="1283">
        <f t="shared" si="99"/>
        <v>1.2715000000000001</v>
      </c>
      <c r="M52" s="1284">
        <v>1.405</v>
      </c>
      <c r="N52" s="1283">
        <f t="shared" si="100"/>
        <v>1.4885000000000002</v>
      </c>
      <c r="O52" s="1284">
        <v>1.5720000000000001</v>
      </c>
      <c r="P52" s="1267"/>
      <c r="Q52" s="1275" t="s">
        <v>879</v>
      </c>
      <c r="R52" s="1286">
        <f t="shared" si="91"/>
        <v>0</v>
      </c>
      <c r="S52" s="1279">
        <f t="shared" si="101"/>
        <v>0.78100000000000003</v>
      </c>
      <c r="T52" s="1279">
        <f t="shared" si="102"/>
        <v>0.82899999999999996</v>
      </c>
      <c r="U52" s="1279">
        <f t="shared" si="103"/>
        <v>0.88800000000000001</v>
      </c>
      <c r="V52" s="1279">
        <f t="shared" si="104"/>
        <v>1</v>
      </c>
      <c r="W52" s="1279">
        <f t="shared" si="105"/>
        <v>1.093</v>
      </c>
      <c r="X52" s="1279">
        <f t="shared" si="106"/>
        <v>1.2969999999999999</v>
      </c>
      <c r="Y52" s="1279">
        <f t="shared" si="107"/>
        <v>1.498</v>
      </c>
      <c r="Z52" s="1279">
        <f t="shared" si="108"/>
        <v>1.7030000000000001</v>
      </c>
      <c r="AA52" s="1267"/>
      <c r="AB52" s="1275" t="s">
        <v>879</v>
      </c>
      <c r="AC52" s="1286">
        <f t="shared" si="92"/>
        <v>0</v>
      </c>
      <c r="AD52" s="1279">
        <f t="shared" si="109"/>
        <v>0.78100000000000003</v>
      </c>
      <c r="AE52" s="1279">
        <f t="shared" si="110"/>
        <v>0.82899999999999996</v>
      </c>
      <c r="AF52" s="1279">
        <f t="shared" si="111"/>
        <v>0.88800000000000001</v>
      </c>
      <c r="AG52" s="1279">
        <f t="shared" si="112"/>
        <v>1</v>
      </c>
      <c r="AH52" s="1279">
        <f t="shared" si="113"/>
        <v>1.093</v>
      </c>
      <c r="AI52" s="1279">
        <f t="shared" si="114"/>
        <v>1.2969999999999999</v>
      </c>
      <c r="AJ52" s="1279">
        <f t="shared" si="115"/>
        <v>1.498</v>
      </c>
      <c r="AK52" s="1279">
        <f t="shared" si="116"/>
        <v>1.7030000000000001</v>
      </c>
      <c r="AL52" s="1267"/>
      <c r="AM52" s="1285" t="s">
        <v>880</v>
      </c>
      <c r="AN52" s="1286">
        <f>INT(AN49)</f>
        <v>0</v>
      </c>
      <c r="AO52" s="1286">
        <f t="shared" ref="AO52:AU52" si="118">INT(AO49)</f>
        <v>0</v>
      </c>
      <c r="AP52" s="1286">
        <f t="shared" si="118"/>
        <v>0</v>
      </c>
      <c r="AQ52" s="1286">
        <f t="shared" si="118"/>
        <v>0</v>
      </c>
      <c r="AR52" s="1286">
        <f t="shared" si="118"/>
        <v>0</v>
      </c>
      <c r="AS52" s="1286">
        <f t="shared" si="118"/>
        <v>0</v>
      </c>
      <c r="AT52" s="1286">
        <f t="shared" si="118"/>
        <v>0</v>
      </c>
      <c r="AU52" s="1286">
        <f t="shared" si="118"/>
        <v>0</v>
      </c>
    </row>
    <row r="53" spans="1:47">
      <c r="A53" s="1287">
        <v>40</v>
      </c>
      <c r="B53" s="1288">
        <f t="shared" si="94"/>
        <v>0.216</v>
      </c>
      <c r="C53" s="1289">
        <v>0.216</v>
      </c>
      <c r="D53" s="1288">
        <f t="shared" si="95"/>
        <v>0.26950000000000002</v>
      </c>
      <c r="E53" s="1289">
        <v>0.32300000000000001</v>
      </c>
      <c r="F53" s="1288">
        <f t="shared" si="96"/>
        <v>0.51100000000000001</v>
      </c>
      <c r="G53" s="1289">
        <v>0.69899999999999995</v>
      </c>
      <c r="H53" s="1288">
        <f t="shared" si="97"/>
        <v>0.84949999999999992</v>
      </c>
      <c r="I53" s="1289">
        <v>1</v>
      </c>
      <c r="J53" s="1288">
        <f t="shared" si="98"/>
        <v>1.1935</v>
      </c>
      <c r="K53" s="1289">
        <v>1.387</v>
      </c>
      <c r="L53" s="1288">
        <f t="shared" si="99"/>
        <v>1.5874999999999999</v>
      </c>
      <c r="M53" s="1289">
        <v>1.788</v>
      </c>
      <c r="N53" s="1288">
        <f t="shared" si="100"/>
        <v>1.9180000000000001</v>
      </c>
      <c r="O53" s="1289">
        <v>2.048</v>
      </c>
      <c r="P53" s="1267"/>
      <c r="Q53" s="1275" t="s">
        <v>881</v>
      </c>
      <c r="R53" s="1286">
        <f t="shared" si="91"/>
        <v>0</v>
      </c>
      <c r="S53" s="1279">
        <f t="shared" si="101"/>
        <v>0.78100000000000003</v>
      </c>
      <c r="T53" s="1279">
        <f t="shared" si="102"/>
        <v>0.82899999999999996</v>
      </c>
      <c r="U53" s="1279">
        <f t="shared" si="103"/>
        <v>0.88800000000000001</v>
      </c>
      <c r="V53" s="1279">
        <f t="shared" si="104"/>
        <v>1</v>
      </c>
      <c r="W53" s="1279">
        <f t="shared" si="105"/>
        <v>1.093</v>
      </c>
      <c r="X53" s="1279">
        <f t="shared" si="106"/>
        <v>1.2969999999999999</v>
      </c>
      <c r="Y53" s="1279">
        <f t="shared" si="107"/>
        <v>1.498</v>
      </c>
      <c r="Z53" s="1279">
        <f t="shared" si="108"/>
        <v>1.7030000000000001</v>
      </c>
      <c r="AA53" s="1267"/>
      <c r="AB53" s="1275" t="s">
        <v>881</v>
      </c>
      <c r="AC53" s="1286">
        <f t="shared" si="92"/>
        <v>0</v>
      </c>
      <c r="AD53" s="1279">
        <f t="shared" si="109"/>
        <v>0.78100000000000003</v>
      </c>
      <c r="AE53" s="1279">
        <f t="shared" si="110"/>
        <v>0.82899999999999996</v>
      </c>
      <c r="AF53" s="1279">
        <f t="shared" si="111"/>
        <v>0.88800000000000001</v>
      </c>
      <c r="AG53" s="1279">
        <f t="shared" si="112"/>
        <v>1</v>
      </c>
      <c r="AH53" s="1279">
        <f t="shared" si="113"/>
        <v>1.093</v>
      </c>
      <c r="AI53" s="1279">
        <f t="shared" si="114"/>
        <v>1.2969999999999999</v>
      </c>
      <c r="AJ53" s="1279">
        <f t="shared" si="115"/>
        <v>1.498</v>
      </c>
      <c r="AK53" s="1279">
        <f t="shared" si="116"/>
        <v>1.7030000000000001</v>
      </c>
      <c r="AL53" s="1267"/>
      <c r="AM53" s="1285" t="s">
        <v>882</v>
      </c>
      <c r="AN53" s="1290">
        <f>HLOOKUP(AN52,$B$48:$O$59,AN56)</f>
        <v>0.78100000000000003</v>
      </c>
      <c r="AO53" s="1290">
        <f t="shared" ref="AO53:AU53" si="119">HLOOKUP(AO52,$B$48:$O$59,AO56)</f>
        <v>0.82899999999999996</v>
      </c>
      <c r="AP53" s="1290">
        <f t="shared" si="119"/>
        <v>0.88800000000000001</v>
      </c>
      <c r="AQ53" s="1290">
        <f t="shared" si="119"/>
        <v>1</v>
      </c>
      <c r="AR53" s="1290">
        <f t="shared" si="119"/>
        <v>1.093</v>
      </c>
      <c r="AS53" s="1290">
        <f t="shared" si="119"/>
        <v>1.2969999999999999</v>
      </c>
      <c r="AT53" s="1290">
        <f t="shared" si="119"/>
        <v>1.498</v>
      </c>
      <c r="AU53" s="1290">
        <f t="shared" si="119"/>
        <v>1.7030000000000001</v>
      </c>
    </row>
    <row r="54" spans="1:47">
      <c r="A54" s="1287">
        <v>50</v>
      </c>
      <c r="B54" s="1288">
        <f t="shared" si="94"/>
        <v>0.152</v>
      </c>
      <c r="C54" s="1289">
        <v>0.152</v>
      </c>
      <c r="D54" s="1288">
        <f t="shared" si="95"/>
        <v>0.191</v>
      </c>
      <c r="E54" s="1289">
        <v>0.23</v>
      </c>
      <c r="F54" s="1288">
        <f t="shared" si="96"/>
        <v>0.47349999999999998</v>
      </c>
      <c r="G54" s="1289">
        <v>0.71699999999999997</v>
      </c>
      <c r="H54" s="1288">
        <f t="shared" si="97"/>
        <v>0.90500000000000003</v>
      </c>
      <c r="I54" s="1289">
        <v>1.093</v>
      </c>
      <c r="J54" s="1288">
        <f t="shared" si="98"/>
        <v>1.3494999999999999</v>
      </c>
      <c r="K54" s="1289">
        <v>1.6060000000000001</v>
      </c>
      <c r="L54" s="1288">
        <f t="shared" si="99"/>
        <v>1.859</v>
      </c>
      <c r="M54" s="1289">
        <v>2.1120000000000001</v>
      </c>
      <c r="N54" s="1288">
        <f t="shared" si="100"/>
        <v>2.2605</v>
      </c>
      <c r="O54" s="1289">
        <v>2.4089999999999998</v>
      </c>
      <c r="P54" s="1267"/>
      <c r="Q54" s="1275" t="s">
        <v>883</v>
      </c>
      <c r="R54" s="1286">
        <f t="shared" si="91"/>
        <v>0</v>
      </c>
      <c r="S54" s="1279">
        <f t="shared" si="101"/>
        <v>0.78100000000000003</v>
      </c>
      <c r="T54" s="1279">
        <f t="shared" si="102"/>
        <v>0.82899999999999996</v>
      </c>
      <c r="U54" s="1279">
        <f t="shared" si="103"/>
        <v>0.88800000000000001</v>
      </c>
      <c r="V54" s="1279">
        <f t="shared" si="104"/>
        <v>1</v>
      </c>
      <c r="W54" s="1279">
        <f t="shared" si="105"/>
        <v>1.093</v>
      </c>
      <c r="X54" s="1279">
        <f t="shared" si="106"/>
        <v>1.2969999999999999</v>
      </c>
      <c r="Y54" s="1279">
        <f t="shared" si="107"/>
        <v>1.498</v>
      </c>
      <c r="Z54" s="1279">
        <f t="shared" si="108"/>
        <v>1.7030000000000001</v>
      </c>
      <c r="AA54" s="1267"/>
      <c r="AB54" s="1275" t="s">
        <v>883</v>
      </c>
      <c r="AC54" s="1286">
        <f t="shared" si="92"/>
        <v>0</v>
      </c>
      <c r="AD54" s="1279">
        <f t="shared" si="109"/>
        <v>0.78100000000000003</v>
      </c>
      <c r="AE54" s="1279">
        <f t="shared" si="110"/>
        <v>0.82899999999999996</v>
      </c>
      <c r="AF54" s="1279">
        <f t="shared" si="111"/>
        <v>0.88800000000000001</v>
      </c>
      <c r="AG54" s="1279">
        <f t="shared" si="112"/>
        <v>1</v>
      </c>
      <c r="AH54" s="1279">
        <f t="shared" si="113"/>
        <v>1.093</v>
      </c>
      <c r="AI54" s="1279">
        <f t="shared" si="114"/>
        <v>1.2969999999999999</v>
      </c>
      <c r="AJ54" s="1279">
        <f t="shared" si="115"/>
        <v>1.498</v>
      </c>
      <c r="AK54" s="1279">
        <f t="shared" si="116"/>
        <v>1.7030000000000001</v>
      </c>
      <c r="AL54" s="1267"/>
      <c r="AM54" s="1285" t="s">
        <v>884</v>
      </c>
      <c r="AN54" s="1286">
        <f>AN52+1</f>
        <v>1</v>
      </c>
      <c r="AO54" s="1286">
        <f t="shared" ref="AO54:AU54" si="120">AO52+1</f>
        <v>1</v>
      </c>
      <c r="AP54" s="1286">
        <f t="shared" si="120"/>
        <v>1</v>
      </c>
      <c r="AQ54" s="1286">
        <f t="shared" si="120"/>
        <v>1</v>
      </c>
      <c r="AR54" s="1286">
        <f t="shared" si="120"/>
        <v>1</v>
      </c>
      <c r="AS54" s="1286">
        <f t="shared" si="120"/>
        <v>1</v>
      </c>
      <c r="AT54" s="1286">
        <f t="shared" si="120"/>
        <v>1</v>
      </c>
      <c r="AU54" s="1286">
        <f t="shared" si="120"/>
        <v>1</v>
      </c>
    </row>
    <row r="55" spans="1:47">
      <c r="A55" s="1287">
        <v>60</v>
      </c>
      <c r="B55" s="1288">
        <f t="shared" si="94"/>
        <v>0.13</v>
      </c>
      <c r="C55" s="1289">
        <v>0.13</v>
      </c>
      <c r="D55" s="1288">
        <f t="shared" si="95"/>
        <v>0.17849999999999999</v>
      </c>
      <c r="E55" s="1289">
        <v>0.22700000000000001</v>
      </c>
      <c r="F55" s="1288">
        <f t="shared" si="96"/>
        <v>0.48149999999999998</v>
      </c>
      <c r="G55" s="1289">
        <v>0.73599999999999999</v>
      </c>
      <c r="H55" s="1288">
        <f t="shared" si="97"/>
        <v>1.0165</v>
      </c>
      <c r="I55" s="1289">
        <v>1.2969999999999999</v>
      </c>
      <c r="J55" s="1288">
        <f t="shared" si="98"/>
        <v>1.639</v>
      </c>
      <c r="K55" s="1289">
        <v>1.9810000000000001</v>
      </c>
      <c r="L55" s="1288">
        <f t="shared" si="99"/>
        <v>2.1484999999999999</v>
      </c>
      <c r="M55" s="1289">
        <v>2.3159999999999998</v>
      </c>
      <c r="N55" s="1288">
        <f t="shared" si="100"/>
        <v>2.4165000000000001</v>
      </c>
      <c r="O55" s="1289">
        <v>2.5169999999999999</v>
      </c>
      <c r="P55" s="1267"/>
      <c r="Q55" s="1275" t="s">
        <v>885</v>
      </c>
      <c r="R55" s="1286">
        <f t="shared" si="91"/>
        <v>0</v>
      </c>
      <c r="S55" s="1279">
        <f t="shared" si="101"/>
        <v>0.78100000000000003</v>
      </c>
      <c r="T55" s="1279">
        <f t="shared" si="102"/>
        <v>0.82899999999999996</v>
      </c>
      <c r="U55" s="1279">
        <f t="shared" si="103"/>
        <v>0.88800000000000001</v>
      </c>
      <c r="V55" s="1279">
        <f t="shared" si="104"/>
        <v>1</v>
      </c>
      <c r="W55" s="1279">
        <f t="shared" si="105"/>
        <v>1.093</v>
      </c>
      <c r="X55" s="1279">
        <f t="shared" si="106"/>
        <v>1.2969999999999999</v>
      </c>
      <c r="Y55" s="1279">
        <f t="shared" si="107"/>
        <v>1.498</v>
      </c>
      <c r="Z55" s="1279">
        <f t="shared" si="108"/>
        <v>1.7030000000000001</v>
      </c>
      <c r="AA55" s="1267"/>
      <c r="AB55" s="1275" t="s">
        <v>885</v>
      </c>
      <c r="AC55" s="1286">
        <f t="shared" si="92"/>
        <v>0</v>
      </c>
      <c r="AD55" s="1279">
        <f t="shared" si="109"/>
        <v>0.78100000000000003</v>
      </c>
      <c r="AE55" s="1279">
        <f t="shared" si="110"/>
        <v>0.82899999999999996</v>
      </c>
      <c r="AF55" s="1279">
        <f t="shared" si="111"/>
        <v>0.88800000000000001</v>
      </c>
      <c r="AG55" s="1279">
        <f t="shared" si="112"/>
        <v>1</v>
      </c>
      <c r="AH55" s="1279">
        <f t="shared" si="113"/>
        <v>1.093</v>
      </c>
      <c r="AI55" s="1279">
        <f t="shared" si="114"/>
        <v>1.2969999999999999</v>
      </c>
      <c r="AJ55" s="1279">
        <f t="shared" si="115"/>
        <v>1.498</v>
      </c>
      <c r="AK55" s="1279">
        <f t="shared" si="116"/>
        <v>1.7030000000000001</v>
      </c>
      <c r="AL55" s="1267"/>
      <c r="AM55" s="1285" t="s">
        <v>886</v>
      </c>
      <c r="AN55" s="1290">
        <f>HLOOKUP(AN54,$B$48:$O$59,AN56)</f>
        <v>0.84200000000000008</v>
      </c>
      <c r="AO55" s="1290">
        <f t="shared" ref="AO55:AU55" si="121">HLOOKUP(AO54,$B$48:$O$59,AO56)</f>
        <v>0.90149999999999997</v>
      </c>
      <c r="AP55" s="1290">
        <f t="shared" si="121"/>
        <v>1.0129999999999999</v>
      </c>
      <c r="AQ55" s="1290">
        <f t="shared" si="121"/>
        <v>1.1935</v>
      </c>
      <c r="AR55" s="1290">
        <f t="shared" si="121"/>
        <v>1.3494999999999999</v>
      </c>
      <c r="AS55" s="1290">
        <f t="shared" si="121"/>
        <v>1.639</v>
      </c>
      <c r="AT55" s="1290">
        <f t="shared" si="121"/>
        <v>1.9220000000000002</v>
      </c>
      <c r="AU55" s="1290">
        <f t="shared" si="121"/>
        <v>2.214</v>
      </c>
    </row>
    <row r="56" spans="1:47">
      <c r="A56" s="1282">
        <v>70</v>
      </c>
      <c r="B56" s="1283">
        <f t="shared" si="94"/>
        <v>0.13400000000000001</v>
      </c>
      <c r="C56" s="1284">
        <v>0.13400000000000001</v>
      </c>
      <c r="D56" s="1283">
        <f t="shared" si="95"/>
        <v>0.18049999999999999</v>
      </c>
      <c r="E56" s="1284">
        <v>0.22700000000000001</v>
      </c>
      <c r="F56" s="1283">
        <f t="shared" si="96"/>
        <v>0.49099999999999999</v>
      </c>
      <c r="G56" s="1284">
        <v>0.755</v>
      </c>
      <c r="H56" s="1283">
        <f t="shared" si="97"/>
        <v>1.1265000000000001</v>
      </c>
      <c r="I56" s="1284">
        <v>1.498</v>
      </c>
      <c r="J56" s="1283">
        <f t="shared" si="98"/>
        <v>1.9220000000000002</v>
      </c>
      <c r="K56" s="1284">
        <v>2.3460000000000001</v>
      </c>
      <c r="L56" s="1283">
        <f t="shared" si="99"/>
        <v>2.4329999999999998</v>
      </c>
      <c r="M56" s="1284">
        <v>2.52</v>
      </c>
      <c r="N56" s="1283">
        <f t="shared" si="100"/>
        <v>2.5724999999999998</v>
      </c>
      <c r="O56" s="1284">
        <v>2.625</v>
      </c>
      <c r="P56" s="1267"/>
      <c r="Q56" s="1275" t="s">
        <v>887</v>
      </c>
      <c r="R56" s="1286">
        <f t="shared" si="91"/>
        <v>0</v>
      </c>
      <c r="S56" s="1279">
        <f t="shared" si="101"/>
        <v>0.78100000000000003</v>
      </c>
      <c r="T56" s="1279">
        <f t="shared" si="102"/>
        <v>0.82899999999999996</v>
      </c>
      <c r="U56" s="1279">
        <f t="shared" si="103"/>
        <v>0.88800000000000001</v>
      </c>
      <c r="V56" s="1279">
        <f t="shared" si="104"/>
        <v>1</v>
      </c>
      <c r="W56" s="1279">
        <f t="shared" si="105"/>
        <v>1.093</v>
      </c>
      <c r="X56" s="1279">
        <f t="shared" si="106"/>
        <v>1.2969999999999999</v>
      </c>
      <c r="Y56" s="1279">
        <f t="shared" si="107"/>
        <v>1.498</v>
      </c>
      <c r="Z56" s="1279">
        <f t="shared" si="108"/>
        <v>1.7030000000000001</v>
      </c>
      <c r="AA56" s="1267"/>
      <c r="AB56" s="1275" t="s">
        <v>887</v>
      </c>
      <c r="AC56" s="1286">
        <f t="shared" si="92"/>
        <v>0</v>
      </c>
      <c r="AD56" s="1279">
        <f t="shared" si="109"/>
        <v>0.78100000000000003</v>
      </c>
      <c r="AE56" s="1279">
        <f t="shared" si="110"/>
        <v>0.82899999999999996</v>
      </c>
      <c r="AF56" s="1279">
        <f t="shared" si="111"/>
        <v>0.88800000000000001</v>
      </c>
      <c r="AG56" s="1279">
        <f t="shared" si="112"/>
        <v>1</v>
      </c>
      <c r="AH56" s="1279">
        <f t="shared" si="113"/>
        <v>1.093</v>
      </c>
      <c r="AI56" s="1279">
        <f t="shared" si="114"/>
        <v>1.2969999999999999</v>
      </c>
      <c r="AJ56" s="1279">
        <f t="shared" si="115"/>
        <v>1.498</v>
      </c>
      <c r="AK56" s="1279">
        <f t="shared" si="116"/>
        <v>1.7030000000000001</v>
      </c>
      <c r="AL56" s="1267"/>
      <c r="AM56" s="1267"/>
      <c r="AN56" s="1275">
        <v>3</v>
      </c>
      <c r="AO56" s="1275">
        <v>4</v>
      </c>
      <c r="AP56" s="1275">
        <v>5</v>
      </c>
      <c r="AQ56" s="1275">
        <v>6</v>
      </c>
      <c r="AR56" s="1275">
        <v>7</v>
      </c>
      <c r="AS56" s="1275">
        <v>8</v>
      </c>
      <c r="AT56" s="1275">
        <v>9</v>
      </c>
      <c r="AU56" s="1275">
        <v>10</v>
      </c>
    </row>
    <row r="57" spans="1:47">
      <c r="A57" s="1282">
        <v>80</v>
      </c>
      <c r="B57" s="1283">
        <f t="shared" si="94"/>
        <v>0.13400000000000001</v>
      </c>
      <c r="C57" s="1284">
        <v>0.13400000000000001</v>
      </c>
      <c r="D57" s="1283">
        <f t="shared" si="95"/>
        <v>0.18049999999999999</v>
      </c>
      <c r="E57" s="1284">
        <v>0.22700000000000001</v>
      </c>
      <c r="F57" s="1283">
        <f t="shared" si="96"/>
        <v>0.4985</v>
      </c>
      <c r="G57" s="1284">
        <v>0.77</v>
      </c>
      <c r="H57" s="1283">
        <f t="shared" si="97"/>
        <v>1.2364999999999999</v>
      </c>
      <c r="I57" s="1284">
        <v>1.7030000000000001</v>
      </c>
      <c r="J57" s="1283">
        <f t="shared" si="98"/>
        <v>2.214</v>
      </c>
      <c r="K57" s="1284">
        <v>2.7250000000000001</v>
      </c>
      <c r="L57" s="1283">
        <f t="shared" si="99"/>
        <v>2.7975000000000003</v>
      </c>
      <c r="M57" s="1284">
        <v>2.87</v>
      </c>
      <c r="N57" s="1283">
        <f t="shared" si="100"/>
        <v>2.859</v>
      </c>
      <c r="O57" s="1284">
        <v>2.8479999999999999</v>
      </c>
      <c r="P57" s="1267"/>
      <c r="Q57" s="1275" t="s">
        <v>888</v>
      </c>
      <c r="R57" s="1286">
        <f t="shared" si="91"/>
        <v>0</v>
      </c>
      <c r="S57" s="1279">
        <f t="shared" si="101"/>
        <v>0.78100000000000003</v>
      </c>
      <c r="T57" s="1279">
        <f t="shared" si="102"/>
        <v>0.82899999999999996</v>
      </c>
      <c r="U57" s="1279">
        <f t="shared" si="103"/>
        <v>0.88800000000000001</v>
      </c>
      <c r="V57" s="1279">
        <f t="shared" si="104"/>
        <v>1</v>
      </c>
      <c r="W57" s="1279">
        <f t="shared" si="105"/>
        <v>1.093</v>
      </c>
      <c r="X57" s="1279">
        <f t="shared" si="106"/>
        <v>1.2969999999999999</v>
      </c>
      <c r="Y57" s="1279">
        <f t="shared" si="107"/>
        <v>1.498</v>
      </c>
      <c r="Z57" s="1279">
        <f t="shared" si="108"/>
        <v>1.7030000000000001</v>
      </c>
      <c r="AA57" s="1267"/>
      <c r="AB57" s="1275" t="s">
        <v>888</v>
      </c>
      <c r="AC57" s="1286">
        <f t="shared" si="92"/>
        <v>0</v>
      </c>
      <c r="AD57" s="1279">
        <f t="shared" si="109"/>
        <v>0.78100000000000003</v>
      </c>
      <c r="AE57" s="1279">
        <f t="shared" si="110"/>
        <v>0.82899999999999996</v>
      </c>
      <c r="AF57" s="1279">
        <f t="shared" si="111"/>
        <v>0.88800000000000001</v>
      </c>
      <c r="AG57" s="1279">
        <f t="shared" si="112"/>
        <v>1</v>
      </c>
      <c r="AH57" s="1279">
        <f t="shared" si="113"/>
        <v>1.093</v>
      </c>
      <c r="AI57" s="1279">
        <f t="shared" si="114"/>
        <v>1.2969999999999999</v>
      </c>
      <c r="AJ57" s="1279">
        <f t="shared" si="115"/>
        <v>1.498</v>
      </c>
      <c r="AK57" s="1279">
        <f t="shared" si="116"/>
        <v>1.7030000000000001</v>
      </c>
      <c r="AL57" s="1267"/>
      <c r="AM57" s="1267"/>
      <c r="AN57" s="1267"/>
      <c r="AO57" s="1267"/>
      <c r="AP57" s="1267"/>
      <c r="AQ57" s="1267"/>
      <c r="AR57" s="1267"/>
      <c r="AS57" s="1267"/>
      <c r="AT57" s="1267"/>
      <c r="AU57" s="1267"/>
    </row>
    <row r="58" spans="1:47">
      <c r="A58" s="1275">
        <v>90</v>
      </c>
      <c r="B58" s="1276">
        <f t="shared" si="94"/>
        <v>0.13400000000000001</v>
      </c>
      <c r="C58" s="1277">
        <v>0.13400000000000001</v>
      </c>
      <c r="D58" s="1276">
        <f t="shared" si="95"/>
        <v>0.18049999999999999</v>
      </c>
      <c r="E58" s="1277">
        <v>0.22700000000000001</v>
      </c>
      <c r="F58" s="1276">
        <f t="shared" si="96"/>
        <v>0.52600000000000002</v>
      </c>
      <c r="G58" s="1277">
        <v>0.82499999999999996</v>
      </c>
      <c r="H58" s="1276">
        <f t="shared" si="97"/>
        <v>1.286</v>
      </c>
      <c r="I58" s="1277">
        <v>1.7470000000000001</v>
      </c>
      <c r="J58" s="1276">
        <f t="shared" si="98"/>
        <v>2.2805</v>
      </c>
      <c r="K58" s="1277">
        <v>2.8140000000000001</v>
      </c>
      <c r="L58" s="1276">
        <f t="shared" si="99"/>
        <v>2.9515000000000002</v>
      </c>
      <c r="M58" s="1277">
        <v>3.089</v>
      </c>
      <c r="N58" s="1276">
        <f t="shared" si="100"/>
        <v>3.0760000000000001</v>
      </c>
      <c r="O58" s="1277">
        <v>3.0630000000000002</v>
      </c>
      <c r="P58" s="1267"/>
      <c r="Q58" s="1275" t="s">
        <v>889</v>
      </c>
      <c r="R58" s="1286">
        <f t="shared" si="91"/>
        <v>0</v>
      </c>
      <c r="S58" s="1279">
        <f t="shared" si="101"/>
        <v>0.78100000000000003</v>
      </c>
      <c r="T58" s="1279">
        <f t="shared" si="102"/>
        <v>0.82899999999999996</v>
      </c>
      <c r="U58" s="1279">
        <f t="shared" si="103"/>
        <v>0.88800000000000001</v>
      </c>
      <c r="V58" s="1279">
        <f t="shared" si="104"/>
        <v>1</v>
      </c>
      <c r="W58" s="1279">
        <f t="shared" si="105"/>
        <v>1.093</v>
      </c>
      <c r="X58" s="1279">
        <f t="shared" si="106"/>
        <v>1.2969999999999999</v>
      </c>
      <c r="Y58" s="1279">
        <f t="shared" si="107"/>
        <v>1.498</v>
      </c>
      <c r="Z58" s="1279">
        <f t="shared" si="108"/>
        <v>1.7030000000000001</v>
      </c>
      <c r="AA58" s="1267"/>
      <c r="AB58" s="1275" t="s">
        <v>889</v>
      </c>
      <c r="AC58" s="1286">
        <f t="shared" si="92"/>
        <v>0</v>
      </c>
      <c r="AD58" s="1279">
        <f t="shared" si="109"/>
        <v>0.78100000000000003</v>
      </c>
      <c r="AE58" s="1279">
        <f t="shared" si="110"/>
        <v>0.82899999999999996</v>
      </c>
      <c r="AF58" s="1279">
        <f t="shared" si="111"/>
        <v>0.88800000000000001</v>
      </c>
      <c r="AG58" s="1279">
        <f t="shared" si="112"/>
        <v>1</v>
      </c>
      <c r="AH58" s="1279">
        <f t="shared" si="113"/>
        <v>1.093</v>
      </c>
      <c r="AI58" s="1279">
        <f t="shared" si="114"/>
        <v>1.2969999999999999</v>
      </c>
      <c r="AJ58" s="1279">
        <f t="shared" si="115"/>
        <v>1.498</v>
      </c>
      <c r="AK58" s="1279">
        <f t="shared" si="116"/>
        <v>1.7030000000000001</v>
      </c>
      <c r="AL58" s="1267"/>
      <c r="AM58" s="1267"/>
      <c r="AN58" s="1267"/>
      <c r="AO58" s="1267"/>
      <c r="AP58" s="1267"/>
      <c r="AQ58" s="1267"/>
      <c r="AR58" s="1267"/>
      <c r="AS58" s="1267"/>
      <c r="AT58" s="1267"/>
      <c r="AU58" s="1267"/>
    </row>
    <row r="59" spans="1:47">
      <c r="A59" s="1275">
        <v>100</v>
      </c>
      <c r="B59" s="1276">
        <f t="shared" si="94"/>
        <v>0.13400000000000001</v>
      </c>
      <c r="C59" s="1277">
        <v>0.13400000000000001</v>
      </c>
      <c r="D59" s="1276">
        <f t="shared" si="95"/>
        <v>0.18049999999999999</v>
      </c>
      <c r="E59" s="1277">
        <v>0.22700000000000001</v>
      </c>
      <c r="F59" s="1276">
        <f t="shared" si="96"/>
        <v>0.52800000000000002</v>
      </c>
      <c r="G59" s="1277">
        <v>0.82899999999999996</v>
      </c>
      <c r="H59" s="1276">
        <f t="shared" si="97"/>
        <v>1.3365</v>
      </c>
      <c r="I59" s="1277">
        <v>1.8440000000000001</v>
      </c>
      <c r="J59" s="1276">
        <f t="shared" si="98"/>
        <v>2.3734999999999999</v>
      </c>
      <c r="K59" s="1277">
        <v>2.903</v>
      </c>
      <c r="L59" s="1276">
        <f t="shared" si="99"/>
        <v>3.0985</v>
      </c>
      <c r="M59" s="1277">
        <v>3.294</v>
      </c>
      <c r="N59" s="1276">
        <f t="shared" si="100"/>
        <v>3.2824999999999998</v>
      </c>
      <c r="O59" s="1277">
        <v>3.2709999999999999</v>
      </c>
      <c r="P59" s="1267"/>
      <c r="Q59" s="1267"/>
      <c r="R59" s="1267"/>
      <c r="S59" s="1267"/>
      <c r="T59" s="1267"/>
      <c r="U59" s="1267"/>
      <c r="V59" s="1267"/>
      <c r="W59" s="1267"/>
      <c r="X59" s="1267"/>
      <c r="Y59" s="1267"/>
      <c r="Z59" s="1267"/>
      <c r="AA59" s="1267"/>
      <c r="AB59" s="1267"/>
      <c r="AC59" s="1267"/>
      <c r="AD59" s="1267"/>
      <c r="AE59" s="1267"/>
      <c r="AF59" s="1267"/>
      <c r="AG59" s="1267"/>
      <c r="AH59" s="1267"/>
      <c r="AI59" s="1267"/>
      <c r="AJ59" s="1267"/>
      <c r="AK59" s="1267"/>
      <c r="AL59" s="1267"/>
      <c r="AM59" s="1267"/>
      <c r="AN59" s="1267"/>
      <c r="AO59" s="1267"/>
      <c r="AP59" s="1267"/>
      <c r="AQ59" s="1267"/>
      <c r="AR59" s="1267"/>
      <c r="AS59" s="1267"/>
      <c r="AT59" s="1267"/>
      <c r="AU59" s="1267"/>
    </row>
  </sheetData>
  <mergeCells count="4">
    <mergeCell ref="C5:O5"/>
    <mergeCell ref="C19:O19"/>
    <mergeCell ref="C33:O33"/>
    <mergeCell ref="C47:O47"/>
  </mergeCells>
  <phoneticPr fontId="11" type="noConversion"/>
  <printOptions horizontalCentered="1"/>
  <pageMargins left="0.78740157480314965" right="0.78740157480314965" top="0.59055118110236227" bottom="0.59055118110236227" header="0.19685039370078741" footer="0.19685039370078741"/>
  <pageSetup paperSize="9" scale="66" fitToHeight="0" orientation="portrait" r:id="rId1"/>
  <headerFooter>
    <oddFooter>&amp;L&amp;8&amp;F/&amp;A&amp;R&amp;8&amp;P/&amp;N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U59"/>
  <sheetViews>
    <sheetView zoomScale="90" zoomScaleNormal="90" zoomScaleSheetLayoutView="90" workbookViewId="0">
      <selection activeCell="AC7" sqref="AC7"/>
    </sheetView>
  </sheetViews>
  <sheetFormatPr defaultRowHeight="13.5"/>
  <cols>
    <col min="1" max="1" width="5.88671875" style="1268" customWidth="1"/>
    <col min="2" max="15" width="4.77734375" style="1268" customWidth="1"/>
    <col min="16" max="16" width="1.44140625" style="1268" customWidth="1"/>
    <col min="17" max="18" width="5.88671875" style="1268" customWidth="1"/>
    <col min="19" max="26" width="5" style="1268" customWidth="1"/>
    <col min="27" max="27" width="1.44140625" style="1268" customWidth="1"/>
    <col min="28" max="29" width="5.88671875" style="1268" customWidth="1"/>
    <col min="30" max="37" width="5" style="1268" customWidth="1"/>
    <col min="38" max="38" width="1.44140625" style="1268" customWidth="1"/>
    <col min="39" max="39" width="7.6640625" style="1268" customWidth="1"/>
    <col min="40" max="47" width="5" style="1268" customWidth="1"/>
    <col min="48" max="16384" width="8.88671875" style="1268"/>
  </cols>
  <sheetData>
    <row r="1" spans="1:47">
      <c r="A1" s="1267"/>
      <c r="B1" s="1267"/>
      <c r="C1" s="1267"/>
      <c r="D1" s="1267"/>
      <c r="E1" s="1267"/>
      <c r="F1" s="1267"/>
      <c r="G1" s="1267"/>
      <c r="H1" s="1267"/>
      <c r="I1" s="1267"/>
      <c r="J1" s="1267"/>
      <c r="K1" s="1267"/>
      <c r="L1" s="1267"/>
      <c r="M1" s="1267"/>
      <c r="N1" s="1267"/>
      <c r="O1" s="1267"/>
      <c r="P1" s="1267"/>
      <c r="Q1" s="1267"/>
      <c r="R1" s="1267"/>
      <c r="S1" s="1267"/>
      <c r="T1" s="1267"/>
      <c r="U1" s="1267"/>
      <c r="V1" s="1267"/>
      <c r="W1" s="1267"/>
      <c r="X1" s="1267"/>
      <c r="Y1" s="1267"/>
      <c r="Z1" s="1267"/>
      <c r="AA1" s="1267"/>
      <c r="AB1" s="1267"/>
      <c r="AC1" s="1267"/>
      <c r="AD1" s="1267"/>
      <c r="AE1" s="1267"/>
      <c r="AF1" s="1267"/>
      <c r="AG1" s="1267"/>
      <c r="AH1" s="1267"/>
      <c r="AI1" s="1267"/>
      <c r="AJ1" s="1267"/>
      <c r="AK1" s="1267"/>
      <c r="AL1" s="1267"/>
      <c r="AM1" s="1267"/>
      <c r="AN1" s="1267"/>
      <c r="AO1" s="1267"/>
      <c r="AP1" s="1267"/>
      <c r="AQ1" s="1267"/>
      <c r="AR1" s="1267"/>
      <c r="AS1" s="1267"/>
      <c r="AT1" s="1267"/>
      <c r="AU1" s="1267"/>
    </row>
    <row r="2" spans="1:47">
      <c r="A2" s="1269" t="s">
        <v>916</v>
      </c>
      <c r="B2" s="1267"/>
      <c r="C2" s="1267"/>
      <c r="D2" s="1267"/>
      <c r="E2" s="1267"/>
      <c r="F2" s="1267"/>
      <c r="G2" s="1267"/>
      <c r="H2" s="1267"/>
      <c r="I2" s="1267"/>
      <c r="J2" s="1267"/>
      <c r="K2" s="1267"/>
      <c r="L2" s="1267"/>
      <c r="M2" s="1267"/>
      <c r="N2" s="1267"/>
      <c r="O2" s="1267"/>
      <c r="P2" s="1267"/>
      <c r="Q2" s="1269" t="s">
        <v>917</v>
      </c>
      <c r="R2" s="1267"/>
      <c r="S2" s="1267"/>
      <c r="T2" s="1267"/>
      <c r="U2" s="1267"/>
      <c r="V2" s="1267"/>
      <c r="W2" s="1267"/>
      <c r="X2" s="1267"/>
      <c r="Y2" s="1267"/>
      <c r="Z2" s="1267"/>
      <c r="AA2" s="1267"/>
      <c r="AB2" s="1267"/>
      <c r="AC2" s="1267"/>
      <c r="AD2" s="1267"/>
      <c r="AE2" s="1267"/>
      <c r="AF2" s="1267"/>
      <c r="AG2" s="1267"/>
      <c r="AH2" s="1267"/>
      <c r="AI2" s="1267"/>
      <c r="AJ2" s="1267"/>
      <c r="AK2" s="1267"/>
      <c r="AL2" s="1267"/>
      <c r="AM2" s="1267"/>
      <c r="AN2" s="1267"/>
      <c r="AO2" s="1267"/>
      <c r="AP2" s="1267"/>
      <c r="AQ2" s="1267"/>
      <c r="AR2" s="1267"/>
      <c r="AS2" s="1267"/>
      <c r="AT2" s="1267"/>
      <c r="AU2" s="1267"/>
    </row>
    <row r="3" spans="1:47">
      <c r="A3" s="1267"/>
      <c r="B3" s="1267"/>
      <c r="C3" s="1267"/>
      <c r="D3" s="1267"/>
      <c r="E3" s="1267"/>
      <c r="F3" s="1267"/>
      <c r="G3" s="1267"/>
      <c r="H3" s="1267"/>
      <c r="I3" s="1267"/>
      <c r="J3" s="1267"/>
      <c r="K3" s="1267"/>
      <c r="L3" s="1267"/>
      <c r="M3" s="1267"/>
      <c r="N3" s="1267"/>
      <c r="O3" s="1267"/>
      <c r="P3" s="1267"/>
      <c r="Q3" s="1267"/>
      <c r="R3" s="1267"/>
      <c r="S3" s="1267"/>
      <c r="T3" s="1267"/>
      <c r="U3" s="1267"/>
      <c r="V3" s="1267"/>
      <c r="W3" s="1267"/>
      <c r="X3" s="1267"/>
      <c r="Y3" s="1267"/>
      <c r="Z3" s="1267"/>
      <c r="AA3" s="1267"/>
      <c r="AB3" s="1267"/>
      <c r="AC3" s="1267"/>
      <c r="AD3" s="1267"/>
      <c r="AE3" s="1267"/>
      <c r="AF3" s="1267"/>
      <c r="AG3" s="1267"/>
      <c r="AH3" s="1267"/>
      <c r="AI3" s="1267"/>
      <c r="AJ3" s="1267"/>
      <c r="AK3" s="1267"/>
      <c r="AL3" s="1267"/>
      <c r="AM3" s="1267"/>
      <c r="AN3" s="1267"/>
      <c r="AO3" s="1267"/>
      <c r="AP3" s="1267"/>
      <c r="AQ3" s="1267"/>
      <c r="AR3" s="1267"/>
      <c r="AS3" s="1267"/>
      <c r="AT3" s="1267"/>
      <c r="AU3" s="1267"/>
    </row>
    <row r="4" spans="1:47">
      <c r="A4" s="1270" t="s">
        <v>918</v>
      </c>
      <c r="B4" s="1267"/>
      <c r="C4" s="1267"/>
      <c r="D4" s="1267"/>
      <c r="E4" s="1267"/>
      <c r="F4" s="1267"/>
      <c r="G4" s="1267"/>
      <c r="H4" s="1267"/>
      <c r="I4" s="1267"/>
      <c r="J4" s="1267"/>
      <c r="K4" s="1267"/>
      <c r="L4" s="1267"/>
      <c r="M4" s="1267"/>
      <c r="N4" s="1267"/>
      <c r="O4" s="1267"/>
      <c r="P4" s="1267"/>
      <c r="Q4" s="1270" t="s">
        <v>919</v>
      </c>
      <c r="R4" s="1267"/>
      <c r="S4" s="1267"/>
      <c r="T4" s="1267"/>
      <c r="U4" s="1267"/>
      <c r="V4" s="1267"/>
      <c r="W4" s="1267"/>
      <c r="X4" s="1267"/>
      <c r="Y4" s="1267"/>
      <c r="Z4" s="1267"/>
      <c r="AA4" s="1267"/>
      <c r="AB4" s="1270" t="s">
        <v>920</v>
      </c>
      <c r="AC4" s="1267"/>
      <c r="AD4" s="1267"/>
      <c r="AE4" s="1267"/>
      <c r="AF4" s="1267"/>
      <c r="AG4" s="1267"/>
      <c r="AH4" s="1267"/>
      <c r="AI4" s="1267"/>
      <c r="AJ4" s="1267"/>
      <c r="AK4" s="1267"/>
      <c r="AL4" s="1267"/>
      <c r="AM4" s="1267"/>
      <c r="AN4" s="1267"/>
      <c r="AO4" s="1267"/>
      <c r="AP4" s="1267"/>
      <c r="AQ4" s="1267"/>
      <c r="AR4" s="1267"/>
      <c r="AS4" s="1267"/>
      <c r="AT4" s="1267"/>
      <c r="AU4" s="1267"/>
    </row>
    <row r="5" spans="1:47">
      <c r="A5" s="1271"/>
      <c r="B5" s="1271"/>
      <c r="C5" s="1522" t="s">
        <v>921</v>
      </c>
      <c r="D5" s="1522"/>
      <c r="E5" s="1522"/>
      <c r="F5" s="1522"/>
      <c r="G5" s="1522"/>
      <c r="H5" s="1522"/>
      <c r="I5" s="1522"/>
      <c r="J5" s="1522"/>
      <c r="K5" s="1522"/>
      <c r="L5" s="1522"/>
      <c r="M5" s="1522"/>
      <c r="N5" s="1522"/>
      <c r="O5" s="1522"/>
      <c r="P5" s="1267"/>
      <c r="Q5" s="1270" t="s">
        <v>922</v>
      </c>
      <c r="R5" s="1267"/>
      <c r="S5" s="1267"/>
      <c r="T5" s="1267"/>
      <c r="U5" s="1267"/>
      <c r="V5" s="1267"/>
      <c r="W5" s="1267"/>
      <c r="X5" s="1267"/>
      <c r="Y5" s="1267"/>
      <c r="Z5" s="1267"/>
      <c r="AA5" s="1267"/>
      <c r="AB5" s="1270" t="s">
        <v>923</v>
      </c>
      <c r="AC5" s="1267"/>
      <c r="AD5" s="1267"/>
      <c r="AE5" s="1267"/>
      <c r="AF5" s="1267"/>
      <c r="AG5" s="1267"/>
      <c r="AH5" s="1267"/>
      <c r="AI5" s="1267"/>
      <c r="AJ5" s="1267"/>
      <c r="AK5" s="1267"/>
      <c r="AL5" s="1267"/>
      <c r="AM5" s="1272" t="s">
        <v>924</v>
      </c>
      <c r="AN5" s="1267"/>
      <c r="AO5" s="1267"/>
      <c r="AP5" s="1267"/>
      <c r="AQ5" s="1267"/>
      <c r="AR5" s="1267"/>
      <c r="AS5" s="1267"/>
      <c r="AT5" s="1267"/>
      <c r="AU5" s="1267"/>
    </row>
    <row r="6" spans="1:47">
      <c r="A6" s="1273" t="s">
        <v>925</v>
      </c>
      <c r="B6" s="1274">
        <v>-100</v>
      </c>
      <c r="C6" s="1273">
        <v>-6</v>
      </c>
      <c r="D6" s="1274">
        <f>(C6+E6)/2</f>
        <v>-5</v>
      </c>
      <c r="E6" s="1273">
        <v>-4</v>
      </c>
      <c r="F6" s="1274">
        <f>(E6+G6)/2</f>
        <v>-3</v>
      </c>
      <c r="G6" s="1273">
        <v>-2</v>
      </c>
      <c r="H6" s="1274">
        <f>(G6+I6)/2</f>
        <v>-1</v>
      </c>
      <c r="I6" s="1273">
        <v>0</v>
      </c>
      <c r="J6" s="1274">
        <f>(I6+K6)/2</f>
        <v>1</v>
      </c>
      <c r="K6" s="1273">
        <v>2</v>
      </c>
      <c r="L6" s="1274">
        <f>(K6+M6)/2</f>
        <v>3</v>
      </c>
      <c r="M6" s="1273">
        <v>4</v>
      </c>
      <c r="N6" s="1274">
        <f>(M6+O6)/2</f>
        <v>5</v>
      </c>
      <c r="O6" s="1273">
        <v>6</v>
      </c>
      <c r="P6" s="1267"/>
      <c r="Q6" s="1273" t="s">
        <v>926</v>
      </c>
      <c r="R6" s="1273" t="s">
        <v>921</v>
      </c>
      <c r="S6" s="1273">
        <v>10</v>
      </c>
      <c r="T6" s="1273">
        <v>20</v>
      </c>
      <c r="U6" s="1273">
        <v>30</v>
      </c>
      <c r="V6" s="1273">
        <v>40</v>
      </c>
      <c r="W6" s="1273">
        <v>50</v>
      </c>
      <c r="X6" s="1273">
        <v>60</v>
      </c>
      <c r="Y6" s="1273">
        <v>70</v>
      </c>
      <c r="Z6" s="1273">
        <v>80</v>
      </c>
      <c r="AA6" s="1267"/>
      <c r="AB6" s="1273" t="s">
        <v>926</v>
      </c>
      <c r="AC6" s="1273" t="s">
        <v>921</v>
      </c>
      <c r="AD6" s="1273">
        <v>10</v>
      </c>
      <c r="AE6" s="1273">
        <v>20</v>
      </c>
      <c r="AF6" s="1273">
        <v>30</v>
      </c>
      <c r="AG6" s="1273">
        <v>40</v>
      </c>
      <c r="AH6" s="1273">
        <v>50</v>
      </c>
      <c r="AI6" s="1273">
        <v>60</v>
      </c>
      <c r="AJ6" s="1273">
        <v>70</v>
      </c>
      <c r="AK6" s="1273">
        <v>80</v>
      </c>
      <c r="AL6" s="1267"/>
      <c r="AM6" s="1273" t="s">
        <v>927</v>
      </c>
      <c r="AN6" s="1273">
        <v>10</v>
      </c>
      <c r="AO6" s="1273">
        <v>20</v>
      </c>
      <c r="AP6" s="1273">
        <v>30</v>
      </c>
      <c r="AQ6" s="1273">
        <v>40</v>
      </c>
      <c r="AR6" s="1273">
        <v>50</v>
      </c>
      <c r="AS6" s="1273">
        <v>60</v>
      </c>
      <c r="AT6" s="1273">
        <v>70</v>
      </c>
      <c r="AU6" s="1273">
        <v>80</v>
      </c>
    </row>
    <row r="7" spans="1:47">
      <c r="A7" s="1275">
        <v>0</v>
      </c>
      <c r="B7" s="1276">
        <f>C7</f>
        <v>7.3999999999999996E-2</v>
      </c>
      <c r="C7" s="1277">
        <v>7.3999999999999996E-2</v>
      </c>
      <c r="D7" s="1276">
        <f>(C7+E7)/2</f>
        <v>7.3999999999999996E-2</v>
      </c>
      <c r="E7" s="1277">
        <v>7.3999999999999996E-2</v>
      </c>
      <c r="F7" s="1276">
        <f>(E7+G7)/2</f>
        <v>7.3999999999999996E-2</v>
      </c>
      <c r="G7" s="1277">
        <v>7.3999999999999996E-2</v>
      </c>
      <c r="H7" s="1276">
        <f>(G7+I7)/2</f>
        <v>7.3999999999999996E-2</v>
      </c>
      <c r="I7" s="1277">
        <v>7.3999999999999996E-2</v>
      </c>
      <c r="J7" s="1276">
        <f>(I7+K7)/2</f>
        <v>7.3999999999999996E-2</v>
      </c>
      <c r="K7" s="1277">
        <v>7.3999999999999996E-2</v>
      </c>
      <c r="L7" s="1276">
        <f>(K7+M7)/2</f>
        <v>7.3999999999999996E-2</v>
      </c>
      <c r="M7" s="1277">
        <v>7.3999999999999996E-2</v>
      </c>
      <c r="N7" s="1276">
        <f>(M7+O7)/2</f>
        <v>7.3999999999999996E-2</v>
      </c>
      <c r="O7" s="1277">
        <v>7.3999999999999996E-2</v>
      </c>
      <c r="P7" s="1267"/>
      <c r="Q7" s="1275" t="s">
        <v>928</v>
      </c>
      <c r="R7" s="1382">
        <f>'환기량 산정'!B8</f>
        <v>0</v>
      </c>
      <c r="S7" s="1279">
        <f>HLOOKUP(INT($R7),$B$6:$O$17,3)+(HLOOKUP(INT($R7)+1,$B$6:$O$17,3)-HLOOKUP(INT($R7),$B$6:$O$17,3))*($R7-INT($R7))</f>
        <v>0.66700000000000004</v>
      </c>
      <c r="T7" s="1279">
        <f t="shared" ref="T7:T16" si="0">HLOOKUP(INT($R7),$B$6:$O$17,4)+(HLOOKUP(INT($R7)+1,$B$6:$O$17,4)-HLOOKUP(INT($R7),$B$6:$O$17,4))*($R7-INT($R7))</f>
        <v>0.88900000000000001</v>
      </c>
      <c r="U7" s="1279">
        <f>HLOOKUP(INT($R7),$B$6:$O$17,5)+(HLOOKUP(INT($R7)+1,$B$6:$O$17,5)-HLOOKUP(INT($R7),$B$6:$O$17,5))*($R7-INT($R7))</f>
        <v>1</v>
      </c>
      <c r="V7" s="1279">
        <f>HLOOKUP(INT($R7),$B$6:$O$17,6)+(HLOOKUP(INT($R7)+1,$B$6:$O$17,6)-HLOOKUP(INT($R7),$B$6:$O$17,6))*($R7-INT($R7))</f>
        <v>1.1479999999999999</v>
      </c>
      <c r="W7" s="1279">
        <f>HLOOKUP(INT($R7),$B$6:$O$17,7)+(HLOOKUP(INT($R7)+1,$B$6:$O$17,7)-HLOOKUP(INT($R7),$B$6:$O$17,7))*($R7-INT($R7))</f>
        <v>1.1850000000000001</v>
      </c>
      <c r="X7" s="1279">
        <f>HLOOKUP(INT($R7),$B$6:$O$17,8)+(HLOOKUP(INT($R7)+1,$B$6:$O$17,8)-HLOOKUP(INT($R7),$B$6:$O$17,8))*($R7-INT($R7))</f>
        <v>1.333</v>
      </c>
      <c r="Y7" s="1279">
        <f>HLOOKUP(INT($R7),$B$6:$O$17,9)+(HLOOKUP(INT($R7)+1,$B$6:$O$17,9)-HLOOKUP(INT($R7),$B$6:$O$17,9))*($R7-INT($R7))</f>
        <v>1.4810000000000001</v>
      </c>
      <c r="Z7" s="1279">
        <f>HLOOKUP(INT($R7),$B$6:$O$17,10)+(HLOOKUP(INT($R7)+1,$B$6:$O$17,10)-HLOOKUP(INT($R7),$B$6:$O$17,10))*($R7-INT($R7))</f>
        <v>1.9259999999999999</v>
      </c>
      <c r="AA7" s="1267"/>
      <c r="AB7" s="1275" t="s">
        <v>928</v>
      </c>
      <c r="AC7" s="1382">
        <f>'환기량 산정'!G8</f>
        <v>1.784</v>
      </c>
      <c r="AD7" s="1279">
        <f>HLOOKUP(INT($AC7),$B$6:$O$17,3)+(HLOOKUP(INT($AC7)+1,$B$6:$O$17,3)-HLOOKUP(INT($AC7),$B$6:$O$17,3))*($AC7-INT($AC7))</f>
        <v>0.76601200000000003</v>
      </c>
      <c r="AE7" s="1279">
        <f>HLOOKUP(INT($AC7),$B$6:$O$17,4)+(HLOOKUP(INT($AC7)+1,$B$6:$O$17,4)-HLOOKUP(INT($AC7),$B$6:$O$17,4))*($AC7-INT($AC7))</f>
        <v>1.05402</v>
      </c>
      <c r="AF7" s="1279">
        <f>HLOOKUP(INT($AC7),$B$6:$O$17,5)+(HLOOKUP(INT($AC7)+1,$B$6:$O$17,5)-HLOOKUP(INT($AC7),$B$6:$O$17,5))*($AC7-INT($AC7))</f>
        <v>1.231028</v>
      </c>
      <c r="AG7" s="1279">
        <f>HLOOKUP(INT($AC7),$B$6:$O$17,6)+(HLOOKUP(INT($AC7)+1,$B$6:$O$17,6)-HLOOKUP(INT($AC7),$B$6:$O$17,6))*($AC7-INT($AC7))</f>
        <v>1.4789319999999999</v>
      </c>
      <c r="AH7" s="1279">
        <f>HLOOKUP(INT($AC7),$B$6:$O$17,7)+(HLOOKUP(INT($AC7)+1,$B$6:$O$17,7)-HLOOKUP(INT($AC7),$B$6:$O$17,7))*($AC7-INT($AC7))</f>
        <v>1.5489359999999999</v>
      </c>
      <c r="AI7" s="1279">
        <f>HLOOKUP(INT($AC7),$B$6:$O$17,8)+(HLOOKUP(INT($AC7)+1,$B$6:$O$17,8)-HLOOKUP(INT($AC7),$B$6:$O$17,8))*($AC7-INT($AC7))</f>
        <v>1.8289520000000001</v>
      </c>
      <c r="AJ7" s="1279">
        <f>HLOOKUP(INT($AC7),$B$6:$O$17,9)+(HLOOKUP(INT($AC7)+1,$B$6:$O$17,9)-HLOOKUP(INT($AC7),$B$6:$O$17,9))*($AC7-INT($AC7))</f>
        <v>2.108968</v>
      </c>
      <c r="AK7" s="1279">
        <f>HLOOKUP(INT($AC7),$B$6:$O$17,10)+(HLOOKUP(INT($AC7)+1,$B$6:$O$17,10)-HLOOKUP(INT($AC7),$B$6:$O$17,10))*($AC7-INT($AC7))</f>
        <v>2.6529799999999999</v>
      </c>
      <c r="AL7" s="1267"/>
      <c r="AM7" s="1280" t="s">
        <v>921</v>
      </c>
      <c r="AN7" s="1278">
        <v>0</v>
      </c>
      <c r="AO7" s="1281">
        <f>AN7</f>
        <v>0</v>
      </c>
      <c r="AP7" s="1281">
        <f t="shared" ref="AP7:AU7" si="1">AO7</f>
        <v>0</v>
      </c>
      <c r="AQ7" s="1281">
        <f t="shared" si="1"/>
        <v>0</v>
      </c>
      <c r="AR7" s="1281">
        <f t="shared" si="1"/>
        <v>0</v>
      </c>
      <c r="AS7" s="1281">
        <f t="shared" si="1"/>
        <v>0</v>
      </c>
      <c r="AT7" s="1281">
        <f t="shared" si="1"/>
        <v>0</v>
      </c>
      <c r="AU7" s="1281">
        <f t="shared" si="1"/>
        <v>0</v>
      </c>
    </row>
    <row r="8" spans="1:47">
      <c r="A8" s="1282">
        <v>10</v>
      </c>
      <c r="B8" s="1283">
        <f t="shared" ref="B8:B17" si="2">C8</f>
        <v>0.44400000000000001</v>
      </c>
      <c r="C8" s="1284">
        <v>0.44400000000000001</v>
      </c>
      <c r="D8" s="1283">
        <f t="shared" ref="D8:D17" si="3">(C8+E8)/2</f>
        <v>0.46250000000000002</v>
      </c>
      <c r="E8" s="1284">
        <v>0.48099999999999998</v>
      </c>
      <c r="F8" s="1283">
        <f t="shared" ref="F8:F17" si="4">(E8+G8)/2</f>
        <v>0.53699999999999992</v>
      </c>
      <c r="G8" s="1284">
        <v>0.59299999999999997</v>
      </c>
      <c r="H8" s="1283">
        <f t="shared" ref="H8:H17" si="5">(G8+I8)/2</f>
        <v>0.63</v>
      </c>
      <c r="I8" s="1284">
        <v>0.66700000000000004</v>
      </c>
      <c r="J8" s="1283">
        <f t="shared" ref="J8:J17" si="6">(I8+K8)/2</f>
        <v>0.72250000000000003</v>
      </c>
      <c r="K8" s="1284">
        <v>0.77800000000000002</v>
      </c>
      <c r="L8" s="1283">
        <f t="shared" ref="L8:L17" si="7">(K8+M8)/2</f>
        <v>0.81499999999999995</v>
      </c>
      <c r="M8" s="1284">
        <v>0.85199999999999998</v>
      </c>
      <c r="N8" s="1283">
        <f t="shared" ref="N8:N17" si="8">(M8+O8)/2</f>
        <v>0.90749999999999997</v>
      </c>
      <c r="O8" s="1284">
        <v>0.96299999999999997</v>
      </c>
      <c r="P8" s="1267"/>
      <c r="Q8" s="1275" t="s">
        <v>3</v>
      </c>
      <c r="R8" s="1382">
        <f>'환기량 산정'!C8</f>
        <v>0</v>
      </c>
      <c r="S8" s="1279">
        <f t="shared" ref="S8:S16" si="9">HLOOKUP(INT($R8),$B$6:$O$17,3)+(HLOOKUP(INT($R8)+1,$B$6:$O$17,3)-HLOOKUP(INT($R8),$B$6:$O$17,3))*($R8-INT($R8))</f>
        <v>0.66700000000000004</v>
      </c>
      <c r="T8" s="1279">
        <f t="shared" si="0"/>
        <v>0.88900000000000001</v>
      </c>
      <c r="U8" s="1279">
        <f t="shared" ref="U8:U16" si="10">HLOOKUP(INT($R8),$B$6:$O$17,5)+(HLOOKUP(INT($R8)+1,$B$6:$O$17,5)-HLOOKUP(INT($R8),$B$6:$O$17,5))*($R8-INT($R8))</f>
        <v>1</v>
      </c>
      <c r="V8" s="1279">
        <f t="shared" ref="V8:V16" si="11">HLOOKUP(INT($R8),$B$6:$O$17,6)+(HLOOKUP(INT($R8)+1,$B$6:$O$17,6)-HLOOKUP(INT($R8),$B$6:$O$17,6))*($R8-INT($R8))</f>
        <v>1.1479999999999999</v>
      </c>
      <c r="W8" s="1279">
        <f t="shared" ref="W8:W16" si="12">HLOOKUP(INT($R8),$B$6:$O$17,7)+(HLOOKUP(INT($R8)+1,$B$6:$O$17,7)-HLOOKUP(INT($R8),$B$6:$O$17,7))*($R8-INT($R8))</f>
        <v>1.1850000000000001</v>
      </c>
      <c r="X8" s="1279">
        <f t="shared" ref="X8:X16" si="13">HLOOKUP(INT($R8),$B$6:$O$17,8)+(HLOOKUP(INT($R8)+1,$B$6:$O$17,8)-HLOOKUP(INT($R8),$B$6:$O$17,8))*($R8-INT($R8))</f>
        <v>1.333</v>
      </c>
      <c r="Y8" s="1279">
        <f t="shared" ref="Y8:Y16" si="14">HLOOKUP(INT($R8),$B$6:$O$17,9)+(HLOOKUP(INT($R8)+1,$B$6:$O$17,9)-HLOOKUP(INT($R8),$B$6:$O$17,9))*($R8-INT($R8))</f>
        <v>1.4810000000000001</v>
      </c>
      <c r="Z8" s="1279">
        <f t="shared" ref="Z8:Z16" si="15">HLOOKUP(INT($R8),$B$6:$O$17,10)+(HLOOKUP(INT($R8)+1,$B$6:$O$17,10)-HLOOKUP(INT($R8),$B$6:$O$17,10))*($R8-INT($R8))</f>
        <v>1.9259999999999999</v>
      </c>
      <c r="AA8" s="1267"/>
      <c r="AB8" s="1275" t="s">
        <v>3</v>
      </c>
      <c r="AC8" s="1382">
        <f>'환기량 산정'!H8</f>
        <v>0</v>
      </c>
      <c r="AD8" s="1279">
        <f t="shared" ref="AD8:AD16" si="16">HLOOKUP(INT($AC8),$B$6:$O$17,3)+(HLOOKUP(INT($AC8)+1,$B$6:$O$17,3)-HLOOKUP(INT($AC8),$B$6:$O$17,3))*($AC8-INT($AC8))</f>
        <v>0.66700000000000004</v>
      </c>
      <c r="AE8" s="1279">
        <f t="shared" ref="AE8:AE16" si="17">HLOOKUP(INT($AC8),$B$6:$O$17,4)+(HLOOKUP(INT($AC8)+1,$B$6:$O$17,4)-HLOOKUP(INT($AC8),$B$6:$O$17,4))*($AC8-INT($AC8))</f>
        <v>0.88900000000000001</v>
      </c>
      <c r="AF8" s="1279">
        <f t="shared" ref="AF8:AF16" si="18">HLOOKUP(INT($AC8),$B$6:$O$17,5)+(HLOOKUP(INT($AC8)+1,$B$6:$O$17,5)-HLOOKUP(INT($AC8),$B$6:$O$17,5))*($AC8-INT($AC8))</f>
        <v>1</v>
      </c>
      <c r="AG8" s="1279">
        <f t="shared" ref="AG8:AG16" si="19">HLOOKUP(INT($AC8),$B$6:$O$17,6)+(HLOOKUP(INT($AC8)+1,$B$6:$O$17,6)-HLOOKUP(INT($AC8),$B$6:$O$17,6))*($AC8-INT($AC8))</f>
        <v>1.1479999999999999</v>
      </c>
      <c r="AH8" s="1279">
        <f t="shared" ref="AH8:AH16" si="20">HLOOKUP(INT($AC8),$B$6:$O$17,7)+(HLOOKUP(INT($AC8)+1,$B$6:$O$17,7)-HLOOKUP(INT($AC8),$B$6:$O$17,7))*($AC8-INT($AC8))</f>
        <v>1.1850000000000001</v>
      </c>
      <c r="AI8" s="1279">
        <f t="shared" ref="AI8:AI16" si="21">HLOOKUP(INT($AC8),$B$6:$O$17,8)+(HLOOKUP(INT($AC8)+1,$B$6:$O$17,8)-HLOOKUP(INT($AC8),$B$6:$O$17,8))*($AC8-INT($AC8))</f>
        <v>1.333</v>
      </c>
      <c r="AJ8" s="1279">
        <f t="shared" ref="AJ8:AJ16" si="22">HLOOKUP(INT($AC8),$B$6:$O$17,9)+(HLOOKUP(INT($AC8)+1,$B$6:$O$17,9)-HLOOKUP(INT($AC8),$B$6:$O$17,9))*($AC8-INT($AC8))</f>
        <v>1.4810000000000001</v>
      </c>
      <c r="AK8" s="1279">
        <f t="shared" ref="AK8:AK16" si="23">HLOOKUP(INT($AC8),$B$6:$O$17,10)+(HLOOKUP(INT($AC8)+1,$B$6:$O$17,10)-HLOOKUP(INT($AC8),$B$6:$O$17,10))*($AC8-INT($AC8))</f>
        <v>1.9259999999999999</v>
      </c>
      <c r="AL8" s="1267"/>
      <c r="AM8" s="1267" t="s">
        <v>929</v>
      </c>
      <c r="AN8" s="1279">
        <f t="shared" ref="AN8:AU8" si="24">AN11+(AN13-AN11)*(AN7-AN10)</f>
        <v>0.66700000000000004</v>
      </c>
      <c r="AO8" s="1279">
        <f t="shared" si="24"/>
        <v>0.88900000000000001</v>
      </c>
      <c r="AP8" s="1279">
        <f t="shared" si="24"/>
        <v>1</v>
      </c>
      <c r="AQ8" s="1279">
        <f t="shared" si="24"/>
        <v>1.1479999999999999</v>
      </c>
      <c r="AR8" s="1279">
        <f t="shared" si="24"/>
        <v>1.1850000000000001</v>
      </c>
      <c r="AS8" s="1279">
        <f t="shared" si="24"/>
        <v>1.333</v>
      </c>
      <c r="AT8" s="1279">
        <f t="shared" si="24"/>
        <v>1.4810000000000001</v>
      </c>
      <c r="AU8" s="1279">
        <f t="shared" si="24"/>
        <v>1.9259999999999999</v>
      </c>
    </row>
    <row r="9" spans="1:47">
      <c r="A9" s="1282">
        <v>20</v>
      </c>
      <c r="B9" s="1283">
        <f t="shared" si="2"/>
        <v>0.48099999999999998</v>
      </c>
      <c r="C9" s="1284">
        <v>0.48099999999999998</v>
      </c>
      <c r="D9" s="1283">
        <f t="shared" si="3"/>
        <v>0.53699999999999992</v>
      </c>
      <c r="E9" s="1284">
        <v>0.59299999999999997</v>
      </c>
      <c r="F9" s="1283">
        <f t="shared" si="4"/>
        <v>0.66700000000000004</v>
      </c>
      <c r="G9" s="1284">
        <v>0.74099999999999999</v>
      </c>
      <c r="H9" s="1283">
        <f t="shared" si="5"/>
        <v>0.81499999999999995</v>
      </c>
      <c r="I9" s="1284">
        <v>0.88900000000000001</v>
      </c>
      <c r="J9" s="1283">
        <f t="shared" si="6"/>
        <v>0.98150000000000004</v>
      </c>
      <c r="K9" s="1284">
        <v>1.0740000000000001</v>
      </c>
      <c r="L9" s="1283">
        <f t="shared" si="7"/>
        <v>1.1665000000000001</v>
      </c>
      <c r="M9" s="1284">
        <v>1.2589999999999999</v>
      </c>
      <c r="N9" s="1283">
        <f t="shared" si="8"/>
        <v>1.4075</v>
      </c>
      <c r="O9" s="1284">
        <v>1.556</v>
      </c>
      <c r="P9" s="1267"/>
      <c r="Q9" s="1275" t="s">
        <v>878</v>
      </c>
      <c r="R9" s="1382">
        <f>'환기량 산정'!D8</f>
        <v>0</v>
      </c>
      <c r="S9" s="1279">
        <f t="shared" si="9"/>
        <v>0.66700000000000004</v>
      </c>
      <c r="T9" s="1279">
        <f t="shared" si="0"/>
        <v>0.88900000000000001</v>
      </c>
      <c r="U9" s="1279">
        <f t="shared" si="10"/>
        <v>1</v>
      </c>
      <c r="V9" s="1279">
        <f t="shared" si="11"/>
        <v>1.1479999999999999</v>
      </c>
      <c r="W9" s="1279">
        <f t="shared" si="12"/>
        <v>1.1850000000000001</v>
      </c>
      <c r="X9" s="1279">
        <f t="shared" si="13"/>
        <v>1.333</v>
      </c>
      <c r="Y9" s="1279">
        <f t="shared" si="14"/>
        <v>1.4810000000000001</v>
      </c>
      <c r="Z9" s="1279">
        <f t="shared" si="15"/>
        <v>1.9259999999999999</v>
      </c>
      <c r="AA9" s="1267"/>
      <c r="AB9" s="1275" t="s">
        <v>878</v>
      </c>
      <c r="AC9" s="1382">
        <f>'환기량 산정'!I8</f>
        <v>0</v>
      </c>
      <c r="AD9" s="1279">
        <f t="shared" si="16"/>
        <v>0.66700000000000004</v>
      </c>
      <c r="AE9" s="1279">
        <f t="shared" si="17"/>
        <v>0.88900000000000001</v>
      </c>
      <c r="AF9" s="1279">
        <f t="shared" si="18"/>
        <v>1</v>
      </c>
      <c r="AG9" s="1279">
        <f t="shared" si="19"/>
        <v>1.1479999999999999</v>
      </c>
      <c r="AH9" s="1279">
        <f t="shared" si="20"/>
        <v>1.1850000000000001</v>
      </c>
      <c r="AI9" s="1279">
        <f t="shared" si="21"/>
        <v>1.333</v>
      </c>
      <c r="AJ9" s="1279">
        <f t="shared" si="22"/>
        <v>1.4810000000000001</v>
      </c>
      <c r="AK9" s="1279">
        <f t="shared" si="23"/>
        <v>1.9259999999999999</v>
      </c>
      <c r="AL9" s="1267"/>
      <c r="AM9" s="1267"/>
      <c r="AN9" s="1275"/>
      <c r="AO9" s="1275"/>
      <c r="AP9" s="1275"/>
      <c r="AQ9" s="1275"/>
      <c r="AR9" s="1275"/>
      <c r="AS9" s="1275"/>
      <c r="AT9" s="1275"/>
      <c r="AU9" s="1275"/>
    </row>
    <row r="10" spans="1:47">
      <c r="A10" s="1282">
        <v>30</v>
      </c>
      <c r="B10" s="1283">
        <f t="shared" si="2"/>
        <v>0.48099999999999998</v>
      </c>
      <c r="C10" s="1284">
        <v>0.48099999999999998</v>
      </c>
      <c r="D10" s="1283">
        <f t="shared" si="3"/>
        <v>0.53699999999999992</v>
      </c>
      <c r="E10" s="1284">
        <v>0.59299999999999997</v>
      </c>
      <c r="F10" s="1283">
        <f t="shared" si="4"/>
        <v>0.6855</v>
      </c>
      <c r="G10" s="1284">
        <v>0.77800000000000002</v>
      </c>
      <c r="H10" s="1283">
        <f t="shared" si="5"/>
        <v>0.88900000000000001</v>
      </c>
      <c r="I10" s="1284">
        <v>1</v>
      </c>
      <c r="J10" s="1283">
        <f t="shared" si="6"/>
        <v>1.1294999999999999</v>
      </c>
      <c r="K10" s="1284">
        <v>1.2589999999999999</v>
      </c>
      <c r="L10" s="1283">
        <f t="shared" si="7"/>
        <v>1.4259999999999999</v>
      </c>
      <c r="M10" s="1284">
        <v>1.593</v>
      </c>
      <c r="N10" s="1283">
        <f t="shared" si="8"/>
        <v>1.7965</v>
      </c>
      <c r="O10" s="1284">
        <v>2</v>
      </c>
      <c r="P10" s="1267"/>
      <c r="Q10" s="1275" t="s">
        <v>879</v>
      </c>
      <c r="R10" s="1382">
        <f>'환기량 산정'!E8</f>
        <v>0</v>
      </c>
      <c r="S10" s="1279">
        <f t="shared" si="9"/>
        <v>0.66700000000000004</v>
      </c>
      <c r="T10" s="1279">
        <f t="shared" si="0"/>
        <v>0.88900000000000001</v>
      </c>
      <c r="U10" s="1279">
        <f t="shared" si="10"/>
        <v>1</v>
      </c>
      <c r="V10" s="1279">
        <f t="shared" si="11"/>
        <v>1.1479999999999999</v>
      </c>
      <c r="W10" s="1279">
        <f t="shared" si="12"/>
        <v>1.1850000000000001</v>
      </c>
      <c r="X10" s="1279">
        <f t="shared" si="13"/>
        <v>1.333</v>
      </c>
      <c r="Y10" s="1279">
        <f t="shared" si="14"/>
        <v>1.4810000000000001</v>
      </c>
      <c r="Z10" s="1279">
        <f t="shared" si="15"/>
        <v>1.9259999999999999</v>
      </c>
      <c r="AA10" s="1267"/>
      <c r="AB10" s="1275" t="s">
        <v>879</v>
      </c>
      <c r="AC10" s="1382">
        <f>'환기량 산정'!J8</f>
        <v>0</v>
      </c>
      <c r="AD10" s="1279">
        <f t="shared" si="16"/>
        <v>0.66700000000000004</v>
      </c>
      <c r="AE10" s="1279">
        <f t="shared" si="17"/>
        <v>0.88900000000000001</v>
      </c>
      <c r="AF10" s="1279">
        <f t="shared" si="18"/>
        <v>1</v>
      </c>
      <c r="AG10" s="1279">
        <f t="shared" si="19"/>
        <v>1.1479999999999999</v>
      </c>
      <c r="AH10" s="1279">
        <f t="shared" si="20"/>
        <v>1.1850000000000001</v>
      </c>
      <c r="AI10" s="1279">
        <f t="shared" si="21"/>
        <v>1.333</v>
      </c>
      <c r="AJ10" s="1279">
        <f t="shared" si="22"/>
        <v>1.4810000000000001</v>
      </c>
      <c r="AK10" s="1279">
        <f t="shared" si="23"/>
        <v>1.9259999999999999</v>
      </c>
      <c r="AL10" s="1267"/>
      <c r="AM10" s="1285" t="s">
        <v>930</v>
      </c>
      <c r="AN10" s="1286">
        <f>INT(AN7)</f>
        <v>0</v>
      </c>
      <c r="AO10" s="1286">
        <f t="shared" ref="AO10:AU10" si="25">INT(AO7)</f>
        <v>0</v>
      </c>
      <c r="AP10" s="1286">
        <f t="shared" si="25"/>
        <v>0</v>
      </c>
      <c r="AQ10" s="1286">
        <f t="shared" si="25"/>
        <v>0</v>
      </c>
      <c r="AR10" s="1286">
        <f t="shared" si="25"/>
        <v>0</v>
      </c>
      <c r="AS10" s="1286">
        <f t="shared" si="25"/>
        <v>0</v>
      </c>
      <c r="AT10" s="1286">
        <f t="shared" si="25"/>
        <v>0</v>
      </c>
      <c r="AU10" s="1286">
        <f t="shared" si="25"/>
        <v>0</v>
      </c>
    </row>
    <row r="11" spans="1:47">
      <c r="A11" s="1287">
        <v>40</v>
      </c>
      <c r="B11" s="1288">
        <f t="shared" si="2"/>
        <v>0.51900000000000002</v>
      </c>
      <c r="C11" s="1289">
        <v>0.51900000000000002</v>
      </c>
      <c r="D11" s="1288">
        <f t="shared" si="3"/>
        <v>0.59299999999999997</v>
      </c>
      <c r="E11" s="1289">
        <v>0.66700000000000004</v>
      </c>
      <c r="F11" s="1288">
        <f t="shared" si="4"/>
        <v>0.77800000000000002</v>
      </c>
      <c r="G11" s="1289">
        <v>0.88900000000000001</v>
      </c>
      <c r="H11" s="1288">
        <f t="shared" si="5"/>
        <v>1.0185</v>
      </c>
      <c r="I11" s="1289">
        <v>1.1479999999999999</v>
      </c>
      <c r="J11" s="1288">
        <f t="shared" si="6"/>
        <v>1.3334999999999999</v>
      </c>
      <c r="K11" s="1289">
        <v>1.5189999999999999</v>
      </c>
      <c r="L11" s="1288">
        <f t="shared" si="7"/>
        <v>1.704</v>
      </c>
      <c r="M11" s="1289">
        <v>1.889</v>
      </c>
      <c r="N11" s="1288">
        <f t="shared" si="8"/>
        <v>2.0924999999999998</v>
      </c>
      <c r="O11" s="1289">
        <v>2.2959999999999998</v>
      </c>
      <c r="P11" s="1267"/>
      <c r="Q11" s="1275" t="s">
        <v>881</v>
      </c>
      <c r="R11" s="1382">
        <f>'환기량 산정'!F8</f>
        <v>0</v>
      </c>
      <c r="S11" s="1279">
        <f t="shared" si="9"/>
        <v>0.66700000000000004</v>
      </c>
      <c r="T11" s="1279">
        <f t="shared" si="0"/>
        <v>0.88900000000000001</v>
      </c>
      <c r="U11" s="1279">
        <f t="shared" si="10"/>
        <v>1</v>
      </c>
      <c r="V11" s="1279">
        <f t="shared" si="11"/>
        <v>1.1479999999999999</v>
      </c>
      <c r="W11" s="1279">
        <f t="shared" si="12"/>
        <v>1.1850000000000001</v>
      </c>
      <c r="X11" s="1279">
        <f t="shared" si="13"/>
        <v>1.333</v>
      </c>
      <c r="Y11" s="1279">
        <f t="shared" si="14"/>
        <v>1.4810000000000001</v>
      </c>
      <c r="Z11" s="1279">
        <f t="shared" si="15"/>
        <v>1.9259999999999999</v>
      </c>
      <c r="AA11" s="1267"/>
      <c r="AB11" s="1275" t="s">
        <v>881</v>
      </c>
      <c r="AC11" s="1382">
        <f>'환기량 산정'!K8</f>
        <v>0</v>
      </c>
      <c r="AD11" s="1279">
        <f t="shared" si="16"/>
        <v>0.66700000000000004</v>
      </c>
      <c r="AE11" s="1279">
        <f t="shared" si="17"/>
        <v>0.88900000000000001</v>
      </c>
      <c r="AF11" s="1279">
        <f t="shared" si="18"/>
        <v>1</v>
      </c>
      <c r="AG11" s="1279">
        <f t="shared" si="19"/>
        <v>1.1479999999999999</v>
      </c>
      <c r="AH11" s="1279">
        <f t="shared" si="20"/>
        <v>1.1850000000000001</v>
      </c>
      <c r="AI11" s="1279">
        <f t="shared" si="21"/>
        <v>1.333</v>
      </c>
      <c r="AJ11" s="1279">
        <f t="shared" si="22"/>
        <v>1.4810000000000001</v>
      </c>
      <c r="AK11" s="1279">
        <f t="shared" si="23"/>
        <v>1.9259999999999999</v>
      </c>
      <c r="AL11" s="1267"/>
      <c r="AM11" s="1285" t="s">
        <v>931</v>
      </c>
      <c r="AN11" s="1290">
        <f t="shared" ref="AN11:AU11" si="26">HLOOKUP(AN10,$B$6:$O$17,AN14)</f>
        <v>0.66700000000000004</v>
      </c>
      <c r="AO11" s="1290">
        <f t="shared" si="26"/>
        <v>0.88900000000000001</v>
      </c>
      <c r="AP11" s="1290">
        <f t="shared" si="26"/>
        <v>1</v>
      </c>
      <c r="AQ11" s="1290">
        <f t="shared" si="26"/>
        <v>1.1479999999999999</v>
      </c>
      <c r="AR11" s="1290">
        <f t="shared" si="26"/>
        <v>1.1850000000000001</v>
      </c>
      <c r="AS11" s="1290">
        <f t="shared" si="26"/>
        <v>1.333</v>
      </c>
      <c r="AT11" s="1290">
        <f t="shared" si="26"/>
        <v>1.4810000000000001</v>
      </c>
      <c r="AU11" s="1290">
        <f t="shared" si="26"/>
        <v>1.9259999999999999</v>
      </c>
    </row>
    <row r="12" spans="1:47">
      <c r="A12" s="1287">
        <v>50</v>
      </c>
      <c r="B12" s="1288">
        <f t="shared" si="2"/>
        <v>0.48099999999999998</v>
      </c>
      <c r="C12" s="1289">
        <v>0.48099999999999998</v>
      </c>
      <c r="D12" s="1288">
        <f t="shared" si="3"/>
        <v>0.55549999999999999</v>
      </c>
      <c r="E12" s="1289">
        <v>0.63</v>
      </c>
      <c r="F12" s="1288">
        <f t="shared" si="4"/>
        <v>0.74099999999999999</v>
      </c>
      <c r="G12" s="1289">
        <v>0.85199999999999998</v>
      </c>
      <c r="H12" s="1288">
        <f t="shared" si="5"/>
        <v>1.0185</v>
      </c>
      <c r="I12" s="1289">
        <v>1.1850000000000001</v>
      </c>
      <c r="J12" s="1288">
        <f t="shared" si="6"/>
        <v>1.389</v>
      </c>
      <c r="K12" s="1289">
        <v>1.593</v>
      </c>
      <c r="L12" s="1288">
        <f t="shared" si="7"/>
        <v>1.8149999999999999</v>
      </c>
      <c r="M12" s="1289">
        <v>2.0369999999999999</v>
      </c>
      <c r="N12" s="1288">
        <f t="shared" si="8"/>
        <v>2.3334999999999999</v>
      </c>
      <c r="O12" s="1289">
        <v>2.63</v>
      </c>
      <c r="P12" s="1267"/>
      <c r="Q12" s="1275" t="s">
        <v>883</v>
      </c>
      <c r="R12" s="1382">
        <f>'환기량 산정'!B13</f>
        <v>0</v>
      </c>
      <c r="S12" s="1279">
        <f t="shared" si="9"/>
        <v>0.66700000000000004</v>
      </c>
      <c r="T12" s="1279">
        <f t="shared" si="0"/>
        <v>0.88900000000000001</v>
      </c>
      <c r="U12" s="1279">
        <f t="shared" si="10"/>
        <v>1</v>
      </c>
      <c r="V12" s="1279">
        <f t="shared" si="11"/>
        <v>1.1479999999999999</v>
      </c>
      <c r="W12" s="1279">
        <f t="shared" si="12"/>
        <v>1.1850000000000001</v>
      </c>
      <c r="X12" s="1279">
        <f t="shared" si="13"/>
        <v>1.333</v>
      </c>
      <c r="Y12" s="1279">
        <f t="shared" si="14"/>
        <v>1.4810000000000001</v>
      </c>
      <c r="Z12" s="1279">
        <f t="shared" si="15"/>
        <v>1.9259999999999999</v>
      </c>
      <c r="AA12" s="1267"/>
      <c r="AB12" s="1275" t="s">
        <v>883</v>
      </c>
      <c r="AC12" s="1382">
        <f>'환기량 산정'!G13</f>
        <v>0</v>
      </c>
      <c r="AD12" s="1279">
        <f t="shared" si="16"/>
        <v>0.66700000000000004</v>
      </c>
      <c r="AE12" s="1279">
        <f t="shared" si="17"/>
        <v>0.88900000000000001</v>
      </c>
      <c r="AF12" s="1279">
        <f t="shared" si="18"/>
        <v>1</v>
      </c>
      <c r="AG12" s="1279">
        <f t="shared" si="19"/>
        <v>1.1479999999999999</v>
      </c>
      <c r="AH12" s="1279">
        <f t="shared" si="20"/>
        <v>1.1850000000000001</v>
      </c>
      <c r="AI12" s="1279">
        <f t="shared" si="21"/>
        <v>1.333</v>
      </c>
      <c r="AJ12" s="1279">
        <f t="shared" si="22"/>
        <v>1.4810000000000001</v>
      </c>
      <c r="AK12" s="1279">
        <f t="shared" si="23"/>
        <v>1.9259999999999999</v>
      </c>
      <c r="AL12" s="1267"/>
      <c r="AM12" s="1285" t="s">
        <v>932</v>
      </c>
      <c r="AN12" s="1286">
        <f>AN10+1</f>
        <v>1</v>
      </c>
      <c r="AO12" s="1286">
        <f t="shared" ref="AO12:AU12" si="27">AO10+1</f>
        <v>1</v>
      </c>
      <c r="AP12" s="1286">
        <f t="shared" si="27"/>
        <v>1</v>
      </c>
      <c r="AQ12" s="1286">
        <f t="shared" si="27"/>
        <v>1</v>
      </c>
      <c r="AR12" s="1286">
        <f t="shared" si="27"/>
        <v>1</v>
      </c>
      <c r="AS12" s="1286">
        <f t="shared" si="27"/>
        <v>1</v>
      </c>
      <c r="AT12" s="1286">
        <f t="shared" si="27"/>
        <v>1</v>
      </c>
      <c r="AU12" s="1286">
        <f t="shared" si="27"/>
        <v>1</v>
      </c>
    </row>
    <row r="13" spans="1:47">
      <c r="A13" s="1287">
        <v>60</v>
      </c>
      <c r="B13" s="1288">
        <f t="shared" si="2"/>
        <v>0.48099999999999998</v>
      </c>
      <c r="C13" s="1289">
        <v>0.48099999999999998</v>
      </c>
      <c r="D13" s="1288">
        <f t="shared" si="3"/>
        <v>0.57400000000000007</v>
      </c>
      <c r="E13" s="1289">
        <v>0.66700000000000004</v>
      </c>
      <c r="F13" s="1288">
        <f t="shared" si="4"/>
        <v>0.79649999999999999</v>
      </c>
      <c r="G13" s="1289">
        <v>0.92600000000000005</v>
      </c>
      <c r="H13" s="1288">
        <f t="shared" si="5"/>
        <v>1.1294999999999999</v>
      </c>
      <c r="I13" s="1289">
        <v>1.333</v>
      </c>
      <c r="J13" s="1288">
        <f t="shared" si="6"/>
        <v>1.611</v>
      </c>
      <c r="K13" s="1289">
        <v>1.889</v>
      </c>
      <c r="L13" s="1288">
        <f t="shared" si="7"/>
        <v>2.2225000000000001</v>
      </c>
      <c r="M13" s="1289">
        <v>2.556</v>
      </c>
      <c r="N13" s="1288">
        <f t="shared" si="8"/>
        <v>2.8704999999999998</v>
      </c>
      <c r="O13" s="1289">
        <v>3.1850000000000001</v>
      </c>
      <c r="P13" s="1267"/>
      <c r="Q13" s="1275" t="s">
        <v>885</v>
      </c>
      <c r="R13" s="1382">
        <f>'환기량 산정'!C13</f>
        <v>0</v>
      </c>
      <c r="S13" s="1279">
        <f t="shared" si="9"/>
        <v>0.66700000000000004</v>
      </c>
      <c r="T13" s="1279">
        <f t="shared" si="0"/>
        <v>0.88900000000000001</v>
      </c>
      <c r="U13" s="1279">
        <f t="shared" si="10"/>
        <v>1</v>
      </c>
      <c r="V13" s="1279">
        <f t="shared" si="11"/>
        <v>1.1479999999999999</v>
      </c>
      <c r="W13" s="1279">
        <f t="shared" si="12"/>
        <v>1.1850000000000001</v>
      </c>
      <c r="X13" s="1279">
        <f t="shared" si="13"/>
        <v>1.333</v>
      </c>
      <c r="Y13" s="1279">
        <f t="shared" si="14"/>
        <v>1.4810000000000001</v>
      </c>
      <c r="Z13" s="1279">
        <f t="shared" si="15"/>
        <v>1.9259999999999999</v>
      </c>
      <c r="AA13" s="1267"/>
      <c r="AB13" s="1275" t="s">
        <v>885</v>
      </c>
      <c r="AC13" s="1382">
        <f>'환기량 산정'!H13</f>
        <v>0</v>
      </c>
      <c r="AD13" s="1279">
        <f t="shared" si="16"/>
        <v>0.66700000000000004</v>
      </c>
      <c r="AE13" s="1279">
        <f t="shared" si="17"/>
        <v>0.88900000000000001</v>
      </c>
      <c r="AF13" s="1279">
        <f t="shared" si="18"/>
        <v>1</v>
      </c>
      <c r="AG13" s="1279">
        <f t="shared" si="19"/>
        <v>1.1479999999999999</v>
      </c>
      <c r="AH13" s="1279">
        <f t="shared" si="20"/>
        <v>1.1850000000000001</v>
      </c>
      <c r="AI13" s="1279">
        <f t="shared" si="21"/>
        <v>1.333</v>
      </c>
      <c r="AJ13" s="1279">
        <f t="shared" si="22"/>
        <v>1.4810000000000001</v>
      </c>
      <c r="AK13" s="1279">
        <f t="shared" si="23"/>
        <v>1.9259999999999999</v>
      </c>
      <c r="AL13" s="1267"/>
      <c r="AM13" s="1285" t="s">
        <v>933</v>
      </c>
      <c r="AN13" s="1290">
        <f t="shared" ref="AN13:AU13" si="28">HLOOKUP(AN12,$B$6:$O$17,AN14)</f>
        <v>0.72250000000000003</v>
      </c>
      <c r="AO13" s="1290">
        <f t="shared" si="28"/>
        <v>0.98150000000000004</v>
      </c>
      <c r="AP13" s="1290">
        <f t="shared" si="28"/>
        <v>1.1294999999999999</v>
      </c>
      <c r="AQ13" s="1290">
        <f t="shared" si="28"/>
        <v>1.3334999999999999</v>
      </c>
      <c r="AR13" s="1290">
        <f t="shared" si="28"/>
        <v>1.389</v>
      </c>
      <c r="AS13" s="1290">
        <f t="shared" si="28"/>
        <v>1.611</v>
      </c>
      <c r="AT13" s="1290">
        <f t="shared" si="28"/>
        <v>1.8330000000000002</v>
      </c>
      <c r="AU13" s="1290">
        <f t="shared" si="28"/>
        <v>2.3334999999999999</v>
      </c>
    </row>
    <row r="14" spans="1:47">
      <c r="A14" s="1282">
        <v>70</v>
      </c>
      <c r="B14" s="1283">
        <f t="shared" si="2"/>
        <v>0.48099999999999998</v>
      </c>
      <c r="C14" s="1284">
        <v>0.48099999999999998</v>
      </c>
      <c r="D14" s="1283">
        <f t="shared" si="3"/>
        <v>0.59250000000000003</v>
      </c>
      <c r="E14" s="1284">
        <v>0.70399999999999996</v>
      </c>
      <c r="F14" s="1283">
        <f t="shared" si="4"/>
        <v>0.85199999999999998</v>
      </c>
      <c r="G14" s="1284">
        <v>1</v>
      </c>
      <c r="H14" s="1283">
        <f t="shared" si="5"/>
        <v>1.2404999999999999</v>
      </c>
      <c r="I14" s="1284">
        <v>1.4810000000000001</v>
      </c>
      <c r="J14" s="1283">
        <f t="shared" si="6"/>
        <v>1.8330000000000002</v>
      </c>
      <c r="K14" s="1284">
        <v>2.1850000000000001</v>
      </c>
      <c r="L14" s="1283">
        <f t="shared" si="7"/>
        <v>2.6295000000000002</v>
      </c>
      <c r="M14" s="1284">
        <v>3.0739999999999998</v>
      </c>
      <c r="N14" s="1283">
        <f t="shared" si="8"/>
        <v>3.4074999999999998</v>
      </c>
      <c r="O14" s="1284">
        <v>3.7410000000000001</v>
      </c>
      <c r="P14" s="1267"/>
      <c r="Q14" s="1275" t="s">
        <v>887</v>
      </c>
      <c r="R14" s="1382">
        <f>'환기량 산정'!D13</f>
        <v>0</v>
      </c>
      <c r="S14" s="1279">
        <f t="shared" si="9"/>
        <v>0.66700000000000004</v>
      </c>
      <c r="T14" s="1279">
        <f t="shared" si="0"/>
        <v>0.88900000000000001</v>
      </c>
      <c r="U14" s="1279">
        <f t="shared" si="10"/>
        <v>1</v>
      </c>
      <c r="V14" s="1279">
        <f t="shared" si="11"/>
        <v>1.1479999999999999</v>
      </c>
      <c r="W14" s="1279">
        <f t="shared" si="12"/>
        <v>1.1850000000000001</v>
      </c>
      <c r="X14" s="1279">
        <f t="shared" si="13"/>
        <v>1.333</v>
      </c>
      <c r="Y14" s="1279">
        <f t="shared" si="14"/>
        <v>1.4810000000000001</v>
      </c>
      <c r="Z14" s="1279">
        <f t="shared" si="15"/>
        <v>1.9259999999999999</v>
      </c>
      <c r="AA14" s="1267"/>
      <c r="AB14" s="1275" t="s">
        <v>887</v>
      </c>
      <c r="AC14" s="1382">
        <f>'환기량 산정'!I13</f>
        <v>0</v>
      </c>
      <c r="AD14" s="1279">
        <f t="shared" si="16"/>
        <v>0.66700000000000004</v>
      </c>
      <c r="AE14" s="1279">
        <f t="shared" si="17"/>
        <v>0.88900000000000001</v>
      </c>
      <c r="AF14" s="1279">
        <f t="shared" si="18"/>
        <v>1</v>
      </c>
      <c r="AG14" s="1279">
        <f t="shared" si="19"/>
        <v>1.1479999999999999</v>
      </c>
      <c r="AH14" s="1279">
        <f t="shared" si="20"/>
        <v>1.1850000000000001</v>
      </c>
      <c r="AI14" s="1279">
        <f t="shared" si="21"/>
        <v>1.333</v>
      </c>
      <c r="AJ14" s="1279">
        <f t="shared" si="22"/>
        <v>1.4810000000000001</v>
      </c>
      <c r="AK14" s="1279">
        <f t="shared" si="23"/>
        <v>1.9259999999999999</v>
      </c>
      <c r="AL14" s="1267"/>
      <c r="AM14" s="1267"/>
      <c r="AN14" s="1275">
        <v>3</v>
      </c>
      <c r="AO14" s="1275">
        <v>4</v>
      </c>
      <c r="AP14" s="1275">
        <v>5</v>
      </c>
      <c r="AQ14" s="1275">
        <v>6</v>
      </c>
      <c r="AR14" s="1275">
        <v>7</v>
      </c>
      <c r="AS14" s="1275">
        <v>8</v>
      </c>
      <c r="AT14" s="1275">
        <v>9</v>
      </c>
      <c r="AU14" s="1275">
        <v>10</v>
      </c>
    </row>
    <row r="15" spans="1:47">
      <c r="A15" s="1282">
        <v>80</v>
      </c>
      <c r="B15" s="1283">
        <f t="shared" si="2"/>
        <v>0.51900000000000002</v>
      </c>
      <c r="C15" s="1284">
        <v>0.51900000000000002</v>
      </c>
      <c r="D15" s="1283">
        <f t="shared" si="3"/>
        <v>0.64850000000000008</v>
      </c>
      <c r="E15" s="1284">
        <v>0.77800000000000002</v>
      </c>
      <c r="F15" s="1283">
        <f t="shared" si="4"/>
        <v>0.98150000000000004</v>
      </c>
      <c r="G15" s="1284">
        <v>1.1850000000000001</v>
      </c>
      <c r="H15" s="1283">
        <f t="shared" si="5"/>
        <v>1.5554999999999999</v>
      </c>
      <c r="I15" s="1284">
        <v>1.9259999999999999</v>
      </c>
      <c r="J15" s="1283">
        <f t="shared" si="6"/>
        <v>2.3334999999999999</v>
      </c>
      <c r="K15" s="1284">
        <v>2.7410000000000001</v>
      </c>
      <c r="L15" s="1283">
        <f t="shared" si="7"/>
        <v>3.1855000000000002</v>
      </c>
      <c r="M15" s="1284">
        <v>3.63</v>
      </c>
      <c r="N15" s="1283">
        <f t="shared" si="8"/>
        <v>4.093</v>
      </c>
      <c r="O15" s="1284">
        <v>4.556</v>
      </c>
      <c r="P15" s="1267"/>
      <c r="Q15" s="1275" t="s">
        <v>888</v>
      </c>
      <c r="R15" s="1382">
        <f>'환기량 산정'!E13</f>
        <v>0</v>
      </c>
      <c r="S15" s="1279">
        <f t="shared" si="9"/>
        <v>0.66700000000000004</v>
      </c>
      <c r="T15" s="1279">
        <f t="shared" si="0"/>
        <v>0.88900000000000001</v>
      </c>
      <c r="U15" s="1279">
        <f t="shared" si="10"/>
        <v>1</v>
      </c>
      <c r="V15" s="1279">
        <f t="shared" si="11"/>
        <v>1.1479999999999999</v>
      </c>
      <c r="W15" s="1279">
        <f t="shared" si="12"/>
        <v>1.1850000000000001</v>
      </c>
      <c r="X15" s="1279">
        <f t="shared" si="13"/>
        <v>1.333</v>
      </c>
      <c r="Y15" s="1279">
        <f t="shared" si="14"/>
        <v>1.4810000000000001</v>
      </c>
      <c r="Z15" s="1279">
        <f t="shared" si="15"/>
        <v>1.9259999999999999</v>
      </c>
      <c r="AA15" s="1267"/>
      <c r="AB15" s="1275" t="s">
        <v>888</v>
      </c>
      <c r="AC15" s="1382">
        <f>'환기량 산정'!J13</f>
        <v>0</v>
      </c>
      <c r="AD15" s="1279">
        <f t="shared" si="16"/>
        <v>0.66700000000000004</v>
      </c>
      <c r="AE15" s="1279">
        <f t="shared" si="17"/>
        <v>0.88900000000000001</v>
      </c>
      <c r="AF15" s="1279">
        <f t="shared" si="18"/>
        <v>1</v>
      </c>
      <c r="AG15" s="1279">
        <f t="shared" si="19"/>
        <v>1.1479999999999999</v>
      </c>
      <c r="AH15" s="1279">
        <f t="shared" si="20"/>
        <v>1.1850000000000001</v>
      </c>
      <c r="AI15" s="1279">
        <f t="shared" si="21"/>
        <v>1.333</v>
      </c>
      <c r="AJ15" s="1279">
        <f t="shared" si="22"/>
        <v>1.4810000000000001</v>
      </c>
      <c r="AK15" s="1279">
        <f t="shared" si="23"/>
        <v>1.9259999999999999</v>
      </c>
      <c r="AL15" s="1267"/>
      <c r="AM15" s="1267"/>
      <c r="AN15" s="1267"/>
      <c r="AO15" s="1267"/>
      <c r="AP15" s="1267"/>
      <c r="AQ15" s="1267"/>
      <c r="AR15" s="1267"/>
      <c r="AS15" s="1267"/>
      <c r="AT15" s="1267"/>
      <c r="AU15" s="1267"/>
    </row>
    <row r="16" spans="1:47">
      <c r="A16" s="1275">
        <v>90</v>
      </c>
      <c r="B16" s="1276">
        <f t="shared" si="2"/>
        <v>0.59299999999999997</v>
      </c>
      <c r="C16" s="1277">
        <v>0.59299999999999997</v>
      </c>
      <c r="D16" s="1276">
        <f t="shared" si="3"/>
        <v>0.74099999999999999</v>
      </c>
      <c r="E16" s="1277">
        <v>0.88900000000000001</v>
      </c>
      <c r="F16" s="1276">
        <f t="shared" si="4"/>
        <v>1.1295000000000002</v>
      </c>
      <c r="G16" s="1277">
        <v>1.37</v>
      </c>
      <c r="H16" s="1276">
        <f t="shared" si="5"/>
        <v>1.87</v>
      </c>
      <c r="I16" s="1277">
        <v>2.37</v>
      </c>
      <c r="J16" s="1276">
        <f t="shared" si="6"/>
        <v>3.0185</v>
      </c>
      <c r="K16" s="1277">
        <v>3.6669999999999998</v>
      </c>
      <c r="L16" s="1276">
        <f t="shared" si="7"/>
        <v>4.0184999999999995</v>
      </c>
      <c r="M16" s="1277">
        <v>4.37</v>
      </c>
      <c r="N16" s="1276">
        <f t="shared" si="8"/>
        <v>4.8885000000000005</v>
      </c>
      <c r="O16" s="1277">
        <v>5.407</v>
      </c>
      <c r="P16" s="1267"/>
      <c r="Q16" s="1275" t="s">
        <v>889</v>
      </c>
      <c r="R16" s="1382">
        <f>'환기량 산정'!F13</f>
        <v>0</v>
      </c>
      <c r="S16" s="1279">
        <f t="shared" si="9"/>
        <v>0.66700000000000004</v>
      </c>
      <c r="T16" s="1279">
        <f t="shared" si="0"/>
        <v>0.88900000000000001</v>
      </c>
      <c r="U16" s="1279">
        <f t="shared" si="10"/>
        <v>1</v>
      </c>
      <c r="V16" s="1279">
        <f t="shared" si="11"/>
        <v>1.1479999999999999</v>
      </c>
      <c r="W16" s="1279">
        <f t="shared" si="12"/>
        <v>1.1850000000000001</v>
      </c>
      <c r="X16" s="1279">
        <f t="shared" si="13"/>
        <v>1.333</v>
      </c>
      <c r="Y16" s="1279">
        <f t="shared" si="14"/>
        <v>1.4810000000000001</v>
      </c>
      <c r="Z16" s="1279">
        <f t="shared" si="15"/>
        <v>1.9259999999999999</v>
      </c>
      <c r="AA16" s="1267"/>
      <c r="AB16" s="1275" t="s">
        <v>889</v>
      </c>
      <c r="AC16" s="1382">
        <f>'환기량 산정'!K13</f>
        <v>0</v>
      </c>
      <c r="AD16" s="1279">
        <f t="shared" si="16"/>
        <v>0.66700000000000004</v>
      </c>
      <c r="AE16" s="1279">
        <f t="shared" si="17"/>
        <v>0.88900000000000001</v>
      </c>
      <c r="AF16" s="1279">
        <f t="shared" si="18"/>
        <v>1</v>
      </c>
      <c r="AG16" s="1279">
        <f t="shared" si="19"/>
        <v>1.1479999999999999</v>
      </c>
      <c r="AH16" s="1279">
        <f t="shared" si="20"/>
        <v>1.1850000000000001</v>
      </c>
      <c r="AI16" s="1279">
        <f t="shared" si="21"/>
        <v>1.333</v>
      </c>
      <c r="AJ16" s="1279">
        <f t="shared" si="22"/>
        <v>1.4810000000000001</v>
      </c>
      <c r="AK16" s="1279">
        <f t="shared" si="23"/>
        <v>1.9259999999999999</v>
      </c>
      <c r="AL16" s="1267"/>
      <c r="AM16" s="1267"/>
      <c r="AN16" s="1267"/>
      <c r="AO16" s="1267"/>
      <c r="AP16" s="1267"/>
      <c r="AQ16" s="1267"/>
      <c r="AR16" s="1267"/>
      <c r="AS16" s="1267"/>
      <c r="AT16" s="1267"/>
      <c r="AU16" s="1267"/>
    </row>
    <row r="17" spans="1:47">
      <c r="A17" s="1275">
        <v>100</v>
      </c>
      <c r="B17" s="1276">
        <f t="shared" si="2"/>
        <v>0.70399999999999996</v>
      </c>
      <c r="C17" s="1277">
        <v>0.70399999999999996</v>
      </c>
      <c r="D17" s="1276">
        <f t="shared" si="3"/>
        <v>0.90749999999999997</v>
      </c>
      <c r="E17" s="1277">
        <v>1.111</v>
      </c>
      <c r="F17" s="1276">
        <f t="shared" si="4"/>
        <v>1.3704999999999998</v>
      </c>
      <c r="G17" s="1277">
        <v>1.63</v>
      </c>
      <c r="H17" s="1276">
        <f t="shared" si="5"/>
        <v>2.2409999999999997</v>
      </c>
      <c r="I17" s="1277">
        <v>2.8519999999999999</v>
      </c>
      <c r="J17" s="1276">
        <f t="shared" si="6"/>
        <v>3.6665000000000001</v>
      </c>
      <c r="K17" s="1277">
        <v>4.4809999999999999</v>
      </c>
      <c r="L17" s="1276">
        <f t="shared" si="7"/>
        <v>5.0739999999999998</v>
      </c>
      <c r="M17" s="1277">
        <v>5.6669999999999998</v>
      </c>
      <c r="N17" s="1276">
        <f t="shared" si="8"/>
        <v>6.13</v>
      </c>
      <c r="O17" s="1277">
        <v>6.593</v>
      </c>
      <c r="P17" s="1267"/>
      <c r="Q17" s="1267"/>
      <c r="R17" s="1267"/>
      <c r="S17" s="1267"/>
      <c r="T17" s="1267"/>
      <c r="U17" s="1267"/>
      <c r="V17" s="1267"/>
      <c r="W17" s="1267"/>
      <c r="X17" s="1267"/>
      <c r="Y17" s="1267"/>
      <c r="Z17" s="1267"/>
      <c r="AA17" s="1267"/>
      <c r="AB17" s="1267"/>
      <c r="AC17" s="1267"/>
      <c r="AD17" s="1267"/>
      <c r="AE17" s="1267"/>
      <c r="AF17" s="1267"/>
      <c r="AG17" s="1267"/>
      <c r="AH17" s="1267"/>
      <c r="AI17" s="1267"/>
      <c r="AJ17" s="1267"/>
      <c r="AK17" s="1267"/>
      <c r="AL17" s="1267"/>
      <c r="AM17" s="1267"/>
      <c r="AN17" s="1267"/>
      <c r="AO17" s="1267"/>
      <c r="AP17" s="1267"/>
      <c r="AQ17" s="1267"/>
      <c r="AR17" s="1267"/>
      <c r="AS17" s="1267"/>
      <c r="AT17" s="1267"/>
      <c r="AU17" s="1267"/>
    </row>
    <row r="18" spans="1:47">
      <c r="A18" s="1270" t="s">
        <v>934</v>
      </c>
      <c r="B18" s="1267"/>
      <c r="C18" s="1267"/>
      <c r="D18" s="1267"/>
      <c r="E18" s="1267"/>
      <c r="F18" s="1267"/>
      <c r="G18" s="1267"/>
      <c r="H18" s="1267"/>
      <c r="I18" s="1267"/>
      <c r="J18" s="1267"/>
      <c r="K18" s="1267"/>
      <c r="L18" s="1267"/>
      <c r="M18" s="1267"/>
      <c r="N18" s="1267"/>
      <c r="O18" s="1267"/>
      <c r="P18" s="1267"/>
      <c r="Q18" s="1267"/>
      <c r="R18" s="1267"/>
      <c r="S18" s="1267"/>
      <c r="T18" s="1267"/>
      <c r="U18" s="1267"/>
      <c r="V18" s="1267"/>
      <c r="W18" s="1267"/>
      <c r="X18" s="1267"/>
      <c r="Y18" s="1267"/>
      <c r="Z18" s="1267"/>
      <c r="AA18" s="1267"/>
      <c r="AB18" s="1267"/>
      <c r="AC18" s="1267"/>
      <c r="AD18" s="1267"/>
      <c r="AE18" s="1267"/>
      <c r="AF18" s="1267"/>
      <c r="AG18" s="1267"/>
      <c r="AH18" s="1267"/>
      <c r="AI18" s="1267"/>
      <c r="AJ18" s="1267"/>
      <c r="AK18" s="1267"/>
      <c r="AL18" s="1267"/>
      <c r="AM18" s="1267"/>
      <c r="AN18" s="1267"/>
      <c r="AO18" s="1267"/>
      <c r="AP18" s="1267"/>
      <c r="AQ18" s="1267"/>
      <c r="AR18" s="1267"/>
      <c r="AS18" s="1267"/>
      <c r="AT18" s="1267"/>
      <c r="AU18" s="1267"/>
    </row>
    <row r="19" spans="1:47">
      <c r="A19" s="1271"/>
      <c r="B19" s="1271"/>
      <c r="C19" s="1522" t="s">
        <v>935</v>
      </c>
      <c r="D19" s="1522"/>
      <c r="E19" s="1522"/>
      <c r="F19" s="1522"/>
      <c r="G19" s="1522"/>
      <c r="H19" s="1522"/>
      <c r="I19" s="1522"/>
      <c r="J19" s="1522"/>
      <c r="K19" s="1522"/>
      <c r="L19" s="1522"/>
      <c r="M19" s="1522"/>
      <c r="N19" s="1522"/>
      <c r="O19" s="1522"/>
      <c r="P19" s="1267"/>
      <c r="Q19" s="1270" t="s">
        <v>936</v>
      </c>
      <c r="R19" s="1267"/>
      <c r="S19" s="1267"/>
      <c r="T19" s="1267"/>
      <c r="U19" s="1267"/>
      <c r="V19" s="1267"/>
      <c r="W19" s="1267"/>
      <c r="X19" s="1267"/>
      <c r="Y19" s="1267"/>
      <c r="Z19" s="1267"/>
      <c r="AA19" s="1267"/>
      <c r="AB19" s="1270" t="s">
        <v>937</v>
      </c>
      <c r="AC19" s="1267"/>
      <c r="AD19" s="1267"/>
      <c r="AE19" s="1267"/>
      <c r="AF19" s="1267"/>
      <c r="AG19" s="1267"/>
      <c r="AH19" s="1267"/>
      <c r="AI19" s="1267"/>
      <c r="AJ19" s="1267"/>
      <c r="AK19" s="1267"/>
      <c r="AL19" s="1267"/>
      <c r="AM19" s="1272" t="s">
        <v>938</v>
      </c>
      <c r="AN19" s="1267"/>
      <c r="AO19" s="1267"/>
      <c r="AP19" s="1267"/>
      <c r="AQ19" s="1267"/>
      <c r="AR19" s="1267"/>
      <c r="AS19" s="1267"/>
      <c r="AT19" s="1267"/>
      <c r="AU19" s="1267"/>
    </row>
    <row r="20" spans="1:47">
      <c r="A20" s="1273" t="s">
        <v>939</v>
      </c>
      <c r="B20" s="1274">
        <v>-100</v>
      </c>
      <c r="C20" s="1273">
        <v>-6</v>
      </c>
      <c r="D20" s="1274">
        <f>(C20+E20)/2</f>
        <v>-5</v>
      </c>
      <c r="E20" s="1273">
        <v>-4</v>
      </c>
      <c r="F20" s="1274">
        <f>(E20+G20)/2</f>
        <v>-3</v>
      </c>
      <c r="G20" s="1273">
        <v>-2</v>
      </c>
      <c r="H20" s="1274">
        <f>(G20+I20)/2</f>
        <v>-1</v>
      </c>
      <c r="I20" s="1273">
        <v>0</v>
      </c>
      <c r="J20" s="1274">
        <f>(I20+K20)/2</f>
        <v>1</v>
      </c>
      <c r="K20" s="1273">
        <v>2</v>
      </c>
      <c r="L20" s="1274">
        <f>(K20+M20)/2</f>
        <v>3</v>
      </c>
      <c r="M20" s="1273">
        <v>4</v>
      </c>
      <c r="N20" s="1274">
        <f>(M20+O20)/2</f>
        <v>5</v>
      </c>
      <c r="O20" s="1273">
        <v>6</v>
      </c>
      <c r="P20" s="1267"/>
      <c r="Q20" s="1273" t="s">
        <v>940</v>
      </c>
      <c r="R20" s="1273" t="s">
        <v>935</v>
      </c>
      <c r="S20" s="1273">
        <v>10</v>
      </c>
      <c r="T20" s="1273">
        <v>20</v>
      </c>
      <c r="U20" s="1273">
        <v>30</v>
      </c>
      <c r="V20" s="1273">
        <v>40</v>
      </c>
      <c r="W20" s="1273">
        <v>50</v>
      </c>
      <c r="X20" s="1273">
        <v>60</v>
      </c>
      <c r="Y20" s="1273">
        <v>70</v>
      </c>
      <c r="Z20" s="1273">
        <v>80</v>
      </c>
      <c r="AA20" s="1267"/>
      <c r="AB20" s="1273" t="s">
        <v>940</v>
      </c>
      <c r="AC20" s="1273" t="s">
        <v>935</v>
      </c>
      <c r="AD20" s="1273">
        <v>10</v>
      </c>
      <c r="AE20" s="1273">
        <v>20</v>
      </c>
      <c r="AF20" s="1273">
        <v>30</v>
      </c>
      <c r="AG20" s="1273">
        <v>40</v>
      </c>
      <c r="AH20" s="1273">
        <v>50</v>
      </c>
      <c r="AI20" s="1273">
        <v>60</v>
      </c>
      <c r="AJ20" s="1273">
        <v>70</v>
      </c>
      <c r="AK20" s="1273">
        <v>80</v>
      </c>
      <c r="AL20" s="1267"/>
      <c r="AM20" s="1273" t="s">
        <v>941</v>
      </c>
      <c r="AN20" s="1273">
        <v>10</v>
      </c>
      <c r="AO20" s="1273">
        <v>20</v>
      </c>
      <c r="AP20" s="1273">
        <v>30</v>
      </c>
      <c r="AQ20" s="1273">
        <v>40</v>
      </c>
      <c r="AR20" s="1273">
        <v>50</v>
      </c>
      <c r="AS20" s="1273">
        <v>60</v>
      </c>
      <c r="AT20" s="1273">
        <v>70</v>
      </c>
      <c r="AU20" s="1273">
        <v>80</v>
      </c>
    </row>
    <row r="21" spans="1:47">
      <c r="A21" s="1275">
        <v>0</v>
      </c>
      <c r="B21" s="1276">
        <f>C21</f>
        <v>0.23699999999999999</v>
      </c>
      <c r="C21" s="1277">
        <v>0.23699999999999999</v>
      </c>
      <c r="D21" s="1276">
        <f>(C21+E21)/2</f>
        <v>0.23699999999999999</v>
      </c>
      <c r="E21" s="1277">
        <v>0.23699999999999999</v>
      </c>
      <c r="F21" s="1276">
        <f>(E21+G21)/2</f>
        <v>0.23699999999999999</v>
      </c>
      <c r="G21" s="1277">
        <v>0.23699999999999999</v>
      </c>
      <c r="H21" s="1276">
        <f>(G21+I21)/2</f>
        <v>0.23699999999999999</v>
      </c>
      <c r="I21" s="1277">
        <v>0.23699999999999999</v>
      </c>
      <c r="J21" s="1276">
        <f>(I21+K21)/2</f>
        <v>0.23699999999999999</v>
      </c>
      <c r="K21" s="1277">
        <v>0.23699999999999999</v>
      </c>
      <c r="L21" s="1276">
        <f>(K21+M21)/2</f>
        <v>0.23699999999999999</v>
      </c>
      <c r="M21" s="1277">
        <v>0.23699999999999999</v>
      </c>
      <c r="N21" s="1276">
        <f>(M21+O21)/2</f>
        <v>0.23699999999999999</v>
      </c>
      <c r="O21" s="1277">
        <v>0.23699999999999999</v>
      </c>
      <c r="P21" s="1267"/>
      <c r="Q21" s="1275" t="s">
        <v>928</v>
      </c>
      <c r="R21" s="1286">
        <f t="shared" ref="R21:R30" si="29">R7</f>
        <v>0</v>
      </c>
      <c r="S21" s="1279">
        <f>HLOOKUP(INT($R21),$B$20:$O$31,3)+(HLOOKUP(INT($R21)+1,$B$20:$O$31,3)-HLOOKUP(INT($R21),$B$20:$O$31,3))*($R21-INT($R21))</f>
        <v>0.64200000000000002</v>
      </c>
      <c r="T21" s="1279">
        <f>HLOOKUP(INT($R21),$B$20:$O$31,4)+(HLOOKUP(INT($R21)+1,$B$20:$O$31,4)-HLOOKUP(INT($R21),$B$20:$O$31,4))*($R21-INT($R21))</f>
        <v>0.77400000000000002</v>
      </c>
      <c r="U21" s="1279">
        <f>HLOOKUP(INT($R21),$B$20:$O$31,5)+(HLOOKUP(INT($R21)+1,$B$20:$O$31,5)-HLOOKUP(INT($R21),$B$20:$O$31,5))*($R21-INT($R21))</f>
        <v>0.91100000000000003</v>
      </c>
      <c r="V21" s="1279">
        <f>HLOOKUP(INT($R21),$B$20:$O$31,6)+(HLOOKUP(INT($R21)+1,$B$20:$O$31,6)-HLOOKUP(INT($R21),$B$20:$O$31,6))*($R21-INT($R21))</f>
        <v>1</v>
      </c>
      <c r="W21" s="1279">
        <f>HLOOKUP(INT($R21),$B$20:$O$31,7)+(HLOOKUP(INT($R21)+1,$B$20:$O$31,7)-HLOOKUP(INT($R21),$B$20:$O$31,7))*($R21-INT($R21))</f>
        <v>1.0840000000000001</v>
      </c>
      <c r="X21" s="1279">
        <f>HLOOKUP(INT($R21),$B$20:$O$31,8)+(HLOOKUP(INT($R21)+1,$B$20:$O$31,8)-HLOOKUP(INT($R21),$B$20:$O$31,8))*($R21-INT($R21))</f>
        <v>1.258</v>
      </c>
      <c r="Y21" s="1279">
        <f>HLOOKUP(INT($R21),$B$20:$O$31,9)+(HLOOKUP(INT($R21)+1,$B$20:$O$31,9)-HLOOKUP(INT($R21),$B$20:$O$31,9))*($R21-INT($R21))</f>
        <v>1.5209999999999999</v>
      </c>
      <c r="Z21" s="1279">
        <f>HLOOKUP(INT($R21),$B$20:$O$31,10)+(HLOOKUP(INT($R21)+1,$B$20:$O$31,10)-HLOOKUP(INT($R21),$B$20:$O$31,10))*($R21-INT($R21))</f>
        <v>1.7889999999999999</v>
      </c>
      <c r="AA21" s="1267"/>
      <c r="AB21" s="1275" t="s">
        <v>928</v>
      </c>
      <c r="AC21" s="1286">
        <f t="shared" ref="AC21:AC30" si="30">AC7</f>
        <v>1.784</v>
      </c>
      <c r="AD21" s="1279">
        <f>HLOOKUP(INT($AC21),$B$20:$O$31,3)+(HLOOKUP(INT($AC21)+1,$B$20:$O$31,3)-HLOOKUP(INT($AC21),$B$20:$O$31,3))*($AC21-INT($AC21))</f>
        <v>0.74993200000000004</v>
      </c>
      <c r="AE21" s="1279">
        <f>HLOOKUP(INT($AC21),$B$20:$O$31,4)+(HLOOKUP(INT($AC21)+1,$B$20:$O$31,4)-HLOOKUP(INT($AC21),$B$20:$O$31,4))*($AC21-INT($AC21))</f>
        <v>0.947048</v>
      </c>
      <c r="AF21" s="1279">
        <f>HLOOKUP(INT($AC21),$B$20:$O$31,5)+(HLOOKUP(INT($AC21)+1,$B$20:$O$31,5)-HLOOKUP(INT($AC21),$B$20:$O$31,5))*($AC21-INT($AC21))</f>
        <v>1.150056</v>
      </c>
      <c r="AG21" s="1279">
        <f>HLOOKUP(INT($AC21),$B$20:$O$31,6)+(HLOOKUP(INT($AC21)+1,$B$20:$O$31,6)-HLOOKUP(INT($AC21),$B$20:$O$31,6))*($AC21-INT($AC21))</f>
        <v>1.3193360000000001</v>
      </c>
      <c r="AH21" s="1279">
        <f>HLOOKUP(INT($AC21),$B$20:$O$31,7)+(HLOOKUP(INT($AC21)+1,$B$20:$O$31,7)-HLOOKUP(INT($AC21),$B$20:$O$31,7))*($AC21-INT($AC21))</f>
        <v>1.488076</v>
      </c>
      <c r="AI21" s="1279">
        <f>HLOOKUP(INT($AC21),$B$20:$O$31,8)+(HLOOKUP(INT($AC21)+1,$B$20:$O$31,8)-HLOOKUP(INT($AC21),$B$20:$O$31,8))*($AC21-INT($AC21))</f>
        <v>1.78874</v>
      </c>
      <c r="AJ21" s="1279">
        <f>HLOOKUP(INT($AC21),$B$20:$O$31,9)+(HLOOKUP(INT($AC21)+1,$B$20:$O$31,9)-HLOOKUP(INT($AC21),$B$20:$O$31,9))*($AC21-INT($AC21))</f>
        <v>2.211408</v>
      </c>
      <c r="AK21" s="1279">
        <f>HLOOKUP(INT($AC21),$B$20:$O$31,10)+(HLOOKUP(INT($AC21)+1,$B$20:$O$31,10)-HLOOKUP(INT($AC21),$B$20:$O$31,10))*($AC21-INT($AC21))</f>
        <v>2.85494</v>
      </c>
      <c r="AL21" s="1267"/>
      <c r="AM21" s="1280" t="s">
        <v>942</v>
      </c>
      <c r="AN21" s="1278">
        <f>R30</f>
        <v>0</v>
      </c>
      <c r="AO21" s="1281">
        <f>AN21</f>
        <v>0</v>
      </c>
      <c r="AP21" s="1281">
        <f t="shared" ref="AP21:AU21" si="31">AO21</f>
        <v>0</v>
      </c>
      <c r="AQ21" s="1281">
        <f t="shared" si="31"/>
        <v>0</v>
      </c>
      <c r="AR21" s="1281">
        <f t="shared" si="31"/>
        <v>0</v>
      </c>
      <c r="AS21" s="1281">
        <f t="shared" si="31"/>
        <v>0</v>
      </c>
      <c r="AT21" s="1281">
        <f t="shared" si="31"/>
        <v>0</v>
      </c>
      <c r="AU21" s="1281">
        <f t="shared" si="31"/>
        <v>0</v>
      </c>
    </row>
    <row r="22" spans="1:47">
      <c r="A22" s="1282">
        <v>10</v>
      </c>
      <c r="B22" s="1283">
        <f t="shared" ref="B22:B31" si="32">C22</f>
        <v>0.40500000000000003</v>
      </c>
      <c r="C22" s="1284">
        <v>0.40500000000000003</v>
      </c>
      <c r="D22" s="1283">
        <f t="shared" ref="D22:D31" si="33">(C22+E22)/2</f>
        <v>0.4395</v>
      </c>
      <c r="E22" s="1284">
        <v>0.47399999999999998</v>
      </c>
      <c r="F22" s="1283">
        <f t="shared" ref="F22:F31" si="34">(E22+G22)/2</f>
        <v>0.50800000000000001</v>
      </c>
      <c r="G22" s="1284">
        <v>0.54200000000000004</v>
      </c>
      <c r="H22" s="1283">
        <f t="shared" ref="H22:H31" si="35">(G22+I22)/2</f>
        <v>0.59200000000000008</v>
      </c>
      <c r="I22" s="1284">
        <v>0.64200000000000002</v>
      </c>
      <c r="J22" s="1283">
        <f t="shared" ref="J22:J31" si="36">(I22+K22)/2</f>
        <v>0.70250000000000001</v>
      </c>
      <c r="K22" s="1284">
        <v>0.76300000000000001</v>
      </c>
      <c r="L22" s="1283">
        <f t="shared" ref="L22:L31" si="37">(K22+M22)/2</f>
        <v>0.82600000000000007</v>
      </c>
      <c r="M22" s="1284">
        <v>0.88900000000000001</v>
      </c>
      <c r="N22" s="1283">
        <f t="shared" ref="N22:N31" si="38">(M22+O22)/2</f>
        <v>0.96799999999999997</v>
      </c>
      <c r="O22" s="1284">
        <v>1.0469999999999999</v>
      </c>
      <c r="P22" s="1267"/>
      <c r="Q22" s="1275" t="s">
        <v>3</v>
      </c>
      <c r="R22" s="1286">
        <f t="shared" si="29"/>
        <v>0</v>
      </c>
      <c r="S22" s="1279">
        <f t="shared" ref="S22:S30" si="39">HLOOKUP(INT($R22),$B$20:$O$31,3)+(HLOOKUP(INT($R22)+1,$B$20:$O$31,3)-HLOOKUP(INT($R22),$B$20:$O$31,3))*($R22-INT($R22))</f>
        <v>0.64200000000000002</v>
      </c>
      <c r="T22" s="1279">
        <f t="shared" ref="T22:T30" si="40">HLOOKUP(INT($R22),$B$20:$O$31,4)+(HLOOKUP(INT($R22)+1,$B$20:$O$31,4)-HLOOKUP(INT($R22),$B$20:$O$31,4))*($R22-INT($R22))</f>
        <v>0.77400000000000002</v>
      </c>
      <c r="U22" s="1279">
        <f t="shared" ref="U22:U30" si="41">HLOOKUP(INT($R22),$B$20:$O$31,5)+(HLOOKUP(INT($R22)+1,$B$20:$O$31,5)-HLOOKUP(INT($R22),$B$20:$O$31,5))*($R22-INT($R22))</f>
        <v>0.91100000000000003</v>
      </c>
      <c r="V22" s="1279">
        <f t="shared" ref="V22:V30" si="42">HLOOKUP(INT($R22),$B$20:$O$31,6)+(HLOOKUP(INT($R22)+1,$B$20:$O$31,6)-HLOOKUP(INT($R22),$B$20:$O$31,6))*($R22-INT($R22))</f>
        <v>1</v>
      </c>
      <c r="W22" s="1279">
        <f t="shared" ref="W22:W30" si="43">HLOOKUP(INT($R22),$B$20:$O$31,7)+(HLOOKUP(INT($R22)+1,$B$20:$O$31,7)-HLOOKUP(INT($R22),$B$20:$O$31,7))*($R22-INT($R22))</f>
        <v>1.0840000000000001</v>
      </c>
      <c r="X22" s="1279">
        <f t="shared" ref="X22:X30" si="44">HLOOKUP(INT($R22),$B$20:$O$31,8)+(HLOOKUP(INT($R22)+1,$B$20:$O$31,8)-HLOOKUP(INT($R22),$B$20:$O$31,8))*($R22-INT($R22))</f>
        <v>1.258</v>
      </c>
      <c r="Y22" s="1279">
        <f t="shared" ref="Y22:Y30" si="45">HLOOKUP(INT($R22),$B$20:$O$31,9)+(HLOOKUP(INT($R22)+1,$B$20:$O$31,9)-HLOOKUP(INT($R22),$B$20:$O$31,9))*($R22-INT($R22))</f>
        <v>1.5209999999999999</v>
      </c>
      <c r="Z22" s="1279">
        <f t="shared" ref="Z22:Z30" si="46">HLOOKUP(INT($R22),$B$20:$O$31,10)+(HLOOKUP(INT($R22)+1,$B$20:$O$31,10)-HLOOKUP(INT($R22),$B$20:$O$31,10))*($R22-INT($R22))</f>
        <v>1.7889999999999999</v>
      </c>
      <c r="AA22" s="1267"/>
      <c r="AB22" s="1275" t="s">
        <v>3</v>
      </c>
      <c r="AC22" s="1286">
        <f t="shared" si="30"/>
        <v>0</v>
      </c>
      <c r="AD22" s="1279">
        <f t="shared" ref="AD22:AD30" si="47">HLOOKUP(INT($AC22),$B$20:$O$31,3)+(HLOOKUP(INT($AC22)+1,$B$20:$O$31,3)-HLOOKUP(INT($AC22),$B$20:$O$31,3))*($AC22-INT($AC22))</f>
        <v>0.64200000000000002</v>
      </c>
      <c r="AE22" s="1279">
        <f t="shared" ref="AE22:AE30" si="48">HLOOKUP(INT($AC22),$B$20:$O$31,4)+(HLOOKUP(INT($AC22)+1,$B$20:$O$31,4)-HLOOKUP(INT($AC22),$B$20:$O$31,4))*($AC22-INT($AC22))</f>
        <v>0.77400000000000002</v>
      </c>
      <c r="AF22" s="1279">
        <f t="shared" ref="AF22:AF30" si="49">HLOOKUP(INT($AC22),$B$20:$O$31,5)+(HLOOKUP(INT($AC22)+1,$B$20:$O$31,5)-HLOOKUP(INT($AC22),$B$20:$O$31,5))*($AC22-INT($AC22))</f>
        <v>0.91100000000000003</v>
      </c>
      <c r="AG22" s="1279">
        <f t="shared" ref="AG22:AG30" si="50">HLOOKUP(INT($AC22),$B$20:$O$31,6)+(HLOOKUP(INT($AC22)+1,$B$20:$O$31,6)-HLOOKUP(INT($AC22),$B$20:$O$31,6))*($AC22-INT($AC22))</f>
        <v>1</v>
      </c>
      <c r="AH22" s="1279">
        <f t="shared" ref="AH22:AH30" si="51">HLOOKUP(INT($AC22),$B$20:$O$31,7)+(HLOOKUP(INT($AC22)+1,$B$20:$O$31,7)-HLOOKUP(INT($AC22),$B$20:$O$31,7))*($AC22-INT($AC22))</f>
        <v>1.0840000000000001</v>
      </c>
      <c r="AI22" s="1279">
        <f t="shared" ref="AI22:AI30" si="52">HLOOKUP(INT($AC22),$B$20:$O$31,8)+(HLOOKUP(INT($AC22)+1,$B$20:$O$31,8)-HLOOKUP(INT($AC22),$B$20:$O$31,8))*($AC22-INT($AC22))</f>
        <v>1.258</v>
      </c>
      <c r="AJ22" s="1279">
        <f t="shared" ref="AJ22:AJ30" si="53">HLOOKUP(INT($AC22),$B$20:$O$31,9)+(HLOOKUP(INT($AC22)+1,$B$20:$O$31,9)-HLOOKUP(INT($AC22),$B$20:$O$31,9))*($AC22-INT($AC22))</f>
        <v>1.5209999999999999</v>
      </c>
      <c r="AK22" s="1279">
        <f t="shared" ref="AK22:AK30" si="54">HLOOKUP(INT($AC22),$B$20:$O$31,10)+(HLOOKUP(INT($AC22)+1,$B$20:$O$31,10)-HLOOKUP(INT($AC22),$B$20:$O$31,10))*($AC22-INT($AC22))</f>
        <v>1.7889999999999999</v>
      </c>
      <c r="AL22" s="1267"/>
      <c r="AM22" s="1267" t="s">
        <v>929</v>
      </c>
      <c r="AN22" s="1279">
        <f t="shared" ref="AN22:AU22" si="55">AN25+(AN27-AN25)*(AN21-AN24)</f>
        <v>0.64200000000000002</v>
      </c>
      <c r="AO22" s="1279">
        <f t="shared" si="55"/>
        <v>0.77400000000000002</v>
      </c>
      <c r="AP22" s="1279">
        <f t="shared" si="55"/>
        <v>0.91100000000000003</v>
      </c>
      <c r="AQ22" s="1279">
        <f t="shared" si="55"/>
        <v>1</v>
      </c>
      <c r="AR22" s="1279">
        <f t="shared" si="55"/>
        <v>1.0840000000000001</v>
      </c>
      <c r="AS22" s="1279">
        <f t="shared" si="55"/>
        <v>1.258</v>
      </c>
      <c r="AT22" s="1279">
        <f t="shared" si="55"/>
        <v>1.5209999999999999</v>
      </c>
      <c r="AU22" s="1279">
        <f t="shared" si="55"/>
        <v>1.7889999999999999</v>
      </c>
    </row>
    <row r="23" spans="1:47">
      <c r="A23" s="1282">
        <v>20</v>
      </c>
      <c r="B23" s="1283">
        <f t="shared" si="32"/>
        <v>0.41599999999999998</v>
      </c>
      <c r="C23" s="1284">
        <v>0.41599999999999998</v>
      </c>
      <c r="D23" s="1283">
        <f t="shared" si="33"/>
        <v>0.45799999999999996</v>
      </c>
      <c r="E23" s="1284">
        <v>0.5</v>
      </c>
      <c r="F23" s="1283">
        <f t="shared" si="34"/>
        <v>0.55549999999999999</v>
      </c>
      <c r="G23" s="1284">
        <v>0.61099999999999999</v>
      </c>
      <c r="H23" s="1283">
        <f t="shared" si="35"/>
        <v>0.6925</v>
      </c>
      <c r="I23" s="1284">
        <v>0.77400000000000002</v>
      </c>
      <c r="J23" s="1283">
        <f t="shared" si="36"/>
        <v>0.871</v>
      </c>
      <c r="K23" s="1284">
        <v>0.96799999999999997</v>
      </c>
      <c r="L23" s="1283">
        <f t="shared" si="37"/>
        <v>1.0920000000000001</v>
      </c>
      <c r="M23" s="1284">
        <v>1.216</v>
      </c>
      <c r="N23" s="1283">
        <f t="shared" si="38"/>
        <v>1.3555000000000001</v>
      </c>
      <c r="O23" s="1284">
        <v>1.4950000000000001</v>
      </c>
      <c r="P23" s="1267"/>
      <c r="Q23" s="1275" t="s">
        <v>878</v>
      </c>
      <c r="R23" s="1286">
        <f t="shared" si="29"/>
        <v>0</v>
      </c>
      <c r="S23" s="1279">
        <f t="shared" si="39"/>
        <v>0.64200000000000002</v>
      </c>
      <c r="T23" s="1279">
        <f t="shared" si="40"/>
        <v>0.77400000000000002</v>
      </c>
      <c r="U23" s="1279">
        <f t="shared" si="41"/>
        <v>0.91100000000000003</v>
      </c>
      <c r="V23" s="1279">
        <f t="shared" si="42"/>
        <v>1</v>
      </c>
      <c r="W23" s="1279">
        <f t="shared" si="43"/>
        <v>1.0840000000000001</v>
      </c>
      <c r="X23" s="1279">
        <f t="shared" si="44"/>
        <v>1.258</v>
      </c>
      <c r="Y23" s="1279">
        <f t="shared" si="45"/>
        <v>1.5209999999999999</v>
      </c>
      <c r="Z23" s="1279">
        <f t="shared" si="46"/>
        <v>1.7889999999999999</v>
      </c>
      <c r="AA23" s="1267"/>
      <c r="AB23" s="1275" t="s">
        <v>878</v>
      </c>
      <c r="AC23" s="1286">
        <f t="shared" si="30"/>
        <v>0</v>
      </c>
      <c r="AD23" s="1279">
        <f t="shared" si="47"/>
        <v>0.64200000000000002</v>
      </c>
      <c r="AE23" s="1279">
        <f t="shared" si="48"/>
        <v>0.77400000000000002</v>
      </c>
      <c r="AF23" s="1279">
        <f t="shared" si="49"/>
        <v>0.91100000000000003</v>
      </c>
      <c r="AG23" s="1279">
        <f t="shared" si="50"/>
        <v>1</v>
      </c>
      <c r="AH23" s="1279">
        <f t="shared" si="51"/>
        <v>1.0840000000000001</v>
      </c>
      <c r="AI23" s="1279">
        <f t="shared" si="52"/>
        <v>1.258</v>
      </c>
      <c r="AJ23" s="1279">
        <f t="shared" si="53"/>
        <v>1.5209999999999999</v>
      </c>
      <c r="AK23" s="1279">
        <f t="shared" si="54"/>
        <v>1.7889999999999999</v>
      </c>
      <c r="AL23" s="1267"/>
      <c r="AM23" s="1267"/>
      <c r="AN23" s="1275"/>
      <c r="AO23" s="1275"/>
      <c r="AP23" s="1275"/>
      <c r="AQ23" s="1275"/>
      <c r="AR23" s="1275"/>
      <c r="AS23" s="1275"/>
      <c r="AT23" s="1275"/>
      <c r="AU23" s="1275"/>
    </row>
    <row r="24" spans="1:47">
      <c r="A24" s="1282">
        <v>30</v>
      </c>
      <c r="B24" s="1283">
        <f t="shared" si="32"/>
        <v>0.42099999999999999</v>
      </c>
      <c r="C24" s="1284">
        <v>0.42099999999999999</v>
      </c>
      <c r="D24" s="1283">
        <f t="shared" si="33"/>
        <v>0.47650000000000003</v>
      </c>
      <c r="E24" s="1284">
        <v>0.53200000000000003</v>
      </c>
      <c r="F24" s="1283">
        <f t="shared" si="34"/>
        <v>0.60299999999999998</v>
      </c>
      <c r="G24" s="1284">
        <v>0.67400000000000004</v>
      </c>
      <c r="H24" s="1283">
        <f t="shared" si="35"/>
        <v>0.79249999999999998</v>
      </c>
      <c r="I24" s="1284">
        <v>0.91100000000000003</v>
      </c>
      <c r="J24" s="1283">
        <f t="shared" si="36"/>
        <v>1.0449999999999999</v>
      </c>
      <c r="K24" s="1284">
        <v>1.179</v>
      </c>
      <c r="L24" s="1283">
        <f t="shared" si="37"/>
        <v>1.3605</v>
      </c>
      <c r="M24" s="1284">
        <v>1.542</v>
      </c>
      <c r="N24" s="1283">
        <f t="shared" si="38"/>
        <v>1.742</v>
      </c>
      <c r="O24" s="1284">
        <v>1.9419999999999999</v>
      </c>
      <c r="P24" s="1267"/>
      <c r="Q24" s="1275" t="s">
        <v>879</v>
      </c>
      <c r="R24" s="1286">
        <f t="shared" si="29"/>
        <v>0</v>
      </c>
      <c r="S24" s="1279">
        <f t="shared" si="39"/>
        <v>0.64200000000000002</v>
      </c>
      <c r="T24" s="1279">
        <f t="shared" si="40"/>
        <v>0.77400000000000002</v>
      </c>
      <c r="U24" s="1279">
        <f t="shared" si="41"/>
        <v>0.91100000000000003</v>
      </c>
      <c r="V24" s="1279">
        <f t="shared" si="42"/>
        <v>1</v>
      </c>
      <c r="W24" s="1279">
        <f t="shared" si="43"/>
        <v>1.0840000000000001</v>
      </c>
      <c r="X24" s="1279">
        <f t="shared" si="44"/>
        <v>1.258</v>
      </c>
      <c r="Y24" s="1279">
        <f t="shared" si="45"/>
        <v>1.5209999999999999</v>
      </c>
      <c r="Z24" s="1279">
        <f t="shared" si="46"/>
        <v>1.7889999999999999</v>
      </c>
      <c r="AA24" s="1267"/>
      <c r="AB24" s="1275" t="s">
        <v>879</v>
      </c>
      <c r="AC24" s="1286">
        <f t="shared" si="30"/>
        <v>0</v>
      </c>
      <c r="AD24" s="1279">
        <f t="shared" si="47"/>
        <v>0.64200000000000002</v>
      </c>
      <c r="AE24" s="1279">
        <f t="shared" si="48"/>
        <v>0.77400000000000002</v>
      </c>
      <c r="AF24" s="1279">
        <f t="shared" si="49"/>
        <v>0.91100000000000003</v>
      </c>
      <c r="AG24" s="1279">
        <f t="shared" si="50"/>
        <v>1</v>
      </c>
      <c r="AH24" s="1279">
        <f t="shared" si="51"/>
        <v>1.0840000000000001</v>
      </c>
      <c r="AI24" s="1279">
        <f t="shared" si="52"/>
        <v>1.258</v>
      </c>
      <c r="AJ24" s="1279">
        <f t="shared" si="53"/>
        <v>1.5209999999999999</v>
      </c>
      <c r="AK24" s="1279">
        <f t="shared" si="54"/>
        <v>1.7889999999999999</v>
      </c>
      <c r="AL24" s="1267"/>
      <c r="AM24" s="1285" t="s">
        <v>930</v>
      </c>
      <c r="AN24" s="1286">
        <f>INT(AN21)</f>
        <v>0</v>
      </c>
      <c r="AO24" s="1286">
        <f t="shared" ref="AO24:AU24" si="56">INT(AO21)</f>
        <v>0</v>
      </c>
      <c r="AP24" s="1286">
        <f t="shared" si="56"/>
        <v>0</v>
      </c>
      <c r="AQ24" s="1286">
        <f t="shared" si="56"/>
        <v>0</v>
      </c>
      <c r="AR24" s="1286">
        <f t="shared" si="56"/>
        <v>0</v>
      </c>
      <c r="AS24" s="1286">
        <f t="shared" si="56"/>
        <v>0</v>
      </c>
      <c r="AT24" s="1286">
        <f t="shared" si="56"/>
        <v>0</v>
      </c>
      <c r="AU24" s="1286">
        <f t="shared" si="56"/>
        <v>0</v>
      </c>
    </row>
    <row r="25" spans="1:47">
      <c r="A25" s="1287">
        <v>40</v>
      </c>
      <c r="B25" s="1288">
        <f t="shared" si="32"/>
        <v>0.42099999999999999</v>
      </c>
      <c r="C25" s="1289">
        <v>0.42099999999999999</v>
      </c>
      <c r="D25" s="1288">
        <f t="shared" si="33"/>
        <v>0.47899999999999998</v>
      </c>
      <c r="E25" s="1289">
        <v>0.53700000000000003</v>
      </c>
      <c r="F25" s="1288">
        <f t="shared" si="34"/>
        <v>0.624</v>
      </c>
      <c r="G25" s="1289">
        <v>0.71099999999999997</v>
      </c>
      <c r="H25" s="1288">
        <f t="shared" si="35"/>
        <v>0.85549999999999993</v>
      </c>
      <c r="I25" s="1289">
        <v>1</v>
      </c>
      <c r="J25" s="1288">
        <f t="shared" si="36"/>
        <v>1.179</v>
      </c>
      <c r="K25" s="1289">
        <v>1.3580000000000001</v>
      </c>
      <c r="L25" s="1288">
        <f t="shared" si="37"/>
        <v>1.5950000000000002</v>
      </c>
      <c r="M25" s="1289">
        <v>1.8320000000000001</v>
      </c>
      <c r="N25" s="1288">
        <f t="shared" si="38"/>
        <v>2.1215000000000002</v>
      </c>
      <c r="O25" s="1289">
        <v>2.411</v>
      </c>
      <c r="P25" s="1267"/>
      <c r="Q25" s="1275" t="s">
        <v>881</v>
      </c>
      <c r="R25" s="1286">
        <f t="shared" si="29"/>
        <v>0</v>
      </c>
      <c r="S25" s="1279">
        <f t="shared" si="39"/>
        <v>0.64200000000000002</v>
      </c>
      <c r="T25" s="1279">
        <f t="shared" si="40"/>
        <v>0.77400000000000002</v>
      </c>
      <c r="U25" s="1279">
        <f t="shared" si="41"/>
        <v>0.91100000000000003</v>
      </c>
      <c r="V25" s="1279">
        <f t="shared" si="42"/>
        <v>1</v>
      </c>
      <c r="W25" s="1279">
        <f t="shared" si="43"/>
        <v>1.0840000000000001</v>
      </c>
      <c r="X25" s="1279">
        <f t="shared" si="44"/>
        <v>1.258</v>
      </c>
      <c r="Y25" s="1279">
        <f t="shared" si="45"/>
        <v>1.5209999999999999</v>
      </c>
      <c r="Z25" s="1279">
        <f t="shared" si="46"/>
        <v>1.7889999999999999</v>
      </c>
      <c r="AA25" s="1267"/>
      <c r="AB25" s="1275" t="s">
        <v>881</v>
      </c>
      <c r="AC25" s="1286">
        <f t="shared" si="30"/>
        <v>0</v>
      </c>
      <c r="AD25" s="1279">
        <f t="shared" si="47"/>
        <v>0.64200000000000002</v>
      </c>
      <c r="AE25" s="1279">
        <f t="shared" si="48"/>
        <v>0.77400000000000002</v>
      </c>
      <c r="AF25" s="1279">
        <f t="shared" si="49"/>
        <v>0.91100000000000003</v>
      </c>
      <c r="AG25" s="1279">
        <f t="shared" si="50"/>
        <v>1</v>
      </c>
      <c r="AH25" s="1279">
        <f t="shared" si="51"/>
        <v>1.0840000000000001</v>
      </c>
      <c r="AI25" s="1279">
        <f t="shared" si="52"/>
        <v>1.258</v>
      </c>
      <c r="AJ25" s="1279">
        <f t="shared" si="53"/>
        <v>1.5209999999999999</v>
      </c>
      <c r="AK25" s="1279">
        <f t="shared" si="54"/>
        <v>1.7889999999999999</v>
      </c>
      <c r="AL25" s="1267"/>
      <c r="AM25" s="1285" t="s">
        <v>943</v>
      </c>
      <c r="AN25" s="1290">
        <f t="shared" ref="AN25:AU25" si="57">HLOOKUP(AN24,$B$20:$O$31,AN28)</f>
        <v>0.64200000000000002</v>
      </c>
      <c r="AO25" s="1290">
        <f t="shared" si="57"/>
        <v>0.77400000000000002</v>
      </c>
      <c r="AP25" s="1290">
        <f t="shared" si="57"/>
        <v>0.91100000000000003</v>
      </c>
      <c r="AQ25" s="1290">
        <f t="shared" si="57"/>
        <v>1</v>
      </c>
      <c r="AR25" s="1290">
        <f t="shared" si="57"/>
        <v>1.0840000000000001</v>
      </c>
      <c r="AS25" s="1290">
        <f t="shared" si="57"/>
        <v>1.258</v>
      </c>
      <c r="AT25" s="1290">
        <f t="shared" si="57"/>
        <v>1.5209999999999999</v>
      </c>
      <c r="AU25" s="1290">
        <f t="shared" si="57"/>
        <v>1.7889999999999999</v>
      </c>
    </row>
    <row r="26" spans="1:47">
      <c r="A26" s="1287">
        <v>50</v>
      </c>
      <c r="B26" s="1288">
        <f t="shared" si="32"/>
        <v>0.42099999999999999</v>
      </c>
      <c r="C26" s="1289">
        <v>0.42099999999999999</v>
      </c>
      <c r="D26" s="1288">
        <f t="shared" si="33"/>
        <v>0.48399999999999999</v>
      </c>
      <c r="E26" s="1289">
        <v>0.54700000000000004</v>
      </c>
      <c r="F26" s="1288">
        <f t="shared" si="34"/>
        <v>0.64700000000000002</v>
      </c>
      <c r="G26" s="1289">
        <v>0.747</v>
      </c>
      <c r="H26" s="1288">
        <f t="shared" si="35"/>
        <v>0.91549999999999998</v>
      </c>
      <c r="I26" s="1289">
        <v>1.0840000000000001</v>
      </c>
      <c r="J26" s="1288">
        <f t="shared" si="36"/>
        <v>1.3105</v>
      </c>
      <c r="K26" s="1289">
        <v>1.5369999999999999</v>
      </c>
      <c r="L26" s="1288">
        <f t="shared" si="37"/>
        <v>1.8265</v>
      </c>
      <c r="M26" s="1289">
        <v>2.1160000000000001</v>
      </c>
      <c r="N26" s="1288">
        <f t="shared" si="38"/>
        <v>2.4975000000000001</v>
      </c>
      <c r="O26" s="1289">
        <v>2.879</v>
      </c>
      <c r="P26" s="1267"/>
      <c r="Q26" s="1275" t="s">
        <v>883</v>
      </c>
      <c r="R26" s="1286">
        <f t="shared" si="29"/>
        <v>0</v>
      </c>
      <c r="S26" s="1279">
        <f t="shared" si="39"/>
        <v>0.64200000000000002</v>
      </c>
      <c r="T26" s="1279">
        <f t="shared" si="40"/>
        <v>0.77400000000000002</v>
      </c>
      <c r="U26" s="1279">
        <f t="shared" si="41"/>
        <v>0.91100000000000003</v>
      </c>
      <c r="V26" s="1279">
        <f t="shared" si="42"/>
        <v>1</v>
      </c>
      <c r="W26" s="1279">
        <f t="shared" si="43"/>
        <v>1.0840000000000001</v>
      </c>
      <c r="X26" s="1279">
        <f t="shared" si="44"/>
        <v>1.258</v>
      </c>
      <c r="Y26" s="1279">
        <f t="shared" si="45"/>
        <v>1.5209999999999999</v>
      </c>
      <c r="Z26" s="1279">
        <f t="shared" si="46"/>
        <v>1.7889999999999999</v>
      </c>
      <c r="AA26" s="1267"/>
      <c r="AB26" s="1275" t="s">
        <v>883</v>
      </c>
      <c r="AC26" s="1286">
        <f t="shared" si="30"/>
        <v>0</v>
      </c>
      <c r="AD26" s="1279">
        <f t="shared" si="47"/>
        <v>0.64200000000000002</v>
      </c>
      <c r="AE26" s="1279">
        <f t="shared" si="48"/>
        <v>0.77400000000000002</v>
      </c>
      <c r="AF26" s="1279">
        <f t="shared" si="49"/>
        <v>0.91100000000000003</v>
      </c>
      <c r="AG26" s="1279">
        <f t="shared" si="50"/>
        <v>1</v>
      </c>
      <c r="AH26" s="1279">
        <f t="shared" si="51"/>
        <v>1.0840000000000001</v>
      </c>
      <c r="AI26" s="1279">
        <f t="shared" si="52"/>
        <v>1.258</v>
      </c>
      <c r="AJ26" s="1279">
        <f t="shared" si="53"/>
        <v>1.5209999999999999</v>
      </c>
      <c r="AK26" s="1279">
        <f t="shared" si="54"/>
        <v>1.7889999999999999</v>
      </c>
      <c r="AL26" s="1267"/>
      <c r="AM26" s="1285" t="s">
        <v>944</v>
      </c>
      <c r="AN26" s="1286">
        <f>AN24+1</f>
        <v>1</v>
      </c>
      <c r="AO26" s="1286">
        <f t="shared" ref="AO26:AU26" si="58">AO24+1</f>
        <v>1</v>
      </c>
      <c r="AP26" s="1286">
        <f t="shared" si="58"/>
        <v>1</v>
      </c>
      <c r="AQ26" s="1286">
        <f t="shared" si="58"/>
        <v>1</v>
      </c>
      <c r="AR26" s="1286">
        <f t="shared" si="58"/>
        <v>1</v>
      </c>
      <c r="AS26" s="1286">
        <f t="shared" si="58"/>
        <v>1</v>
      </c>
      <c r="AT26" s="1286">
        <f t="shared" si="58"/>
        <v>1</v>
      </c>
      <c r="AU26" s="1286">
        <f t="shared" si="58"/>
        <v>1</v>
      </c>
    </row>
    <row r="27" spans="1:47">
      <c r="A27" s="1287">
        <v>60</v>
      </c>
      <c r="B27" s="1288">
        <f t="shared" si="32"/>
        <v>0.442</v>
      </c>
      <c r="C27" s="1289">
        <v>0.442</v>
      </c>
      <c r="D27" s="1288">
        <f t="shared" si="33"/>
        <v>0.51849999999999996</v>
      </c>
      <c r="E27" s="1289">
        <v>0.59499999999999997</v>
      </c>
      <c r="F27" s="1288">
        <f t="shared" si="34"/>
        <v>0.72399999999999998</v>
      </c>
      <c r="G27" s="1289">
        <v>0.85299999999999998</v>
      </c>
      <c r="H27" s="1288">
        <f t="shared" si="35"/>
        <v>1.0554999999999999</v>
      </c>
      <c r="I27" s="1289">
        <v>1.258</v>
      </c>
      <c r="J27" s="1288">
        <f t="shared" si="36"/>
        <v>1.5554999999999999</v>
      </c>
      <c r="K27" s="1289">
        <v>1.853</v>
      </c>
      <c r="L27" s="1288">
        <f t="shared" si="37"/>
        <v>2.2685</v>
      </c>
      <c r="M27" s="1289">
        <v>2.6840000000000002</v>
      </c>
      <c r="N27" s="1288">
        <f t="shared" si="38"/>
        <v>3.226</v>
      </c>
      <c r="O27" s="1289">
        <v>3.7679999999999998</v>
      </c>
      <c r="P27" s="1267"/>
      <c r="Q27" s="1275" t="s">
        <v>885</v>
      </c>
      <c r="R27" s="1286">
        <f t="shared" si="29"/>
        <v>0</v>
      </c>
      <c r="S27" s="1279">
        <f t="shared" si="39"/>
        <v>0.64200000000000002</v>
      </c>
      <c r="T27" s="1279">
        <f t="shared" si="40"/>
        <v>0.77400000000000002</v>
      </c>
      <c r="U27" s="1279">
        <f t="shared" si="41"/>
        <v>0.91100000000000003</v>
      </c>
      <c r="V27" s="1279">
        <f t="shared" si="42"/>
        <v>1</v>
      </c>
      <c r="W27" s="1279">
        <f t="shared" si="43"/>
        <v>1.0840000000000001</v>
      </c>
      <c r="X27" s="1279">
        <f t="shared" si="44"/>
        <v>1.258</v>
      </c>
      <c r="Y27" s="1279">
        <f t="shared" si="45"/>
        <v>1.5209999999999999</v>
      </c>
      <c r="Z27" s="1279">
        <f t="shared" si="46"/>
        <v>1.7889999999999999</v>
      </c>
      <c r="AA27" s="1267"/>
      <c r="AB27" s="1275" t="s">
        <v>885</v>
      </c>
      <c r="AC27" s="1286">
        <f t="shared" si="30"/>
        <v>0</v>
      </c>
      <c r="AD27" s="1279">
        <f t="shared" si="47"/>
        <v>0.64200000000000002</v>
      </c>
      <c r="AE27" s="1279">
        <f t="shared" si="48"/>
        <v>0.77400000000000002</v>
      </c>
      <c r="AF27" s="1279">
        <f t="shared" si="49"/>
        <v>0.91100000000000003</v>
      </c>
      <c r="AG27" s="1279">
        <f t="shared" si="50"/>
        <v>1</v>
      </c>
      <c r="AH27" s="1279">
        <f t="shared" si="51"/>
        <v>1.0840000000000001</v>
      </c>
      <c r="AI27" s="1279">
        <f t="shared" si="52"/>
        <v>1.258</v>
      </c>
      <c r="AJ27" s="1279">
        <f t="shared" si="53"/>
        <v>1.5209999999999999</v>
      </c>
      <c r="AK27" s="1279">
        <f t="shared" si="54"/>
        <v>1.7889999999999999</v>
      </c>
      <c r="AL27" s="1267"/>
      <c r="AM27" s="1285" t="s">
        <v>945</v>
      </c>
      <c r="AN27" s="1290">
        <f t="shared" ref="AN27:AU27" si="59">HLOOKUP(AN26,$B$20:$O$31,AN28)</f>
        <v>0.70250000000000001</v>
      </c>
      <c r="AO27" s="1290">
        <f t="shared" si="59"/>
        <v>0.871</v>
      </c>
      <c r="AP27" s="1290">
        <f t="shared" si="59"/>
        <v>1.0449999999999999</v>
      </c>
      <c r="AQ27" s="1290">
        <f t="shared" si="59"/>
        <v>1.179</v>
      </c>
      <c r="AR27" s="1290">
        <f t="shared" si="59"/>
        <v>1.3105</v>
      </c>
      <c r="AS27" s="1290">
        <f t="shared" si="59"/>
        <v>1.5554999999999999</v>
      </c>
      <c r="AT27" s="1290">
        <f t="shared" si="59"/>
        <v>1.9079999999999999</v>
      </c>
      <c r="AU27" s="1290">
        <f t="shared" si="59"/>
        <v>2.3864999999999998</v>
      </c>
    </row>
    <row r="28" spans="1:47">
      <c r="A28" s="1282">
        <v>70</v>
      </c>
      <c r="B28" s="1283">
        <f t="shared" si="32"/>
        <v>0.45800000000000002</v>
      </c>
      <c r="C28" s="1284">
        <v>0.45800000000000002</v>
      </c>
      <c r="D28" s="1283">
        <f t="shared" si="33"/>
        <v>0.55549999999999999</v>
      </c>
      <c r="E28" s="1284">
        <v>0.65300000000000002</v>
      </c>
      <c r="F28" s="1283">
        <f t="shared" si="34"/>
        <v>0.81850000000000001</v>
      </c>
      <c r="G28" s="1284">
        <v>0.98399999999999999</v>
      </c>
      <c r="H28" s="1283">
        <f t="shared" si="35"/>
        <v>1.2524999999999999</v>
      </c>
      <c r="I28" s="1284">
        <v>1.5209999999999999</v>
      </c>
      <c r="J28" s="1283">
        <f t="shared" si="36"/>
        <v>1.9079999999999999</v>
      </c>
      <c r="K28" s="1284">
        <v>2.2949999999999999</v>
      </c>
      <c r="L28" s="1283">
        <f t="shared" si="37"/>
        <v>2.8054999999999999</v>
      </c>
      <c r="M28" s="1284">
        <v>3.3159999999999998</v>
      </c>
      <c r="N28" s="1283">
        <f t="shared" si="38"/>
        <v>3.9685000000000001</v>
      </c>
      <c r="O28" s="1284">
        <v>4.6210000000000004</v>
      </c>
      <c r="P28" s="1267"/>
      <c r="Q28" s="1275" t="s">
        <v>887</v>
      </c>
      <c r="R28" s="1286">
        <f t="shared" si="29"/>
        <v>0</v>
      </c>
      <c r="S28" s="1279">
        <f t="shared" si="39"/>
        <v>0.64200000000000002</v>
      </c>
      <c r="T28" s="1279">
        <f t="shared" si="40"/>
        <v>0.77400000000000002</v>
      </c>
      <c r="U28" s="1279">
        <f t="shared" si="41"/>
        <v>0.91100000000000003</v>
      </c>
      <c r="V28" s="1279">
        <f t="shared" si="42"/>
        <v>1</v>
      </c>
      <c r="W28" s="1279">
        <f t="shared" si="43"/>
        <v>1.0840000000000001</v>
      </c>
      <c r="X28" s="1279">
        <f t="shared" si="44"/>
        <v>1.258</v>
      </c>
      <c r="Y28" s="1279">
        <f t="shared" si="45"/>
        <v>1.5209999999999999</v>
      </c>
      <c r="Z28" s="1279">
        <f t="shared" si="46"/>
        <v>1.7889999999999999</v>
      </c>
      <c r="AA28" s="1267"/>
      <c r="AB28" s="1275" t="s">
        <v>887</v>
      </c>
      <c r="AC28" s="1286">
        <f t="shared" si="30"/>
        <v>0</v>
      </c>
      <c r="AD28" s="1279">
        <f t="shared" si="47"/>
        <v>0.64200000000000002</v>
      </c>
      <c r="AE28" s="1279">
        <f t="shared" si="48"/>
        <v>0.77400000000000002</v>
      </c>
      <c r="AF28" s="1279">
        <f t="shared" si="49"/>
        <v>0.91100000000000003</v>
      </c>
      <c r="AG28" s="1279">
        <f t="shared" si="50"/>
        <v>1</v>
      </c>
      <c r="AH28" s="1279">
        <f t="shared" si="51"/>
        <v>1.0840000000000001</v>
      </c>
      <c r="AI28" s="1279">
        <f t="shared" si="52"/>
        <v>1.258</v>
      </c>
      <c r="AJ28" s="1279">
        <f t="shared" si="53"/>
        <v>1.5209999999999999</v>
      </c>
      <c r="AK28" s="1279">
        <f t="shared" si="54"/>
        <v>1.7889999999999999</v>
      </c>
      <c r="AL28" s="1267"/>
      <c r="AM28" s="1267"/>
      <c r="AN28" s="1275">
        <v>3</v>
      </c>
      <c r="AO28" s="1275">
        <v>4</v>
      </c>
      <c r="AP28" s="1275">
        <v>5</v>
      </c>
      <c r="AQ28" s="1275">
        <v>6</v>
      </c>
      <c r="AR28" s="1275">
        <v>7</v>
      </c>
      <c r="AS28" s="1275">
        <v>8</v>
      </c>
      <c r="AT28" s="1275">
        <v>9</v>
      </c>
      <c r="AU28" s="1275">
        <v>10</v>
      </c>
    </row>
    <row r="29" spans="1:47">
      <c r="A29" s="1282">
        <v>80</v>
      </c>
      <c r="B29" s="1283">
        <f t="shared" si="32"/>
        <v>0.4</v>
      </c>
      <c r="C29" s="1284">
        <v>0.4</v>
      </c>
      <c r="D29" s="1283">
        <f t="shared" si="33"/>
        <v>0.51300000000000001</v>
      </c>
      <c r="E29" s="1284">
        <v>0.626</v>
      </c>
      <c r="F29" s="1283">
        <f t="shared" si="34"/>
        <v>0.83949999999999991</v>
      </c>
      <c r="G29" s="1284">
        <v>1.0529999999999999</v>
      </c>
      <c r="H29" s="1283">
        <f t="shared" si="35"/>
        <v>1.4209999999999998</v>
      </c>
      <c r="I29" s="1284">
        <v>1.7889999999999999</v>
      </c>
      <c r="J29" s="1283">
        <f t="shared" si="36"/>
        <v>2.3864999999999998</v>
      </c>
      <c r="K29" s="1284">
        <v>2.984</v>
      </c>
      <c r="L29" s="1283">
        <f t="shared" si="37"/>
        <v>3.8290000000000002</v>
      </c>
      <c r="M29" s="1284">
        <v>4.6740000000000004</v>
      </c>
      <c r="N29" s="1283">
        <f t="shared" si="38"/>
        <v>5.6684999999999999</v>
      </c>
      <c r="O29" s="1284">
        <v>6.6630000000000003</v>
      </c>
      <c r="P29" s="1267"/>
      <c r="Q29" s="1275" t="s">
        <v>888</v>
      </c>
      <c r="R29" s="1286">
        <f t="shared" si="29"/>
        <v>0</v>
      </c>
      <c r="S29" s="1279">
        <f t="shared" si="39"/>
        <v>0.64200000000000002</v>
      </c>
      <c r="T29" s="1279">
        <f t="shared" si="40"/>
        <v>0.77400000000000002</v>
      </c>
      <c r="U29" s="1279">
        <f t="shared" si="41"/>
        <v>0.91100000000000003</v>
      </c>
      <c r="V29" s="1279">
        <f t="shared" si="42"/>
        <v>1</v>
      </c>
      <c r="W29" s="1279">
        <f t="shared" si="43"/>
        <v>1.0840000000000001</v>
      </c>
      <c r="X29" s="1279">
        <f t="shared" si="44"/>
        <v>1.258</v>
      </c>
      <c r="Y29" s="1279">
        <f t="shared" si="45"/>
        <v>1.5209999999999999</v>
      </c>
      <c r="Z29" s="1279">
        <f t="shared" si="46"/>
        <v>1.7889999999999999</v>
      </c>
      <c r="AA29" s="1267"/>
      <c r="AB29" s="1275" t="s">
        <v>888</v>
      </c>
      <c r="AC29" s="1286">
        <f t="shared" si="30"/>
        <v>0</v>
      </c>
      <c r="AD29" s="1279">
        <f t="shared" si="47"/>
        <v>0.64200000000000002</v>
      </c>
      <c r="AE29" s="1279">
        <f t="shared" si="48"/>
        <v>0.77400000000000002</v>
      </c>
      <c r="AF29" s="1279">
        <f t="shared" si="49"/>
        <v>0.91100000000000003</v>
      </c>
      <c r="AG29" s="1279">
        <f t="shared" si="50"/>
        <v>1</v>
      </c>
      <c r="AH29" s="1279">
        <f t="shared" si="51"/>
        <v>1.0840000000000001</v>
      </c>
      <c r="AI29" s="1279">
        <f t="shared" si="52"/>
        <v>1.258</v>
      </c>
      <c r="AJ29" s="1279">
        <f t="shared" si="53"/>
        <v>1.5209999999999999</v>
      </c>
      <c r="AK29" s="1279">
        <f t="shared" si="54"/>
        <v>1.7889999999999999</v>
      </c>
      <c r="AL29" s="1267"/>
      <c r="AM29" s="1267"/>
      <c r="AN29" s="1267"/>
      <c r="AO29" s="1267"/>
      <c r="AP29" s="1267"/>
      <c r="AQ29" s="1267"/>
      <c r="AR29" s="1267"/>
      <c r="AS29" s="1267"/>
      <c r="AT29" s="1267"/>
      <c r="AU29" s="1267"/>
    </row>
    <row r="30" spans="1:47">
      <c r="A30" s="1275">
        <v>90</v>
      </c>
      <c r="B30" s="1276">
        <f t="shared" si="32"/>
        <v>0.437</v>
      </c>
      <c r="C30" s="1277">
        <v>0.437</v>
      </c>
      <c r="D30" s="1276">
        <f t="shared" si="33"/>
        <v>0.56850000000000001</v>
      </c>
      <c r="E30" s="1277">
        <v>0.7</v>
      </c>
      <c r="F30" s="1276">
        <f t="shared" si="34"/>
        <v>0.99449999999999994</v>
      </c>
      <c r="G30" s="1277">
        <v>1.2889999999999999</v>
      </c>
      <c r="H30" s="1276">
        <f t="shared" si="35"/>
        <v>1.7999999999999998</v>
      </c>
      <c r="I30" s="1277">
        <v>2.3109999999999999</v>
      </c>
      <c r="J30" s="1276">
        <f t="shared" si="36"/>
        <v>2.9975000000000001</v>
      </c>
      <c r="K30" s="1277">
        <v>3.6840000000000002</v>
      </c>
      <c r="L30" s="1276">
        <f t="shared" si="37"/>
        <v>4.7</v>
      </c>
      <c r="M30" s="1277">
        <v>5.7160000000000002</v>
      </c>
      <c r="N30" s="1276">
        <f t="shared" si="38"/>
        <v>7.3740000000000006</v>
      </c>
      <c r="O30" s="1277">
        <v>9.032</v>
      </c>
      <c r="P30" s="1267"/>
      <c r="Q30" s="1275" t="s">
        <v>889</v>
      </c>
      <c r="R30" s="1286">
        <f t="shared" si="29"/>
        <v>0</v>
      </c>
      <c r="S30" s="1279">
        <f t="shared" si="39"/>
        <v>0.64200000000000002</v>
      </c>
      <c r="T30" s="1279">
        <f t="shared" si="40"/>
        <v>0.77400000000000002</v>
      </c>
      <c r="U30" s="1279">
        <f t="shared" si="41"/>
        <v>0.91100000000000003</v>
      </c>
      <c r="V30" s="1279">
        <f t="shared" si="42"/>
        <v>1</v>
      </c>
      <c r="W30" s="1279">
        <f t="shared" si="43"/>
        <v>1.0840000000000001</v>
      </c>
      <c r="X30" s="1279">
        <f t="shared" si="44"/>
        <v>1.258</v>
      </c>
      <c r="Y30" s="1279">
        <f t="shared" si="45"/>
        <v>1.5209999999999999</v>
      </c>
      <c r="Z30" s="1279">
        <f t="shared" si="46"/>
        <v>1.7889999999999999</v>
      </c>
      <c r="AA30" s="1267"/>
      <c r="AB30" s="1275" t="s">
        <v>889</v>
      </c>
      <c r="AC30" s="1286">
        <f t="shared" si="30"/>
        <v>0</v>
      </c>
      <c r="AD30" s="1279">
        <f t="shared" si="47"/>
        <v>0.64200000000000002</v>
      </c>
      <c r="AE30" s="1279">
        <f t="shared" si="48"/>
        <v>0.77400000000000002</v>
      </c>
      <c r="AF30" s="1279">
        <f t="shared" si="49"/>
        <v>0.91100000000000003</v>
      </c>
      <c r="AG30" s="1279">
        <f t="shared" si="50"/>
        <v>1</v>
      </c>
      <c r="AH30" s="1279">
        <f t="shared" si="51"/>
        <v>1.0840000000000001</v>
      </c>
      <c r="AI30" s="1279">
        <f t="shared" si="52"/>
        <v>1.258</v>
      </c>
      <c r="AJ30" s="1279">
        <f t="shared" si="53"/>
        <v>1.5209999999999999</v>
      </c>
      <c r="AK30" s="1279">
        <f t="shared" si="54"/>
        <v>1.7889999999999999</v>
      </c>
      <c r="AL30" s="1267"/>
      <c r="AM30" s="1267"/>
      <c r="AN30" s="1267"/>
      <c r="AO30" s="1267"/>
      <c r="AP30" s="1267"/>
      <c r="AQ30" s="1267"/>
      <c r="AR30" s="1267"/>
      <c r="AS30" s="1267"/>
      <c r="AT30" s="1267"/>
      <c r="AU30" s="1267"/>
    </row>
    <row r="31" spans="1:47">
      <c r="A31" s="1275">
        <v>100</v>
      </c>
      <c r="B31" s="1276">
        <f t="shared" si="32"/>
        <v>0.505</v>
      </c>
      <c r="C31" s="1277">
        <v>0.505</v>
      </c>
      <c r="D31" s="1276">
        <f t="shared" si="33"/>
        <v>0.626</v>
      </c>
      <c r="E31" s="1277">
        <v>0.747</v>
      </c>
      <c r="F31" s="1276">
        <f t="shared" si="34"/>
        <v>1.0840000000000001</v>
      </c>
      <c r="G31" s="1277">
        <v>1.421</v>
      </c>
      <c r="H31" s="1276">
        <f t="shared" si="35"/>
        <v>2.0499999999999998</v>
      </c>
      <c r="I31" s="1277">
        <v>2.6789999999999998</v>
      </c>
      <c r="J31" s="1276">
        <f t="shared" si="36"/>
        <v>3.6209999999999996</v>
      </c>
      <c r="K31" s="1277">
        <v>4.5629999999999997</v>
      </c>
      <c r="L31" s="1276">
        <f t="shared" si="37"/>
        <v>5.7315000000000005</v>
      </c>
      <c r="M31" s="1277">
        <v>6.9</v>
      </c>
      <c r="N31" s="1276">
        <f t="shared" si="38"/>
        <v>8.8234999999999992</v>
      </c>
      <c r="O31" s="1277">
        <v>10.747</v>
      </c>
      <c r="P31" s="1267"/>
      <c r="Q31" s="1267"/>
      <c r="R31" s="1267"/>
      <c r="S31" s="1267"/>
      <c r="T31" s="1267"/>
      <c r="U31" s="1267"/>
      <c r="V31" s="1267"/>
      <c r="W31" s="1267"/>
      <c r="X31" s="1267"/>
      <c r="Y31" s="1267"/>
      <c r="Z31" s="1267"/>
      <c r="AA31" s="1267"/>
      <c r="AB31" s="1267"/>
      <c r="AC31" s="1267"/>
      <c r="AD31" s="1267"/>
      <c r="AE31" s="1267"/>
      <c r="AF31" s="1267"/>
      <c r="AG31" s="1267"/>
      <c r="AH31" s="1267"/>
      <c r="AI31" s="1267"/>
      <c r="AJ31" s="1267"/>
      <c r="AK31" s="1267"/>
      <c r="AL31" s="1267"/>
      <c r="AM31" s="1267"/>
      <c r="AN31" s="1267"/>
      <c r="AO31" s="1267"/>
      <c r="AP31" s="1267"/>
      <c r="AQ31" s="1267"/>
      <c r="AR31" s="1267"/>
      <c r="AS31" s="1267"/>
      <c r="AT31" s="1267"/>
      <c r="AU31" s="1267"/>
    </row>
    <row r="32" spans="1:47">
      <c r="A32" s="1270" t="s">
        <v>946</v>
      </c>
      <c r="B32" s="1267"/>
      <c r="C32" s="1267"/>
      <c r="D32" s="1267"/>
      <c r="E32" s="1267"/>
      <c r="F32" s="1267"/>
      <c r="G32" s="1267"/>
      <c r="H32" s="1267"/>
      <c r="I32" s="1267"/>
      <c r="J32" s="1267"/>
      <c r="K32" s="1267"/>
      <c r="L32" s="1267"/>
      <c r="M32" s="1267"/>
      <c r="N32" s="1267"/>
      <c r="O32" s="1267"/>
      <c r="P32" s="1267"/>
      <c r="Q32" s="1267"/>
      <c r="R32" s="1267"/>
      <c r="S32" s="1267"/>
      <c r="T32" s="1267"/>
      <c r="U32" s="1267"/>
      <c r="V32" s="1267"/>
      <c r="W32" s="1267"/>
      <c r="X32" s="1267"/>
      <c r="Y32" s="1267"/>
      <c r="Z32" s="1267"/>
      <c r="AA32" s="1267"/>
      <c r="AB32" s="1267"/>
      <c r="AC32" s="1267"/>
      <c r="AD32" s="1267"/>
      <c r="AE32" s="1267"/>
      <c r="AF32" s="1267"/>
      <c r="AG32" s="1267"/>
      <c r="AH32" s="1267"/>
      <c r="AI32" s="1267"/>
      <c r="AJ32" s="1267"/>
      <c r="AK32" s="1267"/>
      <c r="AL32" s="1267"/>
      <c r="AM32" s="1267"/>
      <c r="AN32" s="1267"/>
      <c r="AO32" s="1267"/>
      <c r="AP32" s="1267"/>
      <c r="AQ32" s="1267"/>
      <c r="AR32" s="1267"/>
      <c r="AS32" s="1267"/>
      <c r="AT32" s="1267"/>
      <c r="AU32" s="1267"/>
    </row>
    <row r="33" spans="1:47">
      <c r="A33" s="1271"/>
      <c r="B33" s="1271"/>
      <c r="C33" s="1522" t="s">
        <v>921</v>
      </c>
      <c r="D33" s="1522"/>
      <c r="E33" s="1522"/>
      <c r="F33" s="1522"/>
      <c r="G33" s="1522"/>
      <c r="H33" s="1522"/>
      <c r="I33" s="1522"/>
      <c r="J33" s="1522"/>
      <c r="K33" s="1522"/>
      <c r="L33" s="1522"/>
      <c r="M33" s="1522"/>
      <c r="N33" s="1522"/>
      <c r="O33" s="1522"/>
      <c r="P33" s="1267"/>
      <c r="Q33" s="1270" t="s">
        <v>947</v>
      </c>
      <c r="R33" s="1267"/>
      <c r="S33" s="1267"/>
      <c r="T33" s="1267"/>
      <c r="U33" s="1267"/>
      <c r="V33" s="1267"/>
      <c r="W33" s="1267"/>
      <c r="X33" s="1267"/>
      <c r="Y33" s="1267"/>
      <c r="Z33" s="1267"/>
      <c r="AA33" s="1267"/>
      <c r="AB33" s="1270" t="s">
        <v>948</v>
      </c>
      <c r="AC33" s="1267"/>
      <c r="AD33" s="1267"/>
      <c r="AE33" s="1267"/>
      <c r="AF33" s="1267"/>
      <c r="AG33" s="1267"/>
      <c r="AH33" s="1267"/>
      <c r="AI33" s="1267"/>
      <c r="AJ33" s="1267"/>
      <c r="AK33" s="1267"/>
      <c r="AL33" s="1267"/>
      <c r="AM33" s="1272" t="s">
        <v>924</v>
      </c>
      <c r="AN33" s="1267"/>
      <c r="AO33" s="1267"/>
      <c r="AP33" s="1267"/>
      <c r="AQ33" s="1267"/>
      <c r="AR33" s="1267"/>
      <c r="AS33" s="1267"/>
      <c r="AT33" s="1267"/>
      <c r="AU33" s="1267"/>
    </row>
    <row r="34" spans="1:47">
      <c r="A34" s="1273" t="s">
        <v>925</v>
      </c>
      <c r="B34" s="1274">
        <v>-100</v>
      </c>
      <c r="C34" s="1273">
        <v>-6</v>
      </c>
      <c r="D34" s="1274">
        <f>(C34+E34)/2</f>
        <v>-5</v>
      </c>
      <c r="E34" s="1273">
        <v>-4</v>
      </c>
      <c r="F34" s="1274">
        <f>(E34+G34)/2</f>
        <v>-3</v>
      </c>
      <c r="G34" s="1273">
        <v>-2</v>
      </c>
      <c r="H34" s="1274">
        <f>(G34+I34)/2</f>
        <v>-1</v>
      </c>
      <c r="I34" s="1273">
        <v>0</v>
      </c>
      <c r="J34" s="1274">
        <f>(I34+K34)/2</f>
        <v>1</v>
      </c>
      <c r="K34" s="1273">
        <v>2</v>
      </c>
      <c r="L34" s="1274">
        <f>(K34+M34)/2</f>
        <v>3</v>
      </c>
      <c r="M34" s="1273">
        <v>4</v>
      </c>
      <c r="N34" s="1274">
        <f>(M34+O34)/2</f>
        <v>5</v>
      </c>
      <c r="O34" s="1273">
        <v>6</v>
      </c>
      <c r="P34" s="1267"/>
      <c r="Q34" s="1273" t="s">
        <v>926</v>
      </c>
      <c r="R34" s="1273" t="s">
        <v>921</v>
      </c>
      <c r="S34" s="1273">
        <v>10</v>
      </c>
      <c r="T34" s="1273">
        <v>20</v>
      </c>
      <c r="U34" s="1273">
        <v>30</v>
      </c>
      <c r="V34" s="1273">
        <v>40</v>
      </c>
      <c r="W34" s="1273">
        <v>50</v>
      </c>
      <c r="X34" s="1273">
        <v>60</v>
      </c>
      <c r="Y34" s="1273">
        <v>70</v>
      </c>
      <c r="Z34" s="1273">
        <v>80</v>
      </c>
      <c r="AA34" s="1267"/>
      <c r="AB34" s="1273" t="s">
        <v>926</v>
      </c>
      <c r="AC34" s="1273" t="s">
        <v>921</v>
      </c>
      <c r="AD34" s="1273">
        <v>10</v>
      </c>
      <c r="AE34" s="1273">
        <v>20</v>
      </c>
      <c r="AF34" s="1273">
        <v>30</v>
      </c>
      <c r="AG34" s="1273">
        <v>40</v>
      </c>
      <c r="AH34" s="1273">
        <v>50</v>
      </c>
      <c r="AI34" s="1273">
        <v>60</v>
      </c>
      <c r="AJ34" s="1273">
        <v>70</v>
      </c>
      <c r="AK34" s="1273">
        <v>80</v>
      </c>
      <c r="AL34" s="1267"/>
      <c r="AM34" s="1273" t="s">
        <v>927</v>
      </c>
      <c r="AN34" s="1273">
        <v>10</v>
      </c>
      <c r="AO34" s="1273">
        <v>20</v>
      </c>
      <c r="AP34" s="1273">
        <v>30</v>
      </c>
      <c r="AQ34" s="1273">
        <v>40</v>
      </c>
      <c r="AR34" s="1273">
        <v>50</v>
      </c>
      <c r="AS34" s="1273">
        <v>60</v>
      </c>
      <c r="AT34" s="1273">
        <v>70</v>
      </c>
      <c r="AU34" s="1273">
        <v>80</v>
      </c>
    </row>
    <row r="35" spans="1:47">
      <c r="A35" s="1275">
        <v>0</v>
      </c>
      <c r="B35" s="1276">
        <f>C35</f>
        <v>0.24199999999999999</v>
      </c>
      <c r="C35" s="1277">
        <v>0.24199999999999999</v>
      </c>
      <c r="D35" s="1276">
        <f>(C35+E35)/2</f>
        <v>0.24199999999999999</v>
      </c>
      <c r="E35" s="1277">
        <v>0.24199999999999999</v>
      </c>
      <c r="F35" s="1276">
        <f>(E35+G35)/2</f>
        <v>0.24199999999999999</v>
      </c>
      <c r="G35" s="1277">
        <v>0.24199999999999999</v>
      </c>
      <c r="H35" s="1276">
        <f>(G35+I35)/2</f>
        <v>0.24199999999999999</v>
      </c>
      <c r="I35" s="1277">
        <v>0.24199999999999999</v>
      </c>
      <c r="J35" s="1276">
        <f>(I35+K35)/2</f>
        <v>0.24199999999999999</v>
      </c>
      <c r="K35" s="1277">
        <v>0.24199999999999999</v>
      </c>
      <c r="L35" s="1276">
        <f>(K35+M35)/2</f>
        <v>0.24199999999999999</v>
      </c>
      <c r="M35" s="1277">
        <v>0.24199999999999999</v>
      </c>
      <c r="N35" s="1276">
        <f>(M35+O35)/2</f>
        <v>0.24199999999999999</v>
      </c>
      <c r="O35" s="1277">
        <v>0.24199999999999999</v>
      </c>
      <c r="P35" s="1267"/>
      <c r="Q35" s="1275" t="s">
        <v>928</v>
      </c>
      <c r="R35" s="1286">
        <f t="shared" ref="R35:R44" si="60">R21</f>
        <v>0</v>
      </c>
      <c r="S35" s="1279">
        <f>HLOOKUP(INT($R35),$B$34:$O$45,3)+(HLOOKUP(INT($R35)+1,$B$34:$O$45,3)-HLOOKUP(INT($R35),$B$34:$O$45,3))*($R35-INT($R35))</f>
        <v>0.57299999999999995</v>
      </c>
      <c r="T35" s="1279">
        <f>HLOOKUP(INT($R35),$B$34:$O$45,4)+(HLOOKUP(INT($R35)+1,$B$34:$O$45,4)-HLOOKUP(INT($R35),$B$34:$O$45,4))*($R35-INT($R35))</f>
        <v>0.745</v>
      </c>
      <c r="U35" s="1279">
        <f>HLOOKUP(INT($R35),$B$34:$O$45,5)+(HLOOKUP(INT($R35)+1,$B$34:$O$45,5)-HLOOKUP(INT($R35),$B$34:$O$45,5))*($R35-INT($R35))</f>
        <v>0.91700000000000004</v>
      </c>
      <c r="V35" s="1279">
        <f>HLOOKUP(INT($R35),$B$34:$O$45,6)+(HLOOKUP(INT($R35)+1,$B$34:$O$45,6)-HLOOKUP(INT($R35),$B$34:$O$45,6))*($R35-INT($R35))</f>
        <v>1</v>
      </c>
      <c r="W35" s="1279">
        <f>HLOOKUP(INT($R35),$B$34:$O$45,7)+(HLOOKUP(INT($R35)+1,$B$34:$O$45,7)-HLOOKUP(INT($R35),$B$34:$O$45,7))*($R35-INT($R35))</f>
        <v>1.089</v>
      </c>
      <c r="X35" s="1279">
        <f>HLOOKUP(INT($R35),$B$34:$O$45,8)+(HLOOKUP(INT($R35)+1,$B$34:$O$45,8)-HLOOKUP(INT($R35),$B$34:$O$45,8))*($R35-INT($R35))</f>
        <v>1.1779999999999999</v>
      </c>
      <c r="Y35" s="1279">
        <f>HLOOKUP(INT($R35),$B$34:$O$45,9)+(HLOOKUP(INT($R35)+1,$B$34:$O$45,9)-HLOOKUP(INT($R35),$B$34:$O$45,9))*($R35-INT($R35))</f>
        <v>1.885</v>
      </c>
      <c r="Z35" s="1279">
        <f>HLOOKUP(INT($R35),$B$34:$O$45,10)+(HLOOKUP(INT($R35)+1,$B$34:$O$45,10)-HLOOKUP(INT($R35),$B$34:$O$45,10))*($R35-INT($R35))</f>
        <v>2.7519999999999998</v>
      </c>
      <c r="AA35" s="1267"/>
      <c r="AB35" s="1275" t="s">
        <v>928</v>
      </c>
      <c r="AC35" s="1286">
        <f t="shared" ref="AC35:AC44" si="61">AC21</f>
        <v>1.784</v>
      </c>
      <c r="AD35" s="1279">
        <f>HLOOKUP(INT($AC35),$B$34:$O$45,3)+(HLOOKUP(INT($AC35)+1,$B$34:$O$45,3)-HLOOKUP(INT($AC35),$B$34:$O$45,3))*($AC35-INT($AC35))</f>
        <v>0.70412399999999997</v>
      </c>
      <c r="AE35" s="1279">
        <f>HLOOKUP(INT($AC35),$B$34:$O$45,4)+(HLOOKUP(INT($AC35)+1,$B$34:$O$45,4)-HLOOKUP(INT($AC35),$B$34:$O$45,4))*($AC35-INT($AC35))</f>
        <v>0.98405599999999993</v>
      </c>
      <c r="AF35" s="1279">
        <f>HLOOKUP(INT($AC35),$B$34:$O$45,5)+(HLOOKUP(INT($AC35)+1,$B$34:$O$45,5)-HLOOKUP(INT($AC35),$B$34:$O$45,5))*($AC35-INT($AC35))</f>
        <v>1.257744</v>
      </c>
      <c r="AG35" s="1279">
        <f>HLOOKUP(INT($AC35),$B$34:$O$45,6)+(HLOOKUP(INT($AC35)+1,$B$34:$O$45,6)-HLOOKUP(INT($AC35),$B$34:$O$45,6))*($AC35-INT($AC35))</f>
        <v>1.460272</v>
      </c>
      <c r="AH35" s="1279">
        <f>HLOOKUP(INT($AC35),$B$34:$O$45,7)+(HLOOKUP(INT($AC35)+1,$B$34:$O$45,7)-HLOOKUP(INT($AC35),$B$34:$O$45,7))*($AC35-INT($AC35))</f>
        <v>1.6625559999999999</v>
      </c>
      <c r="AI35" s="1279">
        <f>HLOOKUP(INT($AC35),$B$34:$O$45,8)+(HLOOKUP(INT($AC35)+1,$B$34:$O$45,8)-HLOOKUP(INT($AC35),$B$34:$O$45,8))*($AC35-INT($AC35))</f>
        <v>2.2805120000000003</v>
      </c>
      <c r="AJ35" s="1279">
        <f>HLOOKUP(INT($AC35),$B$34:$O$45,9)+(HLOOKUP(INT($AC35)+1,$B$34:$O$45,9)-HLOOKUP(INT($AC35),$B$34:$O$45,9))*($AC35-INT($AC35))</f>
        <v>2.9652120000000002</v>
      </c>
      <c r="AK35" s="1279">
        <f>HLOOKUP(INT($AC35),$B$34:$O$45,10)+(HLOOKUP(INT($AC35)+1,$B$34:$O$45,10)-HLOOKUP(INT($AC35),$B$34:$O$45,10))*($AC35-INT($AC35))</f>
        <v>4.5921960000000004</v>
      </c>
      <c r="AL35" s="1267"/>
      <c r="AM35" s="1280" t="s">
        <v>921</v>
      </c>
      <c r="AN35" s="1278">
        <f>R44</f>
        <v>0</v>
      </c>
      <c r="AO35" s="1281">
        <f>AN35</f>
        <v>0</v>
      </c>
      <c r="AP35" s="1281">
        <f t="shared" ref="AP35:AU35" si="62">AO35</f>
        <v>0</v>
      </c>
      <c r="AQ35" s="1281">
        <f t="shared" si="62"/>
        <v>0</v>
      </c>
      <c r="AR35" s="1281">
        <f t="shared" si="62"/>
        <v>0</v>
      </c>
      <c r="AS35" s="1281">
        <f t="shared" si="62"/>
        <v>0</v>
      </c>
      <c r="AT35" s="1281">
        <f t="shared" si="62"/>
        <v>0</v>
      </c>
      <c r="AU35" s="1281">
        <f t="shared" si="62"/>
        <v>0</v>
      </c>
    </row>
    <row r="36" spans="1:47">
      <c r="A36" s="1282">
        <v>10</v>
      </c>
      <c r="B36" s="1283">
        <f t="shared" ref="B36:B45" si="63">C36</f>
        <v>0.33100000000000002</v>
      </c>
      <c r="C36" s="1284">
        <v>0.33100000000000002</v>
      </c>
      <c r="D36" s="1283">
        <f t="shared" ref="D36:D45" si="64">(C36+E36)/2</f>
        <v>0.35650000000000004</v>
      </c>
      <c r="E36" s="1284">
        <v>0.38200000000000001</v>
      </c>
      <c r="F36" s="1283">
        <f t="shared" ref="F36:F45" si="65">(E36+G36)/2</f>
        <v>0.42349999999999999</v>
      </c>
      <c r="G36" s="1284">
        <v>0.46500000000000002</v>
      </c>
      <c r="H36" s="1283">
        <f t="shared" ref="H36:H45" si="66">(G36+I36)/2</f>
        <v>0.51900000000000002</v>
      </c>
      <c r="I36" s="1284">
        <v>0.57299999999999995</v>
      </c>
      <c r="J36" s="1283">
        <f t="shared" ref="J36:J45" si="67">(I36+K36)/2</f>
        <v>0.64649999999999996</v>
      </c>
      <c r="K36" s="1284">
        <v>0.72</v>
      </c>
      <c r="L36" s="1283">
        <f t="shared" ref="L36:L45" si="68">(K36+M36)/2</f>
        <v>0.79649999999999999</v>
      </c>
      <c r="M36" s="1284">
        <v>0.873</v>
      </c>
      <c r="N36" s="1283">
        <f t="shared" ref="N36:N45" si="69">(M36+O36)/2</f>
        <v>0.94599999999999995</v>
      </c>
      <c r="O36" s="1284">
        <v>1.0189999999999999</v>
      </c>
      <c r="P36" s="1267"/>
      <c r="Q36" s="1275" t="s">
        <v>3</v>
      </c>
      <c r="R36" s="1286">
        <f t="shared" si="60"/>
        <v>0</v>
      </c>
      <c r="S36" s="1279">
        <f t="shared" ref="S36:S44" si="70">HLOOKUP(INT($R36),$B$34:$O$45,3)+(HLOOKUP(INT($R36)+1,$B$34:$O$45,3)-HLOOKUP(INT($R36),$B$34:$O$45,3))*($R36-INT($R36))</f>
        <v>0.57299999999999995</v>
      </c>
      <c r="T36" s="1279">
        <f t="shared" ref="T36:T44" si="71">HLOOKUP(INT($R36),$B$34:$O$45,4)+(HLOOKUP(INT($R36)+1,$B$34:$O$45,4)-HLOOKUP(INT($R36),$B$34:$O$45,4))*($R36-INT($R36))</f>
        <v>0.745</v>
      </c>
      <c r="U36" s="1279">
        <f t="shared" ref="U36:U44" si="72">HLOOKUP(INT($R36),$B$34:$O$45,5)+(HLOOKUP(INT($R36)+1,$B$34:$O$45,5)-HLOOKUP(INT($R36),$B$34:$O$45,5))*($R36-INT($R36))</f>
        <v>0.91700000000000004</v>
      </c>
      <c r="V36" s="1279">
        <f t="shared" ref="V36:V44" si="73">HLOOKUP(INT($R36),$B$34:$O$45,6)+(HLOOKUP(INT($R36)+1,$B$34:$O$45,6)-HLOOKUP(INT($R36),$B$34:$O$45,6))*($R36-INT($R36))</f>
        <v>1</v>
      </c>
      <c r="W36" s="1279">
        <f t="shared" ref="W36:W44" si="74">HLOOKUP(INT($R36),$B$34:$O$45,7)+(HLOOKUP(INT($R36)+1,$B$34:$O$45,7)-HLOOKUP(INT($R36),$B$34:$O$45,7))*($R36-INT($R36))</f>
        <v>1.089</v>
      </c>
      <c r="X36" s="1279">
        <f t="shared" ref="X36:X44" si="75">HLOOKUP(INT($R36),$B$34:$O$45,8)+(HLOOKUP(INT($R36)+1,$B$34:$O$45,8)-HLOOKUP(INT($R36),$B$34:$O$45,8))*($R36-INT($R36))</f>
        <v>1.1779999999999999</v>
      </c>
      <c r="Y36" s="1279">
        <f t="shared" ref="Y36:Y44" si="76">HLOOKUP(INT($R36),$B$34:$O$45,9)+(HLOOKUP(INT($R36)+1,$B$34:$O$45,9)-HLOOKUP(INT($R36),$B$34:$O$45,9))*($R36-INT($R36))</f>
        <v>1.885</v>
      </c>
      <c r="Z36" s="1279">
        <f t="shared" ref="Z36:Z44" si="77">HLOOKUP(INT($R36),$B$34:$O$45,10)+(HLOOKUP(INT($R36)+1,$B$34:$O$45,10)-HLOOKUP(INT($R36),$B$34:$O$45,10))*($R36-INT($R36))</f>
        <v>2.7519999999999998</v>
      </c>
      <c r="AA36" s="1267"/>
      <c r="AB36" s="1275" t="s">
        <v>3</v>
      </c>
      <c r="AC36" s="1286">
        <f t="shared" si="61"/>
        <v>0</v>
      </c>
      <c r="AD36" s="1279">
        <f t="shared" ref="AD36:AD44" si="78">HLOOKUP(INT($AC36),$B$34:$O$45,3)+(HLOOKUP(INT($AC36)+1,$B$34:$O$45,3)-HLOOKUP(INT($AC36),$B$34:$O$45,3))*($AC36-INT($AC36))</f>
        <v>0.57299999999999995</v>
      </c>
      <c r="AE36" s="1279">
        <f t="shared" ref="AE36:AE44" si="79">HLOOKUP(INT($AC36),$B$34:$O$45,4)+(HLOOKUP(INT($AC36)+1,$B$34:$O$45,4)-HLOOKUP(INT($AC36),$B$34:$O$45,4))*($AC36-INT($AC36))</f>
        <v>0.745</v>
      </c>
      <c r="AF36" s="1279">
        <f t="shared" ref="AF36:AF44" si="80">HLOOKUP(INT($AC36),$B$34:$O$45,5)+(HLOOKUP(INT($AC36)+1,$B$34:$O$45,5)-HLOOKUP(INT($AC36),$B$34:$O$45,5))*($AC36-INT($AC36))</f>
        <v>0.91700000000000004</v>
      </c>
      <c r="AG36" s="1279">
        <f t="shared" ref="AG36:AG44" si="81">HLOOKUP(INT($AC36),$B$34:$O$45,6)+(HLOOKUP(INT($AC36)+1,$B$34:$O$45,6)-HLOOKUP(INT($AC36),$B$34:$O$45,6))*($AC36-INT($AC36))</f>
        <v>1</v>
      </c>
      <c r="AH36" s="1279">
        <f t="shared" ref="AH36:AH44" si="82">HLOOKUP(INT($AC36),$B$34:$O$45,7)+(HLOOKUP(INT($AC36)+1,$B$34:$O$45,7)-HLOOKUP(INT($AC36),$B$34:$O$45,7))*($AC36-INT($AC36))</f>
        <v>1.089</v>
      </c>
      <c r="AI36" s="1279">
        <f t="shared" ref="AI36:AI44" si="83">HLOOKUP(INT($AC36),$B$34:$O$45,8)+(HLOOKUP(INT($AC36)+1,$B$34:$O$45,8)-HLOOKUP(INT($AC36),$B$34:$O$45,8))*($AC36-INT($AC36))</f>
        <v>1.1779999999999999</v>
      </c>
      <c r="AJ36" s="1279">
        <f t="shared" ref="AJ36:AJ44" si="84">HLOOKUP(INT($AC36),$B$34:$O$45,9)+(HLOOKUP(INT($AC36)+1,$B$34:$O$45,9)-HLOOKUP(INT($AC36),$B$34:$O$45,9))*($AC36-INT($AC36))</f>
        <v>1.885</v>
      </c>
      <c r="AK36" s="1279">
        <f t="shared" ref="AK36:AK44" si="85">HLOOKUP(INT($AC36),$B$34:$O$45,10)+(HLOOKUP(INT($AC36)+1,$B$34:$O$45,10)-HLOOKUP(INT($AC36),$B$34:$O$45,10))*($AC36-INT($AC36))</f>
        <v>2.7519999999999998</v>
      </c>
      <c r="AL36" s="1267"/>
      <c r="AM36" s="1267" t="s">
        <v>902</v>
      </c>
      <c r="AN36" s="1279">
        <f t="shared" ref="AN36:AU36" si="86">AN39+(AN41-AN39)*(AN35-AN38)</f>
        <v>0.57299999999999995</v>
      </c>
      <c r="AO36" s="1279">
        <f t="shared" si="86"/>
        <v>0.745</v>
      </c>
      <c r="AP36" s="1279">
        <f t="shared" si="86"/>
        <v>0.91700000000000004</v>
      </c>
      <c r="AQ36" s="1279">
        <f t="shared" si="86"/>
        <v>1</v>
      </c>
      <c r="AR36" s="1279">
        <f t="shared" si="86"/>
        <v>1.089</v>
      </c>
      <c r="AS36" s="1279">
        <f t="shared" si="86"/>
        <v>1.1779999999999999</v>
      </c>
      <c r="AT36" s="1279">
        <f t="shared" si="86"/>
        <v>1.885</v>
      </c>
      <c r="AU36" s="1279">
        <f t="shared" si="86"/>
        <v>2.7519999999999998</v>
      </c>
    </row>
    <row r="37" spans="1:47">
      <c r="A37" s="1282">
        <v>20</v>
      </c>
      <c r="B37" s="1283">
        <f t="shared" si="63"/>
        <v>0.33800000000000002</v>
      </c>
      <c r="C37" s="1284">
        <v>0.33800000000000002</v>
      </c>
      <c r="D37" s="1283">
        <f t="shared" si="64"/>
        <v>0.379</v>
      </c>
      <c r="E37" s="1284">
        <v>0.42</v>
      </c>
      <c r="F37" s="1283">
        <f t="shared" si="65"/>
        <v>0.48699999999999999</v>
      </c>
      <c r="G37" s="1284">
        <v>0.55400000000000005</v>
      </c>
      <c r="H37" s="1283">
        <f t="shared" si="66"/>
        <v>0.64949999999999997</v>
      </c>
      <c r="I37" s="1284">
        <v>0.745</v>
      </c>
      <c r="J37" s="1283">
        <f t="shared" si="67"/>
        <v>0.879</v>
      </c>
      <c r="K37" s="1284">
        <v>1.0129999999999999</v>
      </c>
      <c r="L37" s="1283">
        <f t="shared" si="68"/>
        <v>1.3885000000000001</v>
      </c>
      <c r="M37" s="1284">
        <v>1.764</v>
      </c>
      <c r="N37" s="1283">
        <f t="shared" si="69"/>
        <v>1.9935</v>
      </c>
      <c r="O37" s="1284">
        <v>2.2229999999999999</v>
      </c>
      <c r="P37" s="1267"/>
      <c r="Q37" s="1275" t="s">
        <v>878</v>
      </c>
      <c r="R37" s="1286">
        <f t="shared" si="60"/>
        <v>0</v>
      </c>
      <c r="S37" s="1279">
        <f t="shared" si="70"/>
        <v>0.57299999999999995</v>
      </c>
      <c r="T37" s="1279">
        <f t="shared" si="71"/>
        <v>0.745</v>
      </c>
      <c r="U37" s="1279">
        <f t="shared" si="72"/>
        <v>0.91700000000000004</v>
      </c>
      <c r="V37" s="1279">
        <f t="shared" si="73"/>
        <v>1</v>
      </c>
      <c r="W37" s="1279">
        <f t="shared" si="74"/>
        <v>1.089</v>
      </c>
      <c r="X37" s="1279">
        <f t="shared" si="75"/>
        <v>1.1779999999999999</v>
      </c>
      <c r="Y37" s="1279">
        <f t="shared" si="76"/>
        <v>1.885</v>
      </c>
      <c r="Z37" s="1279">
        <f t="shared" si="77"/>
        <v>2.7519999999999998</v>
      </c>
      <c r="AA37" s="1267"/>
      <c r="AB37" s="1275" t="s">
        <v>878</v>
      </c>
      <c r="AC37" s="1286">
        <f t="shared" si="61"/>
        <v>0</v>
      </c>
      <c r="AD37" s="1279">
        <f t="shared" si="78"/>
        <v>0.57299999999999995</v>
      </c>
      <c r="AE37" s="1279">
        <f t="shared" si="79"/>
        <v>0.745</v>
      </c>
      <c r="AF37" s="1279">
        <f t="shared" si="80"/>
        <v>0.91700000000000004</v>
      </c>
      <c r="AG37" s="1279">
        <f t="shared" si="81"/>
        <v>1</v>
      </c>
      <c r="AH37" s="1279">
        <f t="shared" si="82"/>
        <v>1.089</v>
      </c>
      <c r="AI37" s="1279">
        <f t="shared" si="83"/>
        <v>1.1779999999999999</v>
      </c>
      <c r="AJ37" s="1279">
        <f t="shared" si="84"/>
        <v>1.885</v>
      </c>
      <c r="AK37" s="1279">
        <f t="shared" si="85"/>
        <v>2.7519999999999998</v>
      </c>
      <c r="AL37" s="1267"/>
      <c r="AM37" s="1267"/>
      <c r="AN37" s="1275"/>
      <c r="AO37" s="1275"/>
      <c r="AP37" s="1275"/>
      <c r="AQ37" s="1275"/>
      <c r="AR37" s="1275"/>
      <c r="AS37" s="1275"/>
      <c r="AT37" s="1275"/>
      <c r="AU37" s="1275"/>
    </row>
    <row r="38" spans="1:47">
      <c r="A38" s="1282">
        <v>30</v>
      </c>
      <c r="B38" s="1283">
        <f t="shared" si="63"/>
        <v>0.34399999999999997</v>
      </c>
      <c r="C38" s="1284">
        <v>0.34399999999999997</v>
      </c>
      <c r="D38" s="1283">
        <f t="shared" si="64"/>
        <v>0.40149999999999997</v>
      </c>
      <c r="E38" s="1284">
        <v>0.45900000000000002</v>
      </c>
      <c r="F38" s="1283">
        <f t="shared" si="65"/>
        <v>0.55100000000000005</v>
      </c>
      <c r="G38" s="1284">
        <v>0.64300000000000002</v>
      </c>
      <c r="H38" s="1283">
        <f t="shared" si="66"/>
        <v>0.78</v>
      </c>
      <c r="I38" s="1284">
        <v>0.91700000000000004</v>
      </c>
      <c r="J38" s="1283">
        <f t="shared" si="67"/>
        <v>1.1080000000000001</v>
      </c>
      <c r="K38" s="1284">
        <v>1.2989999999999999</v>
      </c>
      <c r="L38" s="1283">
        <f t="shared" si="68"/>
        <v>1.7324999999999999</v>
      </c>
      <c r="M38" s="1284">
        <v>2.1659999999999999</v>
      </c>
      <c r="N38" s="1283">
        <f t="shared" si="69"/>
        <v>2.5034999999999998</v>
      </c>
      <c r="O38" s="1284">
        <v>2.8410000000000002</v>
      </c>
      <c r="P38" s="1267"/>
      <c r="Q38" s="1275" t="s">
        <v>879</v>
      </c>
      <c r="R38" s="1286">
        <f t="shared" si="60"/>
        <v>0</v>
      </c>
      <c r="S38" s="1279">
        <f t="shared" si="70"/>
        <v>0.57299999999999995</v>
      </c>
      <c r="T38" s="1279">
        <f t="shared" si="71"/>
        <v>0.745</v>
      </c>
      <c r="U38" s="1279">
        <f t="shared" si="72"/>
        <v>0.91700000000000004</v>
      </c>
      <c r="V38" s="1279">
        <f t="shared" si="73"/>
        <v>1</v>
      </c>
      <c r="W38" s="1279">
        <f t="shared" si="74"/>
        <v>1.089</v>
      </c>
      <c r="X38" s="1279">
        <f t="shared" si="75"/>
        <v>1.1779999999999999</v>
      </c>
      <c r="Y38" s="1279">
        <f t="shared" si="76"/>
        <v>1.885</v>
      </c>
      <c r="Z38" s="1279">
        <f t="shared" si="77"/>
        <v>2.7519999999999998</v>
      </c>
      <c r="AA38" s="1267"/>
      <c r="AB38" s="1275" t="s">
        <v>879</v>
      </c>
      <c r="AC38" s="1286">
        <f t="shared" si="61"/>
        <v>0</v>
      </c>
      <c r="AD38" s="1279">
        <f t="shared" si="78"/>
        <v>0.57299999999999995</v>
      </c>
      <c r="AE38" s="1279">
        <f t="shared" si="79"/>
        <v>0.745</v>
      </c>
      <c r="AF38" s="1279">
        <f t="shared" si="80"/>
        <v>0.91700000000000004</v>
      </c>
      <c r="AG38" s="1279">
        <f t="shared" si="81"/>
        <v>1</v>
      </c>
      <c r="AH38" s="1279">
        <f t="shared" si="82"/>
        <v>1.089</v>
      </c>
      <c r="AI38" s="1279">
        <f t="shared" si="83"/>
        <v>1.1779999999999999</v>
      </c>
      <c r="AJ38" s="1279">
        <f t="shared" si="84"/>
        <v>1.885</v>
      </c>
      <c r="AK38" s="1279">
        <f t="shared" si="85"/>
        <v>2.7519999999999998</v>
      </c>
      <c r="AL38" s="1267"/>
      <c r="AM38" s="1285" t="s">
        <v>903</v>
      </c>
      <c r="AN38" s="1286">
        <f>INT(AN35)</f>
        <v>0</v>
      </c>
      <c r="AO38" s="1286">
        <f t="shared" ref="AO38:AU38" si="87">INT(AO35)</f>
        <v>0</v>
      </c>
      <c r="AP38" s="1286">
        <f t="shared" si="87"/>
        <v>0</v>
      </c>
      <c r="AQ38" s="1286">
        <f t="shared" si="87"/>
        <v>0</v>
      </c>
      <c r="AR38" s="1286">
        <f t="shared" si="87"/>
        <v>0</v>
      </c>
      <c r="AS38" s="1286">
        <f t="shared" si="87"/>
        <v>0</v>
      </c>
      <c r="AT38" s="1286">
        <f t="shared" si="87"/>
        <v>0</v>
      </c>
      <c r="AU38" s="1286">
        <f t="shared" si="87"/>
        <v>0</v>
      </c>
    </row>
    <row r="39" spans="1:47">
      <c r="A39" s="1287">
        <v>40</v>
      </c>
      <c r="B39" s="1288">
        <f t="shared" si="63"/>
        <v>0.312</v>
      </c>
      <c r="C39" s="1289">
        <v>0.312</v>
      </c>
      <c r="D39" s="1288">
        <f t="shared" si="64"/>
        <v>0.3755</v>
      </c>
      <c r="E39" s="1289">
        <v>0.439</v>
      </c>
      <c r="F39" s="1288">
        <f t="shared" si="65"/>
        <v>0.54449999999999998</v>
      </c>
      <c r="G39" s="1289">
        <v>0.65</v>
      </c>
      <c r="H39" s="1288">
        <f t="shared" si="66"/>
        <v>0.82499999999999996</v>
      </c>
      <c r="I39" s="1289">
        <v>1</v>
      </c>
      <c r="J39" s="1288">
        <f t="shared" si="67"/>
        <v>1.258</v>
      </c>
      <c r="K39" s="1289">
        <v>1.516</v>
      </c>
      <c r="L39" s="1288">
        <f t="shared" si="68"/>
        <v>2.0385</v>
      </c>
      <c r="M39" s="1289">
        <v>2.5609999999999999</v>
      </c>
      <c r="N39" s="1288">
        <f t="shared" si="69"/>
        <v>3.01</v>
      </c>
      <c r="O39" s="1289">
        <v>3.4590000000000001</v>
      </c>
      <c r="P39" s="1267"/>
      <c r="Q39" s="1275" t="s">
        <v>881</v>
      </c>
      <c r="R39" s="1286">
        <f t="shared" si="60"/>
        <v>0</v>
      </c>
      <c r="S39" s="1279">
        <f t="shared" si="70"/>
        <v>0.57299999999999995</v>
      </c>
      <c r="T39" s="1279">
        <f t="shared" si="71"/>
        <v>0.745</v>
      </c>
      <c r="U39" s="1279">
        <f t="shared" si="72"/>
        <v>0.91700000000000004</v>
      </c>
      <c r="V39" s="1279">
        <f t="shared" si="73"/>
        <v>1</v>
      </c>
      <c r="W39" s="1279">
        <f t="shared" si="74"/>
        <v>1.089</v>
      </c>
      <c r="X39" s="1279">
        <f t="shared" si="75"/>
        <v>1.1779999999999999</v>
      </c>
      <c r="Y39" s="1279">
        <f t="shared" si="76"/>
        <v>1.885</v>
      </c>
      <c r="Z39" s="1279">
        <f t="shared" si="77"/>
        <v>2.7519999999999998</v>
      </c>
      <c r="AA39" s="1267"/>
      <c r="AB39" s="1275" t="s">
        <v>881</v>
      </c>
      <c r="AC39" s="1286">
        <f t="shared" si="61"/>
        <v>0</v>
      </c>
      <c r="AD39" s="1279">
        <f t="shared" si="78"/>
        <v>0.57299999999999995</v>
      </c>
      <c r="AE39" s="1279">
        <f t="shared" si="79"/>
        <v>0.745</v>
      </c>
      <c r="AF39" s="1279">
        <f t="shared" si="80"/>
        <v>0.91700000000000004</v>
      </c>
      <c r="AG39" s="1279">
        <f t="shared" si="81"/>
        <v>1</v>
      </c>
      <c r="AH39" s="1279">
        <f t="shared" si="82"/>
        <v>1.089</v>
      </c>
      <c r="AI39" s="1279">
        <f t="shared" si="83"/>
        <v>1.1779999999999999</v>
      </c>
      <c r="AJ39" s="1279">
        <f t="shared" si="84"/>
        <v>1.885</v>
      </c>
      <c r="AK39" s="1279">
        <f t="shared" si="85"/>
        <v>2.7519999999999998</v>
      </c>
      <c r="AL39" s="1267"/>
      <c r="AM39" s="1285" t="s">
        <v>943</v>
      </c>
      <c r="AN39" s="1290">
        <f t="shared" ref="AN39:AU39" si="88">HLOOKUP(AN38,$B$34:$O$45,AN42)</f>
        <v>0.57299999999999995</v>
      </c>
      <c r="AO39" s="1290">
        <f t="shared" si="88"/>
        <v>0.745</v>
      </c>
      <c r="AP39" s="1290">
        <f t="shared" si="88"/>
        <v>0.91700000000000004</v>
      </c>
      <c r="AQ39" s="1290">
        <f t="shared" si="88"/>
        <v>1</v>
      </c>
      <c r="AR39" s="1290">
        <f t="shared" si="88"/>
        <v>1.089</v>
      </c>
      <c r="AS39" s="1290">
        <f t="shared" si="88"/>
        <v>1.1779999999999999</v>
      </c>
      <c r="AT39" s="1290">
        <f t="shared" si="88"/>
        <v>1.885</v>
      </c>
      <c r="AU39" s="1290">
        <f t="shared" si="88"/>
        <v>2.7519999999999998</v>
      </c>
    </row>
    <row r="40" spans="1:47">
      <c r="A40" s="1287">
        <v>50</v>
      </c>
      <c r="B40" s="1288">
        <f t="shared" si="63"/>
        <v>0.28699999999999998</v>
      </c>
      <c r="C40" s="1289">
        <v>0.28699999999999998</v>
      </c>
      <c r="D40" s="1288">
        <f t="shared" si="64"/>
        <v>0.35049999999999998</v>
      </c>
      <c r="E40" s="1289">
        <v>0.41399999999999998</v>
      </c>
      <c r="F40" s="1288">
        <f t="shared" si="65"/>
        <v>0.53800000000000003</v>
      </c>
      <c r="G40" s="1289">
        <v>0.66200000000000003</v>
      </c>
      <c r="H40" s="1288">
        <f t="shared" si="66"/>
        <v>0.87549999999999994</v>
      </c>
      <c r="I40" s="1289">
        <v>1.089</v>
      </c>
      <c r="J40" s="1288">
        <f t="shared" si="67"/>
        <v>1.4104999999999999</v>
      </c>
      <c r="K40" s="1289">
        <v>1.732</v>
      </c>
      <c r="L40" s="1288">
        <f t="shared" si="68"/>
        <v>2.1844999999999999</v>
      </c>
      <c r="M40" s="1289">
        <v>2.637</v>
      </c>
      <c r="N40" s="1288">
        <f t="shared" si="69"/>
        <v>3.1844999999999999</v>
      </c>
      <c r="O40" s="1289">
        <v>3.7320000000000002</v>
      </c>
      <c r="P40" s="1267"/>
      <c r="Q40" s="1275" t="s">
        <v>883</v>
      </c>
      <c r="R40" s="1286">
        <f t="shared" si="60"/>
        <v>0</v>
      </c>
      <c r="S40" s="1279">
        <f t="shared" si="70"/>
        <v>0.57299999999999995</v>
      </c>
      <c r="T40" s="1279">
        <f t="shared" si="71"/>
        <v>0.745</v>
      </c>
      <c r="U40" s="1279">
        <f t="shared" si="72"/>
        <v>0.91700000000000004</v>
      </c>
      <c r="V40" s="1279">
        <f t="shared" si="73"/>
        <v>1</v>
      </c>
      <c r="W40" s="1279">
        <f t="shared" si="74"/>
        <v>1.089</v>
      </c>
      <c r="X40" s="1279">
        <f t="shared" si="75"/>
        <v>1.1779999999999999</v>
      </c>
      <c r="Y40" s="1279">
        <f t="shared" si="76"/>
        <v>1.885</v>
      </c>
      <c r="Z40" s="1279">
        <f t="shared" si="77"/>
        <v>2.7519999999999998</v>
      </c>
      <c r="AA40" s="1267"/>
      <c r="AB40" s="1275" t="s">
        <v>883</v>
      </c>
      <c r="AC40" s="1286">
        <f t="shared" si="61"/>
        <v>0</v>
      </c>
      <c r="AD40" s="1279">
        <f t="shared" si="78"/>
        <v>0.57299999999999995</v>
      </c>
      <c r="AE40" s="1279">
        <f t="shared" si="79"/>
        <v>0.745</v>
      </c>
      <c r="AF40" s="1279">
        <f t="shared" si="80"/>
        <v>0.91700000000000004</v>
      </c>
      <c r="AG40" s="1279">
        <f t="shared" si="81"/>
        <v>1</v>
      </c>
      <c r="AH40" s="1279">
        <f t="shared" si="82"/>
        <v>1.089</v>
      </c>
      <c r="AI40" s="1279">
        <f t="shared" si="83"/>
        <v>1.1779999999999999</v>
      </c>
      <c r="AJ40" s="1279">
        <f t="shared" si="84"/>
        <v>1.885</v>
      </c>
      <c r="AK40" s="1279">
        <f t="shared" si="85"/>
        <v>2.7519999999999998</v>
      </c>
      <c r="AL40" s="1267"/>
      <c r="AM40" s="1285" t="s">
        <v>944</v>
      </c>
      <c r="AN40" s="1286">
        <f>AN38+1</f>
        <v>1</v>
      </c>
      <c r="AO40" s="1286">
        <f t="shared" ref="AO40:AU40" si="89">AO38+1</f>
        <v>1</v>
      </c>
      <c r="AP40" s="1286">
        <f t="shared" si="89"/>
        <v>1</v>
      </c>
      <c r="AQ40" s="1286">
        <f t="shared" si="89"/>
        <v>1</v>
      </c>
      <c r="AR40" s="1286">
        <f t="shared" si="89"/>
        <v>1</v>
      </c>
      <c r="AS40" s="1286">
        <f t="shared" si="89"/>
        <v>1</v>
      </c>
      <c r="AT40" s="1286">
        <f t="shared" si="89"/>
        <v>1</v>
      </c>
      <c r="AU40" s="1286">
        <f t="shared" si="89"/>
        <v>1</v>
      </c>
    </row>
    <row r="41" spans="1:47">
      <c r="A41" s="1287">
        <v>60</v>
      </c>
      <c r="B41" s="1288">
        <f t="shared" si="63"/>
        <v>0.255</v>
      </c>
      <c r="C41" s="1289">
        <v>0.255</v>
      </c>
      <c r="D41" s="1288">
        <f t="shared" si="64"/>
        <v>0.3725</v>
      </c>
      <c r="E41" s="1289">
        <v>0.49</v>
      </c>
      <c r="F41" s="1288">
        <f t="shared" si="65"/>
        <v>0.58600000000000008</v>
      </c>
      <c r="G41" s="1289">
        <v>0.68200000000000005</v>
      </c>
      <c r="H41" s="1288">
        <f t="shared" si="66"/>
        <v>0.92999999999999994</v>
      </c>
      <c r="I41" s="1289">
        <v>1.1779999999999999</v>
      </c>
      <c r="J41" s="1288">
        <f t="shared" si="67"/>
        <v>1.796</v>
      </c>
      <c r="K41" s="1289">
        <v>2.4140000000000001</v>
      </c>
      <c r="L41" s="1288">
        <f t="shared" si="68"/>
        <v>3.0380000000000003</v>
      </c>
      <c r="M41" s="1289">
        <v>3.6619999999999999</v>
      </c>
      <c r="N41" s="1288">
        <f t="shared" si="69"/>
        <v>4.4264999999999999</v>
      </c>
      <c r="O41" s="1289">
        <v>5.1909999999999998</v>
      </c>
      <c r="P41" s="1267"/>
      <c r="Q41" s="1275" t="s">
        <v>885</v>
      </c>
      <c r="R41" s="1286">
        <f t="shared" si="60"/>
        <v>0</v>
      </c>
      <c r="S41" s="1279">
        <f t="shared" si="70"/>
        <v>0.57299999999999995</v>
      </c>
      <c r="T41" s="1279">
        <f t="shared" si="71"/>
        <v>0.745</v>
      </c>
      <c r="U41" s="1279">
        <f t="shared" si="72"/>
        <v>0.91700000000000004</v>
      </c>
      <c r="V41" s="1279">
        <f t="shared" si="73"/>
        <v>1</v>
      </c>
      <c r="W41" s="1279">
        <f t="shared" si="74"/>
        <v>1.089</v>
      </c>
      <c r="X41" s="1279">
        <f t="shared" si="75"/>
        <v>1.1779999999999999</v>
      </c>
      <c r="Y41" s="1279">
        <f t="shared" si="76"/>
        <v>1.885</v>
      </c>
      <c r="Z41" s="1279">
        <f t="shared" si="77"/>
        <v>2.7519999999999998</v>
      </c>
      <c r="AA41" s="1267"/>
      <c r="AB41" s="1275" t="s">
        <v>885</v>
      </c>
      <c r="AC41" s="1286">
        <f t="shared" si="61"/>
        <v>0</v>
      </c>
      <c r="AD41" s="1279">
        <f t="shared" si="78"/>
        <v>0.57299999999999995</v>
      </c>
      <c r="AE41" s="1279">
        <f t="shared" si="79"/>
        <v>0.745</v>
      </c>
      <c r="AF41" s="1279">
        <f t="shared" si="80"/>
        <v>0.91700000000000004</v>
      </c>
      <c r="AG41" s="1279">
        <f t="shared" si="81"/>
        <v>1</v>
      </c>
      <c r="AH41" s="1279">
        <f t="shared" si="82"/>
        <v>1.089</v>
      </c>
      <c r="AI41" s="1279">
        <f t="shared" si="83"/>
        <v>1.1779999999999999</v>
      </c>
      <c r="AJ41" s="1279">
        <f t="shared" si="84"/>
        <v>1.885</v>
      </c>
      <c r="AK41" s="1279">
        <f t="shared" si="85"/>
        <v>2.7519999999999998</v>
      </c>
      <c r="AL41" s="1267"/>
      <c r="AM41" s="1285" t="s">
        <v>949</v>
      </c>
      <c r="AN41" s="1290">
        <f t="shared" ref="AN41:AU41" si="90">HLOOKUP(AN40,$B$34:$O$45,AN42)</f>
        <v>0.64649999999999996</v>
      </c>
      <c r="AO41" s="1290">
        <f t="shared" si="90"/>
        <v>0.879</v>
      </c>
      <c r="AP41" s="1290">
        <f t="shared" si="90"/>
        <v>1.1080000000000001</v>
      </c>
      <c r="AQ41" s="1290">
        <f t="shared" si="90"/>
        <v>1.258</v>
      </c>
      <c r="AR41" s="1290">
        <f t="shared" si="90"/>
        <v>1.4104999999999999</v>
      </c>
      <c r="AS41" s="1290">
        <f t="shared" si="90"/>
        <v>1.796</v>
      </c>
      <c r="AT41" s="1290">
        <f t="shared" si="90"/>
        <v>2.4904999999999999</v>
      </c>
      <c r="AU41" s="1290">
        <f t="shared" si="90"/>
        <v>3.7835000000000001</v>
      </c>
    </row>
    <row r="42" spans="1:47">
      <c r="A42" s="1282">
        <v>70</v>
      </c>
      <c r="B42" s="1283">
        <f t="shared" si="63"/>
        <v>0.28699999999999998</v>
      </c>
      <c r="C42" s="1284">
        <v>0.28699999999999998</v>
      </c>
      <c r="D42" s="1283">
        <f t="shared" si="64"/>
        <v>0.42999999999999994</v>
      </c>
      <c r="E42" s="1284">
        <v>0.57299999999999995</v>
      </c>
      <c r="F42" s="1283">
        <f t="shared" si="65"/>
        <v>0.81499999999999995</v>
      </c>
      <c r="G42" s="1284">
        <v>1.0569999999999999</v>
      </c>
      <c r="H42" s="1283">
        <f t="shared" si="66"/>
        <v>1.4710000000000001</v>
      </c>
      <c r="I42" s="1284">
        <v>1.885</v>
      </c>
      <c r="J42" s="1283">
        <f t="shared" si="67"/>
        <v>2.4904999999999999</v>
      </c>
      <c r="K42" s="1284">
        <v>3.0960000000000001</v>
      </c>
      <c r="L42" s="1283">
        <f t="shared" si="68"/>
        <v>3.8919999999999999</v>
      </c>
      <c r="M42" s="1284">
        <v>4.6879999999999997</v>
      </c>
      <c r="N42" s="1283">
        <f t="shared" si="69"/>
        <v>5.6690000000000005</v>
      </c>
      <c r="O42" s="1284">
        <v>6.65</v>
      </c>
      <c r="P42" s="1267"/>
      <c r="Q42" s="1275" t="s">
        <v>887</v>
      </c>
      <c r="R42" s="1286">
        <f t="shared" si="60"/>
        <v>0</v>
      </c>
      <c r="S42" s="1279">
        <f t="shared" si="70"/>
        <v>0.57299999999999995</v>
      </c>
      <c r="T42" s="1279">
        <f t="shared" si="71"/>
        <v>0.745</v>
      </c>
      <c r="U42" s="1279">
        <f t="shared" si="72"/>
        <v>0.91700000000000004</v>
      </c>
      <c r="V42" s="1279">
        <f t="shared" si="73"/>
        <v>1</v>
      </c>
      <c r="W42" s="1279">
        <f t="shared" si="74"/>
        <v>1.089</v>
      </c>
      <c r="X42" s="1279">
        <f t="shared" si="75"/>
        <v>1.1779999999999999</v>
      </c>
      <c r="Y42" s="1279">
        <f t="shared" si="76"/>
        <v>1.885</v>
      </c>
      <c r="Z42" s="1279">
        <f t="shared" si="77"/>
        <v>2.7519999999999998</v>
      </c>
      <c r="AA42" s="1267"/>
      <c r="AB42" s="1275" t="s">
        <v>887</v>
      </c>
      <c r="AC42" s="1286">
        <f t="shared" si="61"/>
        <v>0</v>
      </c>
      <c r="AD42" s="1279">
        <f t="shared" si="78"/>
        <v>0.57299999999999995</v>
      </c>
      <c r="AE42" s="1279">
        <f t="shared" si="79"/>
        <v>0.745</v>
      </c>
      <c r="AF42" s="1279">
        <f t="shared" si="80"/>
        <v>0.91700000000000004</v>
      </c>
      <c r="AG42" s="1279">
        <f t="shared" si="81"/>
        <v>1</v>
      </c>
      <c r="AH42" s="1279">
        <f t="shared" si="82"/>
        <v>1.089</v>
      </c>
      <c r="AI42" s="1279">
        <f t="shared" si="83"/>
        <v>1.1779999999999999</v>
      </c>
      <c r="AJ42" s="1279">
        <f t="shared" si="84"/>
        <v>1.885</v>
      </c>
      <c r="AK42" s="1279">
        <f t="shared" si="85"/>
        <v>2.7519999999999998</v>
      </c>
      <c r="AL42" s="1267"/>
      <c r="AM42" s="1267"/>
      <c r="AN42" s="1275">
        <v>3</v>
      </c>
      <c r="AO42" s="1275">
        <v>4</v>
      </c>
      <c r="AP42" s="1275">
        <v>5</v>
      </c>
      <c r="AQ42" s="1275">
        <v>6</v>
      </c>
      <c r="AR42" s="1275">
        <v>7</v>
      </c>
      <c r="AS42" s="1275">
        <v>8</v>
      </c>
      <c r="AT42" s="1275">
        <v>9</v>
      </c>
      <c r="AU42" s="1275">
        <v>10</v>
      </c>
    </row>
    <row r="43" spans="1:47">
      <c r="A43" s="1282">
        <v>80</v>
      </c>
      <c r="B43" s="1283">
        <f t="shared" si="63"/>
        <v>0.312</v>
      </c>
      <c r="C43" s="1284">
        <v>0.312</v>
      </c>
      <c r="D43" s="1283">
        <f t="shared" si="64"/>
        <v>0.45550000000000002</v>
      </c>
      <c r="E43" s="1284">
        <v>0.59899999999999998</v>
      </c>
      <c r="F43" s="1283">
        <f t="shared" si="65"/>
        <v>0.9365</v>
      </c>
      <c r="G43" s="1284">
        <v>1.274</v>
      </c>
      <c r="H43" s="1283">
        <f t="shared" si="66"/>
        <v>2.0129999999999999</v>
      </c>
      <c r="I43" s="1284">
        <v>2.7519999999999998</v>
      </c>
      <c r="J43" s="1283">
        <f t="shared" si="67"/>
        <v>3.7835000000000001</v>
      </c>
      <c r="K43" s="1284">
        <v>4.8150000000000004</v>
      </c>
      <c r="L43" s="1283">
        <f t="shared" si="68"/>
        <v>5.8659999999999997</v>
      </c>
      <c r="M43" s="1284">
        <v>6.9169999999999998</v>
      </c>
      <c r="N43" s="1283">
        <f t="shared" si="69"/>
        <v>8.1144999999999996</v>
      </c>
      <c r="O43" s="1284">
        <v>9.3119999999999994</v>
      </c>
      <c r="P43" s="1267"/>
      <c r="Q43" s="1275" t="s">
        <v>888</v>
      </c>
      <c r="R43" s="1286">
        <f t="shared" si="60"/>
        <v>0</v>
      </c>
      <c r="S43" s="1279">
        <f t="shared" si="70"/>
        <v>0.57299999999999995</v>
      </c>
      <c r="T43" s="1279">
        <f t="shared" si="71"/>
        <v>0.745</v>
      </c>
      <c r="U43" s="1279">
        <f t="shared" si="72"/>
        <v>0.91700000000000004</v>
      </c>
      <c r="V43" s="1279">
        <f t="shared" si="73"/>
        <v>1</v>
      </c>
      <c r="W43" s="1279">
        <f t="shared" si="74"/>
        <v>1.089</v>
      </c>
      <c r="X43" s="1279">
        <f t="shared" si="75"/>
        <v>1.1779999999999999</v>
      </c>
      <c r="Y43" s="1279">
        <f t="shared" si="76"/>
        <v>1.885</v>
      </c>
      <c r="Z43" s="1279">
        <f t="shared" si="77"/>
        <v>2.7519999999999998</v>
      </c>
      <c r="AA43" s="1267"/>
      <c r="AB43" s="1275" t="s">
        <v>888</v>
      </c>
      <c r="AC43" s="1286">
        <f t="shared" si="61"/>
        <v>0</v>
      </c>
      <c r="AD43" s="1279">
        <f t="shared" si="78"/>
        <v>0.57299999999999995</v>
      </c>
      <c r="AE43" s="1279">
        <f t="shared" si="79"/>
        <v>0.745</v>
      </c>
      <c r="AF43" s="1279">
        <f t="shared" si="80"/>
        <v>0.91700000000000004</v>
      </c>
      <c r="AG43" s="1279">
        <f t="shared" si="81"/>
        <v>1</v>
      </c>
      <c r="AH43" s="1279">
        <f t="shared" si="82"/>
        <v>1.089</v>
      </c>
      <c r="AI43" s="1279">
        <f t="shared" si="83"/>
        <v>1.1779999999999999</v>
      </c>
      <c r="AJ43" s="1279">
        <f t="shared" si="84"/>
        <v>1.885</v>
      </c>
      <c r="AK43" s="1279">
        <f t="shared" si="85"/>
        <v>2.7519999999999998</v>
      </c>
      <c r="AL43" s="1267"/>
      <c r="AM43" s="1267"/>
      <c r="AN43" s="1267"/>
      <c r="AO43" s="1267"/>
      <c r="AP43" s="1267"/>
      <c r="AQ43" s="1267"/>
      <c r="AR43" s="1267"/>
      <c r="AS43" s="1267"/>
      <c r="AT43" s="1267"/>
      <c r="AU43" s="1267"/>
    </row>
    <row r="44" spans="1:47">
      <c r="A44" s="1275">
        <v>90</v>
      </c>
      <c r="B44" s="1276">
        <f t="shared" si="63"/>
        <v>0.54100000000000004</v>
      </c>
      <c r="C44" s="1277">
        <v>0.54100000000000004</v>
      </c>
      <c r="D44" s="1276">
        <f t="shared" si="64"/>
        <v>0.77350000000000008</v>
      </c>
      <c r="E44" s="1277">
        <v>1.006</v>
      </c>
      <c r="F44" s="1276">
        <f t="shared" si="65"/>
        <v>1.4710000000000001</v>
      </c>
      <c r="G44" s="1277">
        <v>1.9359999999999999</v>
      </c>
      <c r="H44" s="1276">
        <f t="shared" si="66"/>
        <v>2.8149999999999999</v>
      </c>
      <c r="I44" s="1277">
        <v>3.694</v>
      </c>
      <c r="J44" s="1276">
        <f t="shared" si="67"/>
        <v>5.1080000000000005</v>
      </c>
      <c r="K44" s="1277">
        <v>6.5220000000000002</v>
      </c>
      <c r="L44" s="1276">
        <f t="shared" si="68"/>
        <v>7.8754999999999997</v>
      </c>
      <c r="M44" s="1277">
        <v>9.2289999999999992</v>
      </c>
      <c r="N44" s="1276">
        <f t="shared" si="69"/>
        <v>10.404499999999999</v>
      </c>
      <c r="O44" s="1277">
        <v>11.58</v>
      </c>
      <c r="P44" s="1267"/>
      <c r="Q44" s="1275" t="s">
        <v>889</v>
      </c>
      <c r="R44" s="1286">
        <f t="shared" si="60"/>
        <v>0</v>
      </c>
      <c r="S44" s="1279">
        <f t="shared" si="70"/>
        <v>0.57299999999999995</v>
      </c>
      <c r="T44" s="1279">
        <f t="shared" si="71"/>
        <v>0.745</v>
      </c>
      <c r="U44" s="1279">
        <f t="shared" si="72"/>
        <v>0.91700000000000004</v>
      </c>
      <c r="V44" s="1279">
        <f t="shared" si="73"/>
        <v>1</v>
      </c>
      <c r="W44" s="1279">
        <f t="shared" si="74"/>
        <v>1.089</v>
      </c>
      <c r="X44" s="1279">
        <f t="shared" si="75"/>
        <v>1.1779999999999999</v>
      </c>
      <c r="Y44" s="1279">
        <f t="shared" si="76"/>
        <v>1.885</v>
      </c>
      <c r="Z44" s="1279">
        <f t="shared" si="77"/>
        <v>2.7519999999999998</v>
      </c>
      <c r="AA44" s="1267"/>
      <c r="AB44" s="1275" t="s">
        <v>889</v>
      </c>
      <c r="AC44" s="1286">
        <f t="shared" si="61"/>
        <v>0</v>
      </c>
      <c r="AD44" s="1279">
        <f t="shared" si="78"/>
        <v>0.57299999999999995</v>
      </c>
      <c r="AE44" s="1279">
        <f t="shared" si="79"/>
        <v>0.745</v>
      </c>
      <c r="AF44" s="1279">
        <f t="shared" si="80"/>
        <v>0.91700000000000004</v>
      </c>
      <c r="AG44" s="1279">
        <f t="shared" si="81"/>
        <v>1</v>
      </c>
      <c r="AH44" s="1279">
        <f t="shared" si="82"/>
        <v>1.089</v>
      </c>
      <c r="AI44" s="1279">
        <f t="shared" si="83"/>
        <v>1.1779999999999999</v>
      </c>
      <c r="AJ44" s="1279">
        <f t="shared" si="84"/>
        <v>1.885</v>
      </c>
      <c r="AK44" s="1279">
        <f t="shared" si="85"/>
        <v>2.7519999999999998</v>
      </c>
      <c r="AL44" s="1267"/>
      <c r="AM44" s="1267"/>
      <c r="AN44" s="1267"/>
      <c r="AO44" s="1267"/>
      <c r="AP44" s="1267"/>
      <c r="AQ44" s="1267"/>
      <c r="AR44" s="1267"/>
      <c r="AS44" s="1267"/>
      <c r="AT44" s="1267"/>
      <c r="AU44" s="1267"/>
    </row>
    <row r="45" spans="1:47">
      <c r="A45" s="1275">
        <v>100</v>
      </c>
      <c r="B45" s="1276">
        <f t="shared" si="63"/>
        <v>0.77700000000000002</v>
      </c>
      <c r="C45" s="1277">
        <v>0.77700000000000002</v>
      </c>
      <c r="D45" s="1276">
        <f t="shared" si="64"/>
        <v>1.1465000000000001</v>
      </c>
      <c r="E45" s="1277">
        <v>1.516</v>
      </c>
      <c r="F45" s="1276">
        <f t="shared" si="65"/>
        <v>2.1305000000000001</v>
      </c>
      <c r="G45" s="1277">
        <v>2.7450000000000001</v>
      </c>
      <c r="H45" s="1276">
        <f t="shared" si="66"/>
        <v>3.8025000000000002</v>
      </c>
      <c r="I45" s="1277">
        <v>4.8600000000000003</v>
      </c>
      <c r="J45" s="1276">
        <f t="shared" si="67"/>
        <v>6.3215000000000003</v>
      </c>
      <c r="K45" s="1277">
        <v>7.7830000000000004</v>
      </c>
      <c r="L45" s="1276">
        <f t="shared" si="68"/>
        <v>9.293000000000001</v>
      </c>
      <c r="M45" s="1277">
        <v>10.803000000000001</v>
      </c>
      <c r="N45" s="1276">
        <f t="shared" si="69"/>
        <v>12.105499999999999</v>
      </c>
      <c r="O45" s="1277">
        <v>13.407999999999999</v>
      </c>
      <c r="P45" s="1267"/>
      <c r="Q45" s="1267"/>
      <c r="R45" s="1267"/>
      <c r="S45" s="1267"/>
      <c r="T45" s="1267"/>
      <c r="U45" s="1267"/>
      <c r="V45" s="1267"/>
      <c r="W45" s="1267"/>
      <c r="X45" s="1267"/>
      <c r="Y45" s="1267"/>
      <c r="Z45" s="1267"/>
      <c r="AA45" s="1267"/>
      <c r="AB45" s="1267"/>
      <c r="AC45" s="1267"/>
      <c r="AD45" s="1267"/>
      <c r="AE45" s="1267"/>
      <c r="AF45" s="1267"/>
      <c r="AG45" s="1267"/>
      <c r="AH45" s="1267"/>
      <c r="AI45" s="1267"/>
      <c r="AJ45" s="1267"/>
      <c r="AK45" s="1267"/>
      <c r="AL45" s="1267"/>
      <c r="AM45" s="1267"/>
      <c r="AN45" s="1267"/>
      <c r="AO45" s="1267"/>
      <c r="AP45" s="1267"/>
      <c r="AQ45" s="1267"/>
      <c r="AR45" s="1267"/>
      <c r="AS45" s="1267"/>
      <c r="AT45" s="1267"/>
      <c r="AU45" s="1267"/>
    </row>
    <row r="46" spans="1:47">
      <c r="A46" s="1270" t="s">
        <v>950</v>
      </c>
      <c r="B46" s="1267"/>
      <c r="C46" s="1267"/>
      <c r="D46" s="1267"/>
      <c r="E46" s="1267"/>
      <c r="F46" s="1267"/>
      <c r="G46" s="1267"/>
      <c r="H46" s="1267"/>
      <c r="I46" s="1267"/>
      <c r="J46" s="1267"/>
      <c r="K46" s="1267"/>
      <c r="L46" s="1267"/>
      <c r="M46" s="1267"/>
      <c r="N46" s="1267"/>
      <c r="O46" s="1267"/>
      <c r="P46" s="1267"/>
      <c r="Q46" s="1267"/>
      <c r="R46" s="1267"/>
      <c r="S46" s="1267"/>
      <c r="T46" s="1267"/>
      <c r="U46" s="1267"/>
      <c r="V46" s="1267"/>
      <c r="W46" s="1267"/>
      <c r="X46" s="1267"/>
      <c r="Y46" s="1267"/>
      <c r="Z46" s="1267"/>
      <c r="AA46" s="1267"/>
      <c r="AB46" s="1267"/>
      <c r="AC46" s="1267"/>
      <c r="AD46" s="1267"/>
      <c r="AE46" s="1267"/>
      <c r="AF46" s="1267"/>
      <c r="AG46" s="1267"/>
      <c r="AH46" s="1267"/>
      <c r="AI46" s="1267"/>
      <c r="AJ46" s="1267"/>
      <c r="AK46" s="1267"/>
      <c r="AL46" s="1267"/>
      <c r="AM46" s="1267"/>
      <c r="AN46" s="1267"/>
      <c r="AO46" s="1267"/>
      <c r="AP46" s="1267"/>
      <c r="AQ46" s="1267"/>
      <c r="AR46" s="1267"/>
      <c r="AS46" s="1267"/>
      <c r="AT46" s="1267"/>
      <c r="AU46" s="1267"/>
    </row>
    <row r="47" spans="1:47">
      <c r="A47" s="1271"/>
      <c r="B47" s="1271"/>
      <c r="C47" s="1522" t="s">
        <v>951</v>
      </c>
      <c r="D47" s="1522"/>
      <c r="E47" s="1522"/>
      <c r="F47" s="1522"/>
      <c r="G47" s="1522"/>
      <c r="H47" s="1522"/>
      <c r="I47" s="1522"/>
      <c r="J47" s="1522"/>
      <c r="K47" s="1522"/>
      <c r="L47" s="1522"/>
      <c r="M47" s="1522"/>
      <c r="N47" s="1522"/>
      <c r="O47" s="1522"/>
      <c r="P47" s="1267"/>
      <c r="Q47" s="1270" t="s">
        <v>952</v>
      </c>
      <c r="R47" s="1267"/>
      <c r="S47" s="1267"/>
      <c r="T47" s="1267"/>
      <c r="U47" s="1267"/>
      <c r="V47" s="1267"/>
      <c r="W47" s="1267"/>
      <c r="X47" s="1267"/>
      <c r="Y47" s="1267"/>
      <c r="Z47" s="1267"/>
      <c r="AA47" s="1267"/>
      <c r="AB47" s="1270" t="s">
        <v>953</v>
      </c>
      <c r="AC47" s="1267"/>
      <c r="AD47" s="1267"/>
      <c r="AE47" s="1267"/>
      <c r="AF47" s="1267"/>
      <c r="AG47" s="1267"/>
      <c r="AH47" s="1267"/>
      <c r="AI47" s="1267"/>
      <c r="AJ47" s="1267"/>
      <c r="AK47" s="1267"/>
      <c r="AL47" s="1267"/>
      <c r="AM47" s="1272" t="s">
        <v>954</v>
      </c>
      <c r="AN47" s="1267"/>
      <c r="AO47" s="1267"/>
      <c r="AP47" s="1267"/>
      <c r="AQ47" s="1267"/>
      <c r="AR47" s="1267"/>
      <c r="AS47" s="1267"/>
      <c r="AT47" s="1267"/>
      <c r="AU47" s="1267"/>
    </row>
    <row r="48" spans="1:47">
      <c r="A48" s="1273" t="s">
        <v>955</v>
      </c>
      <c r="B48" s="1274">
        <v>-100</v>
      </c>
      <c r="C48" s="1273">
        <v>-6</v>
      </c>
      <c r="D48" s="1274">
        <f>(C48+E48)/2</f>
        <v>-5</v>
      </c>
      <c r="E48" s="1273">
        <v>-4</v>
      </c>
      <c r="F48" s="1274">
        <f>(E48+G48)/2</f>
        <v>-3</v>
      </c>
      <c r="G48" s="1273">
        <v>-2</v>
      </c>
      <c r="H48" s="1274">
        <f>(G48+I48)/2</f>
        <v>-1</v>
      </c>
      <c r="I48" s="1273">
        <v>0</v>
      </c>
      <c r="J48" s="1274">
        <f>(I48+K48)/2</f>
        <v>1</v>
      </c>
      <c r="K48" s="1273">
        <v>2</v>
      </c>
      <c r="L48" s="1274">
        <f>(K48+M48)/2</f>
        <v>3</v>
      </c>
      <c r="M48" s="1273">
        <v>4</v>
      </c>
      <c r="N48" s="1274">
        <f>(M48+O48)/2</f>
        <v>5</v>
      </c>
      <c r="O48" s="1273">
        <v>6</v>
      </c>
      <c r="P48" s="1267"/>
      <c r="Q48" s="1273" t="s">
        <v>956</v>
      </c>
      <c r="R48" s="1273" t="s">
        <v>951</v>
      </c>
      <c r="S48" s="1273">
        <v>10</v>
      </c>
      <c r="T48" s="1273">
        <v>20</v>
      </c>
      <c r="U48" s="1273">
        <v>30</v>
      </c>
      <c r="V48" s="1273">
        <v>40</v>
      </c>
      <c r="W48" s="1273">
        <v>50</v>
      </c>
      <c r="X48" s="1273">
        <v>60</v>
      </c>
      <c r="Y48" s="1273">
        <v>70</v>
      </c>
      <c r="Z48" s="1273">
        <v>80</v>
      </c>
      <c r="AA48" s="1267"/>
      <c r="AB48" s="1273" t="s">
        <v>956</v>
      </c>
      <c r="AC48" s="1273" t="s">
        <v>951</v>
      </c>
      <c r="AD48" s="1273">
        <v>10</v>
      </c>
      <c r="AE48" s="1273">
        <v>20</v>
      </c>
      <c r="AF48" s="1273">
        <v>30</v>
      </c>
      <c r="AG48" s="1273">
        <v>40</v>
      </c>
      <c r="AH48" s="1273">
        <v>50</v>
      </c>
      <c r="AI48" s="1273">
        <v>60</v>
      </c>
      <c r="AJ48" s="1273">
        <v>70</v>
      </c>
      <c r="AK48" s="1273">
        <v>80</v>
      </c>
      <c r="AL48" s="1267"/>
      <c r="AM48" s="1273" t="s">
        <v>957</v>
      </c>
      <c r="AN48" s="1273">
        <v>10</v>
      </c>
      <c r="AO48" s="1273">
        <v>20</v>
      </c>
      <c r="AP48" s="1273">
        <v>30</v>
      </c>
      <c r="AQ48" s="1273">
        <v>40</v>
      </c>
      <c r="AR48" s="1273">
        <v>50</v>
      </c>
      <c r="AS48" s="1273">
        <v>60</v>
      </c>
      <c r="AT48" s="1273">
        <v>70</v>
      </c>
      <c r="AU48" s="1273">
        <v>80</v>
      </c>
    </row>
    <row r="49" spans="1:47">
      <c r="A49" s="1275">
        <v>0</v>
      </c>
      <c r="B49" s="1276">
        <f>C49</f>
        <v>0.13700000000000001</v>
      </c>
      <c r="C49" s="1277">
        <v>0.13700000000000001</v>
      </c>
      <c r="D49" s="1276">
        <f>(C49+E49)/2</f>
        <v>0.13700000000000001</v>
      </c>
      <c r="E49" s="1277">
        <v>0.13700000000000001</v>
      </c>
      <c r="F49" s="1276">
        <f>(E49+G49)/2</f>
        <v>0.13700000000000001</v>
      </c>
      <c r="G49" s="1277">
        <v>0.13700000000000001</v>
      </c>
      <c r="H49" s="1276">
        <f>(G49+I49)/2</f>
        <v>0.13700000000000001</v>
      </c>
      <c r="I49" s="1277">
        <v>0.13700000000000001</v>
      </c>
      <c r="J49" s="1276">
        <f>(I49+K49)/2</f>
        <v>0.13700000000000001</v>
      </c>
      <c r="K49" s="1277">
        <v>0.13700000000000001</v>
      </c>
      <c r="L49" s="1276">
        <f>(K49+M49)/2</f>
        <v>0.13700000000000001</v>
      </c>
      <c r="M49" s="1277">
        <v>0.13700000000000001</v>
      </c>
      <c r="N49" s="1276">
        <f>(M49+O49)/2</f>
        <v>0.13700000000000001</v>
      </c>
      <c r="O49" s="1277">
        <v>0.13700000000000001</v>
      </c>
      <c r="P49" s="1267"/>
      <c r="Q49" s="1275" t="s">
        <v>928</v>
      </c>
      <c r="R49" s="1286">
        <f t="shared" ref="R49:R58" si="91">R35</f>
        <v>0</v>
      </c>
      <c r="S49" s="1279">
        <f>HLOOKUP(INT($R49),$B$48:$O$59,3)+(HLOOKUP(INT($R49)+1,$B$48:$O$59,3)-HLOOKUP(INT($R49),$B$48:$O$59,3))*($R49-INT($R49))</f>
        <v>0.82099999999999995</v>
      </c>
      <c r="T49" s="1279">
        <f>HLOOKUP(INT($R49),$B$48:$O$59,4)+(HLOOKUP(INT($R49)+1,$B$48:$O$59,4)-HLOOKUP(INT($R49),$B$48:$O$59,4))*($R49-INT($R49))</f>
        <v>0.84199999999999997</v>
      </c>
      <c r="U49" s="1279">
        <f>HLOOKUP(INT($R49),$B$48:$O$59,5)+(HLOOKUP(INT($R49)+1,$B$48:$O$59,5)-HLOOKUP(INT($R49),$B$48:$O$59,5))*($R49-INT($R49))</f>
        <v>0.88</v>
      </c>
      <c r="V49" s="1279">
        <f>HLOOKUP(INT($R49),$B$48:$O$59,6)+(HLOOKUP(INT($R49)+1,$B$48:$O$59,6)-HLOOKUP(INT($R49),$B$48:$O$59,6))*($R49-INT($R49))</f>
        <v>1</v>
      </c>
      <c r="W49" s="1279">
        <f>HLOOKUP(INT($R49),$B$48:$O$59,7)+(HLOOKUP(INT($R49)+1,$B$48:$O$59,7)-HLOOKUP(INT($R49),$B$48:$O$59,7))*($R49-INT($R49))</f>
        <v>1.0620000000000001</v>
      </c>
      <c r="X49" s="1279">
        <f>HLOOKUP(INT($R49),$B$48:$O$59,8)+(HLOOKUP(INT($R49)+1,$B$48:$O$59,8)-HLOOKUP(INT($R49),$B$48:$O$59,8))*($R49-INT($R49))</f>
        <v>1.167</v>
      </c>
      <c r="Y49" s="1279">
        <f>HLOOKUP(INT($R49),$B$48:$O$59,9)+(HLOOKUP(INT($R49)+1,$B$48:$O$59,9)-HLOOKUP(INT($R49),$B$48:$O$59,9))*($R49-INT($R49))</f>
        <v>1.2729999999999999</v>
      </c>
      <c r="Z49" s="1279">
        <f>HLOOKUP(INT($R49),$B$48:$O$59,10)+(HLOOKUP(INT($R49)+1,$B$48:$O$59,10)-HLOOKUP(INT($R49),$B$48:$O$59,10))*($R49-INT($R49))</f>
        <v>1.3779999999999999</v>
      </c>
      <c r="AA49" s="1267"/>
      <c r="AB49" s="1275" t="s">
        <v>928</v>
      </c>
      <c r="AC49" s="1286">
        <f t="shared" ref="AC49:AC58" si="92">AC35</f>
        <v>1.784</v>
      </c>
      <c r="AD49" s="1279">
        <f>HLOOKUP(INT($AC49),$B$48:$O$59,3)+(HLOOKUP(INT($AC49)+1,$B$48:$O$59,3)-HLOOKUP(INT($AC49),$B$48:$O$59,3))*($AC49-INT($AC49))</f>
        <v>0.87362799999999996</v>
      </c>
      <c r="AE49" s="1279">
        <f>HLOOKUP(INT($AC49),$B$48:$O$59,4)+(HLOOKUP(INT($AC49)+1,$B$48:$O$59,4)-HLOOKUP(INT($AC49),$B$48:$O$59,4))*($AC49-INT($AC49))</f>
        <v>0.9276319999999999</v>
      </c>
      <c r="AF49" s="1279">
        <f>HLOOKUP(INT($AC49),$B$48:$O$59,5)+(HLOOKUP(INT($AC49)+1,$B$48:$O$59,5)-HLOOKUP(INT($AC49),$B$48:$O$59,5))*($AC49-INT($AC49))</f>
        <v>0.96830799999999995</v>
      </c>
      <c r="AG49" s="1279">
        <f>HLOOKUP(INT($AC49),$B$48:$O$59,6)+(HLOOKUP(INT($AC49)+1,$B$48:$O$59,6)-HLOOKUP(INT($AC49),$B$48:$O$59,6))*($AC49-INT($AC49))</f>
        <v>1.1177439999999998</v>
      </c>
      <c r="AH49" s="1279">
        <f>HLOOKUP(INT($AC49),$B$48:$O$59,7)+(HLOOKUP(INT($AC49)+1,$B$48:$O$59,7)-HLOOKUP(INT($AC49),$B$48:$O$59,7))*($AC49-INT($AC49))</f>
        <v>1.2145320000000002</v>
      </c>
      <c r="AI49" s="1279">
        <f>HLOOKUP(INT($AC49),$B$48:$O$59,8)+(HLOOKUP(INT($AC49)+1,$B$48:$O$59,8)-HLOOKUP(INT($AC49),$B$48:$O$59,8))*($AC49-INT($AC49))</f>
        <v>1.6674120000000001</v>
      </c>
      <c r="AJ49" s="1279">
        <f>HLOOKUP(INT($AC49),$B$48:$O$59,9)+(HLOOKUP(INT($AC49)+1,$B$48:$O$59,9)-HLOOKUP(INT($AC49),$B$48:$O$59,9))*($AC49-INT($AC49))</f>
        <v>2.1212920000000004</v>
      </c>
      <c r="AK49" s="1279">
        <f>HLOOKUP(INT($AC49),$B$48:$O$59,10)+(HLOOKUP(INT($AC49)+1,$B$48:$O$59,10)-HLOOKUP(INT($AC49),$B$48:$O$59,10))*($AC49-INT($AC49))</f>
        <v>2.5759560000000001</v>
      </c>
      <c r="AL49" s="1267"/>
      <c r="AM49" s="1280" t="s">
        <v>942</v>
      </c>
      <c r="AN49" s="1278">
        <f>R58</f>
        <v>0</v>
      </c>
      <c r="AO49" s="1281">
        <f>AN49</f>
        <v>0</v>
      </c>
      <c r="AP49" s="1281">
        <f t="shared" ref="AP49:AU49" si="93">AO49</f>
        <v>0</v>
      </c>
      <c r="AQ49" s="1281">
        <f t="shared" si="93"/>
        <v>0</v>
      </c>
      <c r="AR49" s="1281">
        <f t="shared" si="93"/>
        <v>0</v>
      </c>
      <c r="AS49" s="1281">
        <f t="shared" si="93"/>
        <v>0</v>
      </c>
      <c r="AT49" s="1281">
        <f t="shared" si="93"/>
        <v>0</v>
      </c>
      <c r="AU49" s="1281">
        <f t="shared" si="93"/>
        <v>0</v>
      </c>
    </row>
    <row r="50" spans="1:47">
      <c r="A50" s="1282">
        <v>10</v>
      </c>
      <c r="B50" s="1283">
        <f t="shared" ref="B50:B59" si="94">C50</f>
        <v>0.51500000000000001</v>
      </c>
      <c r="C50" s="1284">
        <v>0.51500000000000001</v>
      </c>
      <c r="D50" s="1283">
        <f t="shared" ref="D50:D59" si="95">(C50+E50)/2</f>
        <v>0.56950000000000001</v>
      </c>
      <c r="E50" s="1284">
        <v>0.624</v>
      </c>
      <c r="F50" s="1283">
        <f t="shared" ref="F50:F59" si="96">(E50+G50)/2</f>
        <v>0.67849999999999999</v>
      </c>
      <c r="G50" s="1284">
        <v>0.73299999999999998</v>
      </c>
      <c r="H50" s="1283">
        <f t="shared" ref="H50:H59" si="97">(G50+I50)/2</f>
        <v>0.77699999999999991</v>
      </c>
      <c r="I50" s="1284">
        <v>0.82099999999999995</v>
      </c>
      <c r="J50" s="1283">
        <f t="shared" ref="J50:J59" si="98">(I50+K50)/2</f>
        <v>0.85050000000000003</v>
      </c>
      <c r="K50" s="1284">
        <v>0.88</v>
      </c>
      <c r="L50" s="1283">
        <f t="shared" ref="L50:L59" si="99">(K50+M50)/2</f>
        <v>0.90700000000000003</v>
      </c>
      <c r="M50" s="1284">
        <v>0.93400000000000005</v>
      </c>
      <c r="N50" s="1283">
        <f t="shared" ref="N50:N59" si="100">(M50+O50)/2</f>
        <v>0.96</v>
      </c>
      <c r="O50" s="1284">
        <v>0.98599999999999999</v>
      </c>
      <c r="P50" s="1267"/>
      <c r="Q50" s="1275" t="s">
        <v>3</v>
      </c>
      <c r="R50" s="1286">
        <f t="shared" si="91"/>
        <v>0</v>
      </c>
      <c r="S50" s="1279">
        <f t="shared" ref="S50:S58" si="101">HLOOKUP(INT($R50),$B$48:$O$59,3)+(HLOOKUP(INT($R50)+1,$B$48:$O$59,3)-HLOOKUP(INT($R50),$B$48:$O$59,3))*($R50-INT($R50))</f>
        <v>0.82099999999999995</v>
      </c>
      <c r="T50" s="1279">
        <f t="shared" ref="T50:T58" si="102">HLOOKUP(INT($R50),$B$48:$O$59,4)+(HLOOKUP(INT($R50)+1,$B$48:$O$59,4)-HLOOKUP(INT($R50),$B$48:$O$59,4))*($R50-INT($R50))</f>
        <v>0.84199999999999997</v>
      </c>
      <c r="U50" s="1279">
        <f t="shared" ref="U50:U58" si="103">HLOOKUP(INT($R50),$B$48:$O$59,5)+(HLOOKUP(INT($R50)+1,$B$48:$O$59,5)-HLOOKUP(INT($R50),$B$48:$O$59,5))*($R50-INT($R50))</f>
        <v>0.88</v>
      </c>
      <c r="V50" s="1279">
        <f t="shared" ref="V50:V58" si="104">HLOOKUP(INT($R50),$B$48:$O$59,6)+(HLOOKUP(INT($R50)+1,$B$48:$O$59,6)-HLOOKUP(INT($R50),$B$48:$O$59,6))*($R50-INT($R50))</f>
        <v>1</v>
      </c>
      <c r="W50" s="1279">
        <f t="shared" ref="W50:W58" si="105">HLOOKUP(INT($R50),$B$48:$O$59,7)+(HLOOKUP(INT($R50)+1,$B$48:$O$59,7)-HLOOKUP(INT($R50),$B$48:$O$59,7))*($R50-INT($R50))</f>
        <v>1.0620000000000001</v>
      </c>
      <c r="X50" s="1279">
        <f t="shared" ref="X50:X58" si="106">HLOOKUP(INT($R50),$B$48:$O$59,8)+(HLOOKUP(INT($R50)+1,$B$48:$O$59,8)-HLOOKUP(INT($R50),$B$48:$O$59,8))*($R50-INT($R50))</f>
        <v>1.167</v>
      </c>
      <c r="Y50" s="1279">
        <f t="shared" ref="Y50:Y58" si="107">HLOOKUP(INT($R50),$B$48:$O$59,9)+(HLOOKUP(INT($R50)+1,$B$48:$O$59,9)-HLOOKUP(INT($R50),$B$48:$O$59,9))*($R50-INT($R50))</f>
        <v>1.2729999999999999</v>
      </c>
      <c r="Z50" s="1279">
        <f t="shared" ref="Z50:Z58" si="108">HLOOKUP(INT($R50),$B$48:$O$59,10)+(HLOOKUP(INT($R50)+1,$B$48:$O$59,10)-HLOOKUP(INT($R50),$B$48:$O$59,10))*($R50-INT($R50))</f>
        <v>1.3779999999999999</v>
      </c>
      <c r="AA50" s="1267"/>
      <c r="AB50" s="1275" t="s">
        <v>3</v>
      </c>
      <c r="AC50" s="1286">
        <f t="shared" si="92"/>
        <v>0</v>
      </c>
      <c r="AD50" s="1279">
        <f t="shared" ref="AD50:AD58" si="109">HLOOKUP(INT($AC50),$B$48:$O$59,3)+(HLOOKUP(INT($AC50)+1,$B$48:$O$59,3)-HLOOKUP(INT($AC50),$B$48:$O$59,3))*($AC50-INT($AC50))</f>
        <v>0.82099999999999995</v>
      </c>
      <c r="AE50" s="1279">
        <f t="shared" ref="AE50:AE58" si="110">HLOOKUP(INT($AC50),$B$48:$O$59,4)+(HLOOKUP(INT($AC50)+1,$B$48:$O$59,4)-HLOOKUP(INT($AC50),$B$48:$O$59,4))*($AC50-INT($AC50))</f>
        <v>0.84199999999999997</v>
      </c>
      <c r="AF50" s="1279">
        <f t="shared" ref="AF50:AF58" si="111">HLOOKUP(INT($AC50),$B$48:$O$59,5)+(HLOOKUP(INT($AC50)+1,$B$48:$O$59,5)-HLOOKUP(INT($AC50),$B$48:$O$59,5))*($AC50-INT($AC50))</f>
        <v>0.88</v>
      </c>
      <c r="AG50" s="1279">
        <f t="shared" ref="AG50:AG58" si="112">HLOOKUP(INT($AC50),$B$48:$O$59,6)+(HLOOKUP(INT($AC50)+1,$B$48:$O$59,6)-HLOOKUP(INT($AC50),$B$48:$O$59,6))*($AC50-INT($AC50))</f>
        <v>1</v>
      </c>
      <c r="AH50" s="1279">
        <f t="shared" ref="AH50:AH58" si="113">HLOOKUP(INT($AC50),$B$48:$O$59,7)+(HLOOKUP(INT($AC50)+1,$B$48:$O$59,7)-HLOOKUP(INT($AC50),$B$48:$O$59,7))*($AC50-INT($AC50))</f>
        <v>1.0620000000000001</v>
      </c>
      <c r="AI50" s="1279">
        <f t="shared" ref="AI50:AI58" si="114">HLOOKUP(INT($AC50),$B$48:$O$59,8)+(HLOOKUP(INT($AC50)+1,$B$48:$O$59,8)-HLOOKUP(INT($AC50),$B$48:$O$59,8))*($AC50-INT($AC50))</f>
        <v>1.167</v>
      </c>
      <c r="AJ50" s="1279">
        <f t="shared" ref="AJ50:AJ58" si="115">HLOOKUP(INT($AC50),$B$48:$O$59,9)+(HLOOKUP(INT($AC50)+1,$B$48:$O$59,9)-HLOOKUP(INT($AC50),$B$48:$O$59,9))*($AC50-INT($AC50))</f>
        <v>1.2729999999999999</v>
      </c>
      <c r="AK50" s="1279">
        <f t="shared" ref="AK50:AK58" si="116">HLOOKUP(INT($AC50),$B$48:$O$59,10)+(HLOOKUP(INT($AC50)+1,$B$48:$O$59,10)-HLOOKUP(INT($AC50),$B$48:$O$59,10))*($AC50-INT($AC50))</f>
        <v>1.3779999999999999</v>
      </c>
      <c r="AL50" s="1267"/>
      <c r="AM50" s="1267" t="s">
        <v>929</v>
      </c>
      <c r="AN50" s="1279">
        <f t="shared" ref="AN50:AU50" si="117">AN53+(AN55-AN53)*(AN49-AN52)</f>
        <v>0.82099999999999995</v>
      </c>
      <c r="AO50" s="1279">
        <f t="shared" si="117"/>
        <v>0.84199999999999997</v>
      </c>
      <c r="AP50" s="1279">
        <f t="shared" si="117"/>
        <v>0.88</v>
      </c>
      <c r="AQ50" s="1279">
        <f t="shared" si="117"/>
        <v>1</v>
      </c>
      <c r="AR50" s="1279">
        <f t="shared" si="117"/>
        <v>1.0620000000000001</v>
      </c>
      <c r="AS50" s="1279">
        <f t="shared" si="117"/>
        <v>1.167</v>
      </c>
      <c r="AT50" s="1279">
        <f t="shared" si="117"/>
        <v>1.2729999999999999</v>
      </c>
      <c r="AU50" s="1279">
        <f t="shared" si="117"/>
        <v>1.3779999999999999</v>
      </c>
    </row>
    <row r="51" spans="1:47">
      <c r="A51" s="1282">
        <v>20</v>
      </c>
      <c r="B51" s="1283">
        <f t="shared" si="94"/>
        <v>0.38900000000000001</v>
      </c>
      <c r="C51" s="1284">
        <v>0.38900000000000001</v>
      </c>
      <c r="D51" s="1283">
        <f t="shared" si="95"/>
        <v>0.45700000000000002</v>
      </c>
      <c r="E51" s="1284">
        <v>0.52500000000000002</v>
      </c>
      <c r="F51" s="1283">
        <f t="shared" si="96"/>
        <v>0.62450000000000006</v>
      </c>
      <c r="G51" s="1284">
        <v>0.72399999999999998</v>
      </c>
      <c r="H51" s="1283">
        <f t="shared" si="97"/>
        <v>0.78299999999999992</v>
      </c>
      <c r="I51" s="1284">
        <v>0.84199999999999997</v>
      </c>
      <c r="J51" s="1283">
        <f t="shared" si="98"/>
        <v>0.8899999999999999</v>
      </c>
      <c r="K51" s="1284">
        <v>0.93799999999999994</v>
      </c>
      <c r="L51" s="1283">
        <f t="shared" si="99"/>
        <v>0.96350000000000002</v>
      </c>
      <c r="M51" s="1284">
        <v>0.98899999999999999</v>
      </c>
      <c r="N51" s="1283">
        <f t="shared" si="100"/>
        <v>1.0249999999999999</v>
      </c>
      <c r="O51" s="1284">
        <v>1.0609999999999999</v>
      </c>
      <c r="P51" s="1267"/>
      <c r="Q51" s="1275" t="s">
        <v>878</v>
      </c>
      <c r="R51" s="1286">
        <f t="shared" si="91"/>
        <v>0</v>
      </c>
      <c r="S51" s="1279">
        <f t="shared" si="101"/>
        <v>0.82099999999999995</v>
      </c>
      <c r="T51" s="1279">
        <f t="shared" si="102"/>
        <v>0.84199999999999997</v>
      </c>
      <c r="U51" s="1279">
        <f t="shared" si="103"/>
        <v>0.88</v>
      </c>
      <c r="V51" s="1279">
        <f t="shared" si="104"/>
        <v>1</v>
      </c>
      <c r="W51" s="1279">
        <f t="shared" si="105"/>
        <v>1.0620000000000001</v>
      </c>
      <c r="X51" s="1279">
        <f t="shared" si="106"/>
        <v>1.167</v>
      </c>
      <c r="Y51" s="1279">
        <f t="shared" si="107"/>
        <v>1.2729999999999999</v>
      </c>
      <c r="Z51" s="1279">
        <f t="shared" si="108"/>
        <v>1.3779999999999999</v>
      </c>
      <c r="AA51" s="1267"/>
      <c r="AB51" s="1275" t="s">
        <v>878</v>
      </c>
      <c r="AC51" s="1286">
        <f t="shared" si="92"/>
        <v>0</v>
      </c>
      <c r="AD51" s="1279">
        <f t="shared" si="109"/>
        <v>0.82099999999999995</v>
      </c>
      <c r="AE51" s="1279">
        <f t="shared" si="110"/>
        <v>0.84199999999999997</v>
      </c>
      <c r="AF51" s="1279">
        <f t="shared" si="111"/>
        <v>0.88</v>
      </c>
      <c r="AG51" s="1279">
        <f t="shared" si="112"/>
        <v>1</v>
      </c>
      <c r="AH51" s="1279">
        <f t="shared" si="113"/>
        <v>1.0620000000000001</v>
      </c>
      <c r="AI51" s="1279">
        <f t="shared" si="114"/>
        <v>1.167</v>
      </c>
      <c r="AJ51" s="1279">
        <f t="shared" si="115"/>
        <v>1.2729999999999999</v>
      </c>
      <c r="AK51" s="1279">
        <f t="shared" si="116"/>
        <v>1.3779999999999999</v>
      </c>
      <c r="AL51" s="1267"/>
      <c r="AM51" s="1267"/>
      <c r="AN51" s="1275"/>
      <c r="AO51" s="1275"/>
      <c r="AP51" s="1275"/>
      <c r="AQ51" s="1275"/>
      <c r="AR51" s="1275"/>
      <c r="AS51" s="1275"/>
      <c r="AT51" s="1275"/>
      <c r="AU51" s="1275"/>
    </row>
    <row r="52" spans="1:47">
      <c r="A52" s="1282">
        <v>30</v>
      </c>
      <c r="B52" s="1283">
        <f t="shared" si="94"/>
        <v>0.308</v>
      </c>
      <c r="C52" s="1284">
        <v>0.308</v>
      </c>
      <c r="D52" s="1283">
        <f t="shared" si="95"/>
        <v>0.38450000000000001</v>
      </c>
      <c r="E52" s="1284">
        <v>0.46100000000000002</v>
      </c>
      <c r="F52" s="1283">
        <f t="shared" si="96"/>
        <v>0.58750000000000002</v>
      </c>
      <c r="G52" s="1284">
        <v>0.71399999999999997</v>
      </c>
      <c r="H52" s="1283">
        <f t="shared" si="97"/>
        <v>0.79699999999999993</v>
      </c>
      <c r="I52" s="1284">
        <v>0.88</v>
      </c>
      <c r="J52" s="1283">
        <f t="shared" si="98"/>
        <v>0.92949999999999999</v>
      </c>
      <c r="K52" s="1284">
        <v>0.97899999999999998</v>
      </c>
      <c r="L52" s="1283">
        <f t="shared" si="99"/>
        <v>1.0165</v>
      </c>
      <c r="M52" s="1284">
        <v>1.054</v>
      </c>
      <c r="N52" s="1283">
        <f t="shared" si="100"/>
        <v>1.133</v>
      </c>
      <c r="O52" s="1284">
        <v>1.212</v>
      </c>
      <c r="P52" s="1267"/>
      <c r="Q52" s="1275" t="s">
        <v>879</v>
      </c>
      <c r="R52" s="1286">
        <f t="shared" si="91"/>
        <v>0</v>
      </c>
      <c r="S52" s="1279">
        <f t="shared" si="101"/>
        <v>0.82099999999999995</v>
      </c>
      <c r="T52" s="1279">
        <f t="shared" si="102"/>
        <v>0.84199999999999997</v>
      </c>
      <c r="U52" s="1279">
        <f t="shared" si="103"/>
        <v>0.88</v>
      </c>
      <c r="V52" s="1279">
        <f t="shared" si="104"/>
        <v>1</v>
      </c>
      <c r="W52" s="1279">
        <f t="shared" si="105"/>
        <v>1.0620000000000001</v>
      </c>
      <c r="X52" s="1279">
        <f t="shared" si="106"/>
        <v>1.167</v>
      </c>
      <c r="Y52" s="1279">
        <f t="shared" si="107"/>
        <v>1.2729999999999999</v>
      </c>
      <c r="Z52" s="1279">
        <f t="shared" si="108"/>
        <v>1.3779999999999999</v>
      </c>
      <c r="AA52" s="1267"/>
      <c r="AB52" s="1275" t="s">
        <v>879</v>
      </c>
      <c r="AC52" s="1286">
        <f t="shared" si="92"/>
        <v>0</v>
      </c>
      <c r="AD52" s="1279">
        <f t="shared" si="109"/>
        <v>0.82099999999999995</v>
      </c>
      <c r="AE52" s="1279">
        <f t="shared" si="110"/>
        <v>0.84199999999999997</v>
      </c>
      <c r="AF52" s="1279">
        <f t="shared" si="111"/>
        <v>0.88</v>
      </c>
      <c r="AG52" s="1279">
        <f t="shared" si="112"/>
        <v>1</v>
      </c>
      <c r="AH52" s="1279">
        <f t="shared" si="113"/>
        <v>1.0620000000000001</v>
      </c>
      <c r="AI52" s="1279">
        <f t="shared" si="114"/>
        <v>1.167</v>
      </c>
      <c r="AJ52" s="1279">
        <f t="shared" si="115"/>
        <v>1.2729999999999999</v>
      </c>
      <c r="AK52" s="1279">
        <f t="shared" si="116"/>
        <v>1.3779999999999999</v>
      </c>
      <c r="AL52" s="1267"/>
      <c r="AM52" s="1285" t="s">
        <v>930</v>
      </c>
      <c r="AN52" s="1286">
        <f>INT(AN49)</f>
        <v>0</v>
      </c>
      <c r="AO52" s="1286">
        <f t="shared" ref="AO52:AU52" si="118">INT(AO49)</f>
        <v>0</v>
      </c>
      <c r="AP52" s="1286">
        <f t="shared" si="118"/>
        <v>0</v>
      </c>
      <c r="AQ52" s="1286">
        <f t="shared" si="118"/>
        <v>0</v>
      </c>
      <c r="AR52" s="1286">
        <f t="shared" si="118"/>
        <v>0</v>
      </c>
      <c r="AS52" s="1286">
        <f t="shared" si="118"/>
        <v>0</v>
      </c>
      <c r="AT52" s="1286">
        <f t="shared" si="118"/>
        <v>0</v>
      </c>
      <c r="AU52" s="1286">
        <f t="shared" si="118"/>
        <v>0</v>
      </c>
    </row>
    <row r="53" spans="1:47">
      <c r="A53" s="1287">
        <v>40</v>
      </c>
      <c r="B53" s="1288">
        <f t="shared" si="94"/>
        <v>0.22700000000000001</v>
      </c>
      <c r="C53" s="1289">
        <v>0.22700000000000001</v>
      </c>
      <c r="D53" s="1288">
        <f t="shared" si="95"/>
        <v>0.311</v>
      </c>
      <c r="E53" s="1289">
        <v>0.39500000000000002</v>
      </c>
      <c r="F53" s="1288">
        <f t="shared" si="96"/>
        <v>0.52649999999999997</v>
      </c>
      <c r="G53" s="1289">
        <v>0.65800000000000003</v>
      </c>
      <c r="H53" s="1288">
        <f t="shared" si="97"/>
        <v>0.82899999999999996</v>
      </c>
      <c r="I53" s="1289">
        <v>1</v>
      </c>
      <c r="J53" s="1288">
        <f t="shared" si="98"/>
        <v>1.0659999999999998</v>
      </c>
      <c r="K53" s="1289">
        <v>1.1319999999999999</v>
      </c>
      <c r="L53" s="1288">
        <f t="shared" si="99"/>
        <v>1.2364999999999999</v>
      </c>
      <c r="M53" s="1289">
        <v>1.341</v>
      </c>
      <c r="N53" s="1288">
        <f t="shared" si="100"/>
        <v>1.5009999999999999</v>
      </c>
      <c r="O53" s="1289">
        <v>1.661</v>
      </c>
      <c r="P53" s="1267"/>
      <c r="Q53" s="1275" t="s">
        <v>881</v>
      </c>
      <c r="R53" s="1286">
        <f t="shared" si="91"/>
        <v>0</v>
      </c>
      <c r="S53" s="1279">
        <f t="shared" si="101"/>
        <v>0.82099999999999995</v>
      </c>
      <c r="T53" s="1279">
        <f t="shared" si="102"/>
        <v>0.84199999999999997</v>
      </c>
      <c r="U53" s="1279">
        <f t="shared" si="103"/>
        <v>0.88</v>
      </c>
      <c r="V53" s="1279">
        <f t="shared" si="104"/>
        <v>1</v>
      </c>
      <c r="W53" s="1279">
        <f t="shared" si="105"/>
        <v>1.0620000000000001</v>
      </c>
      <c r="X53" s="1279">
        <f t="shared" si="106"/>
        <v>1.167</v>
      </c>
      <c r="Y53" s="1279">
        <f t="shared" si="107"/>
        <v>1.2729999999999999</v>
      </c>
      <c r="Z53" s="1279">
        <f t="shared" si="108"/>
        <v>1.3779999999999999</v>
      </c>
      <c r="AA53" s="1267"/>
      <c r="AB53" s="1275" t="s">
        <v>881</v>
      </c>
      <c r="AC53" s="1286">
        <f t="shared" si="92"/>
        <v>0</v>
      </c>
      <c r="AD53" s="1279">
        <f t="shared" si="109"/>
        <v>0.82099999999999995</v>
      </c>
      <c r="AE53" s="1279">
        <f t="shared" si="110"/>
        <v>0.84199999999999997</v>
      </c>
      <c r="AF53" s="1279">
        <f t="shared" si="111"/>
        <v>0.88</v>
      </c>
      <c r="AG53" s="1279">
        <f t="shared" si="112"/>
        <v>1</v>
      </c>
      <c r="AH53" s="1279">
        <f t="shared" si="113"/>
        <v>1.0620000000000001</v>
      </c>
      <c r="AI53" s="1279">
        <f t="shared" si="114"/>
        <v>1.167</v>
      </c>
      <c r="AJ53" s="1279">
        <f t="shared" si="115"/>
        <v>1.2729999999999999</v>
      </c>
      <c r="AK53" s="1279">
        <f t="shared" si="116"/>
        <v>1.3779999999999999</v>
      </c>
      <c r="AL53" s="1267"/>
      <c r="AM53" s="1285" t="s">
        <v>943</v>
      </c>
      <c r="AN53" s="1290">
        <f>HLOOKUP(AN52,$B$48:$O$59,AN56)</f>
        <v>0.82099999999999995</v>
      </c>
      <c r="AO53" s="1290">
        <f t="shared" ref="AO53:AU53" si="119">HLOOKUP(AO52,$B$48:$O$59,AO56)</f>
        <v>0.84199999999999997</v>
      </c>
      <c r="AP53" s="1290">
        <f t="shared" si="119"/>
        <v>0.88</v>
      </c>
      <c r="AQ53" s="1290">
        <f t="shared" si="119"/>
        <v>1</v>
      </c>
      <c r="AR53" s="1290">
        <f t="shared" si="119"/>
        <v>1.0620000000000001</v>
      </c>
      <c r="AS53" s="1290">
        <f t="shared" si="119"/>
        <v>1.167</v>
      </c>
      <c r="AT53" s="1290">
        <f t="shared" si="119"/>
        <v>1.2729999999999999</v>
      </c>
      <c r="AU53" s="1290">
        <f t="shared" si="119"/>
        <v>1.3779999999999999</v>
      </c>
    </row>
    <row r="54" spans="1:47">
      <c r="A54" s="1287">
        <v>50</v>
      </c>
      <c r="B54" s="1288">
        <f t="shared" si="94"/>
        <v>0.19</v>
      </c>
      <c r="C54" s="1289">
        <v>0.19</v>
      </c>
      <c r="D54" s="1288">
        <f t="shared" si="95"/>
        <v>0.252</v>
      </c>
      <c r="E54" s="1289">
        <v>0.314</v>
      </c>
      <c r="F54" s="1288">
        <f t="shared" si="96"/>
        <v>0.46199999999999997</v>
      </c>
      <c r="G54" s="1289">
        <v>0.61</v>
      </c>
      <c r="H54" s="1288">
        <f t="shared" si="97"/>
        <v>0.83600000000000008</v>
      </c>
      <c r="I54" s="1289">
        <v>1.0620000000000001</v>
      </c>
      <c r="J54" s="1288">
        <f t="shared" si="98"/>
        <v>1.1475</v>
      </c>
      <c r="K54" s="1289">
        <v>1.2330000000000001</v>
      </c>
      <c r="L54" s="1288">
        <f t="shared" si="99"/>
        <v>1.4100000000000001</v>
      </c>
      <c r="M54" s="1289">
        <v>1.587</v>
      </c>
      <c r="N54" s="1288">
        <f t="shared" si="100"/>
        <v>1.7984999999999998</v>
      </c>
      <c r="O54" s="1289">
        <v>2.0099999999999998</v>
      </c>
      <c r="P54" s="1267"/>
      <c r="Q54" s="1275" t="s">
        <v>883</v>
      </c>
      <c r="R54" s="1286">
        <f t="shared" si="91"/>
        <v>0</v>
      </c>
      <c r="S54" s="1279">
        <f t="shared" si="101"/>
        <v>0.82099999999999995</v>
      </c>
      <c r="T54" s="1279">
        <f t="shared" si="102"/>
        <v>0.84199999999999997</v>
      </c>
      <c r="U54" s="1279">
        <f t="shared" si="103"/>
        <v>0.88</v>
      </c>
      <c r="V54" s="1279">
        <f t="shared" si="104"/>
        <v>1</v>
      </c>
      <c r="W54" s="1279">
        <f t="shared" si="105"/>
        <v>1.0620000000000001</v>
      </c>
      <c r="X54" s="1279">
        <f t="shared" si="106"/>
        <v>1.167</v>
      </c>
      <c r="Y54" s="1279">
        <f t="shared" si="107"/>
        <v>1.2729999999999999</v>
      </c>
      <c r="Z54" s="1279">
        <f t="shared" si="108"/>
        <v>1.3779999999999999</v>
      </c>
      <c r="AA54" s="1267"/>
      <c r="AB54" s="1275" t="s">
        <v>883</v>
      </c>
      <c r="AC54" s="1286">
        <f t="shared" si="92"/>
        <v>0</v>
      </c>
      <c r="AD54" s="1279">
        <f t="shared" si="109"/>
        <v>0.82099999999999995</v>
      </c>
      <c r="AE54" s="1279">
        <f t="shared" si="110"/>
        <v>0.84199999999999997</v>
      </c>
      <c r="AF54" s="1279">
        <f t="shared" si="111"/>
        <v>0.88</v>
      </c>
      <c r="AG54" s="1279">
        <f t="shared" si="112"/>
        <v>1</v>
      </c>
      <c r="AH54" s="1279">
        <f t="shared" si="113"/>
        <v>1.0620000000000001</v>
      </c>
      <c r="AI54" s="1279">
        <f t="shared" si="114"/>
        <v>1.167</v>
      </c>
      <c r="AJ54" s="1279">
        <f t="shared" si="115"/>
        <v>1.2729999999999999</v>
      </c>
      <c r="AK54" s="1279">
        <f t="shared" si="116"/>
        <v>1.3779999999999999</v>
      </c>
      <c r="AL54" s="1267"/>
      <c r="AM54" s="1285" t="s">
        <v>944</v>
      </c>
      <c r="AN54" s="1286">
        <f>AN52+1</f>
        <v>1</v>
      </c>
      <c r="AO54" s="1286">
        <f t="shared" ref="AO54:AU54" si="120">AO52+1</f>
        <v>1</v>
      </c>
      <c r="AP54" s="1286">
        <f t="shared" si="120"/>
        <v>1</v>
      </c>
      <c r="AQ54" s="1286">
        <f t="shared" si="120"/>
        <v>1</v>
      </c>
      <c r="AR54" s="1286">
        <f t="shared" si="120"/>
        <v>1</v>
      </c>
      <c r="AS54" s="1286">
        <f t="shared" si="120"/>
        <v>1</v>
      </c>
      <c r="AT54" s="1286">
        <f t="shared" si="120"/>
        <v>1</v>
      </c>
      <c r="AU54" s="1286">
        <f t="shared" si="120"/>
        <v>1</v>
      </c>
    </row>
    <row r="55" spans="1:47">
      <c r="A55" s="1287">
        <v>60</v>
      </c>
      <c r="B55" s="1288">
        <f t="shared" si="94"/>
        <v>0.154</v>
      </c>
      <c r="C55" s="1289">
        <v>0.154</v>
      </c>
      <c r="D55" s="1288">
        <f t="shared" si="95"/>
        <v>0.19350000000000001</v>
      </c>
      <c r="E55" s="1289">
        <v>0.23300000000000001</v>
      </c>
      <c r="F55" s="1288">
        <f t="shared" si="96"/>
        <v>0.41199999999999998</v>
      </c>
      <c r="G55" s="1289">
        <v>0.59099999999999997</v>
      </c>
      <c r="H55" s="1288">
        <f t="shared" si="97"/>
        <v>0.879</v>
      </c>
      <c r="I55" s="1289">
        <v>1.167</v>
      </c>
      <c r="J55" s="1288">
        <f t="shared" si="98"/>
        <v>1.4475</v>
      </c>
      <c r="K55" s="1289">
        <v>1.728</v>
      </c>
      <c r="L55" s="1288">
        <f t="shared" si="99"/>
        <v>2.0390000000000001</v>
      </c>
      <c r="M55" s="1289">
        <v>2.35</v>
      </c>
      <c r="N55" s="1288">
        <f t="shared" si="100"/>
        <v>2.6085000000000003</v>
      </c>
      <c r="O55" s="1289">
        <v>2.867</v>
      </c>
      <c r="P55" s="1267"/>
      <c r="Q55" s="1275" t="s">
        <v>885</v>
      </c>
      <c r="R55" s="1286">
        <f t="shared" si="91"/>
        <v>0</v>
      </c>
      <c r="S55" s="1279">
        <f t="shared" si="101"/>
        <v>0.82099999999999995</v>
      </c>
      <c r="T55" s="1279">
        <f t="shared" si="102"/>
        <v>0.84199999999999997</v>
      </c>
      <c r="U55" s="1279">
        <f t="shared" si="103"/>
        <v>0.88</v>
      </c>
      <c r="V55" s="1279">
        <f t="shared" si="104"/>
        <v>1</v>
      </c>
      <c r="W55" s="1279">
        <f t="shared" si="105"/>
        <v>1.0620000000000001</v>
      </c>
      <c r="X55" s="1279">
        <f t="shared" si="106"/>
        <v>1.167</v>
      </c>
      <c r="Y55" s="1279">
        <f t="shared" si="107"/>
        <v>1.2729999999999999</v>
      </c>
      <c r="Z55" s="1279">
        <f t="shared" si="108"/>
        <v>1.3779999999999999</v>
      </c>
      <c r="AA55" s="1267"/>
      <c r="AB55" s="1275" t="s">
        <v>885</v>
      </c>
      <c r="AC55" s="1286">
        <f t="shared" si="92"/>
        <v>0</v>
      </c>
      <c r="AD55" s="1279">
        <f t="shared" si="109"/>
        <v>0.82099999999999995</v>
      </c>
      <c r="AE55" s="1279">
        <f t="shared" si="110"/>
        <v>0.84199999999999997</v>
      </c>
      <c r="AF55" s="1279">
        <f t="shared" si="111"/>
        <v>0.88</v>
      </c>
      <c r="AG55" s="1279">
        <f t="shared" si="112"/>
        <v>1</v>
      </c>
      <c r="AH55" s="1279">
        <f t="shared" si="113"/>
        <v>1.0620000000000001</v>
      </c>
      <c r="AI55" s="1279">
        <f t="shared" si="114"/>
        <v>1.167</v>
      </c>
      <c r="AJ55" s="1279">
        <f t="shared" si="115"/>
        <v>1.2729999999999999</v>
      </c>
      <c r="AK55" s="1279">
        <f t="shared" si="116"/>
        <v>1.3779999999999999</v>
      </c>
      <c r="AL55" s="1267"/>
      <c r="AM55" s="1285" t="s">
        <v>958</v>
      </c>
      <c r="AN55" s="1290">
        <f>HLOOKUP(AN54,$B$48:$O$59,AN56)</f>
        <v>0.85050000000000003</v>
      </c>
      <c r="AO55" s="1290">
        <f t="shared" ref="AO55:AU55" si="121">HLOOKUP(AO54,$B$48:$O$59,AO56)</f>
        <v>0.8899999999999999</v>
      </c>
      <c r="AP55" s="1290">
        <f t="shared" si="121"/>
        <v>0.92949999999999999</v>
      </c>
      <c r="AQ55" s="1290">
        <f t="shared" si="121"/>
        <v>1.0659999999999998</v>
      </c>
      <c r="AR55" s="1290">
        <f t="shared" si="121"/>
        <v>1.1475</v>
      </c>
      <c r="AS55" s="1290">
        <f t="shared" si="121"/>
        <v>1.4475</v>
      </c>
      <c r="AT55" s="1290">
        <f t="shared" si="121"/>
        <v>1.7484999999999999</v>
      </c>
      <c r="AU55" s="1290">
        <f t="shared" si="121"/>
        <v>2.0495000000000001</v>
      </c>
    </row>
    <row r="56" spans="1:47">
      <c r="A56" s="1282">
        <v>70</v>
      </c>
      <c r="B56" s="1283">
        <f t="shared" si="94"/>
        <v>0.11700000000000001</v>
      </c>
      <c r="C56" s="1284">
        <v>0.11700000000000001</v>
      </c>
      <c r="D56" s="1283">
        <f t="shared" si="95"/>
        <v>0.13600000000000001</v>
      </c>
      <c r="E56" s="1284">
        <v>0.155</v>
      </c>
      <c r="F56" s="1283">
        <f t="shared" si="96"/>
        <v>0.35050000000000003</v>
      </c>
      <c r="G56" s="1284">
        <v>0.54600000000000004</v>
      </c>
      <c r="H56" s="1283">
        <f t="shared" si="97"/>
        <v>0.90949999999999998</v>
      </c>
      <c r="I56" s="1284">
        <v>1.2729999999999999</v>
      </c>
      <c r="J56" s="1283">
        <f t="shared" si="98"/>
        <v>1.7484999999999999</v>
      </c>
      <c r="K56" s="1284">
        <v>2.2240000000000002</v>
      </c>
      <c r="L56" s="1283">
        <f t="shared" si="99"/>
        <v>2.6695000000000002</v>
      </c>
      <c r="M56" s="1284">
        <v>3.1150000000000002</v>
      </c>
      <c r="N56" s="1283">
        <f t="shared" si="100"/>
        <v>3.4195000000000002</v>
      </c>
      <c r="O56" s="1284">
        <v>3.7240000000000002</v>
      </c>
      <c r="P56" s="1267"/>
      <c r="Q56" s="1275" t="s">
        <v>887</v>
      </c>
      <c r="R56" s="1286">
        <f t="shared" si="91"/>
        <v>0</v>
      </c>
      <c r="S56" s="1279">
        <f t="shared" si="101"/>
        <v>0.82099999999999995</v>
      </c>
      <c r="T56" s="1279">
        <f t="shared" si="102"/>
        <v>0.84199999999999997</v>
      </c>
      <c r="U56" s="1279">
        <f t="shared" si="103"/>
        <v>0.88</v>
      </c>
      <c r="V56" s="1279">
        <f t="shared" si="104"/>
        <v>1</v>
      </c>
      <c r="W56" s="1279">
        <f t="shared" si="105"/>
        <v>1.0620000000000001</v>
      </c>
      <c r="X56" s="1279">
        <f t="shared" si="106"/>
        <v>1.167</v>
      </c>
      <c r="Y56" s="1279">
        <f t="shared" si="107"/>
        <v>1.2729999999999999</v>
      </c>
      <c r="Z56" s="1279">
        <f t="shared" si="108"/>
        <v>1.3779999999999999</v>
      </c>
      <c r="AA56" s="1267"/>
      <c r="AB56" s="1275" t="s">
        <v>887</v>
      </c>
      <c r="AC56" s="1286">
        <f t="shared" si="92"/>
        <v>0</v>
      </c>
      <c r="AD56" s="1279">
        <f t="shared" si="109"/>
        <v>0.82099999999999995</v>
      </c>
      <c r="AE56" s="1279">
        <f t="shared" si="110"/>
        <v>0.84199999999999997</v>
      </c>
      <c r="AF56" s="1279">
        <f t="shared" si="111"/>
        <v>0.88</v>
      </c>
      <c r="AG56" s="1279">
        <f t="shared" si="112"/>
        <v>1</v>
      </c>
      <c r="AH56" s="1279">
        <f t="shared" si="113"/>
        <v>1.0620000000000001</v>
      </c>
      <c r="AI56" s="1279">
        <f t="shared" si="114"/>
        <v>1.167</v>
      </c>
      <c r="AJ56" s="1279">
        <f t="shared" si="115"/>
        <v>1.2729999999999999</v>
      </c>
      <c r="AK56" s="1279">
        <f t="shared" si="116"/>
        <v>1.3779999999999999</v>
      </c>
      <c r="AL56" s="1267"/>
      <c r="AM56" s="1267"/>
      <c r="AN56" s="1275">
        <v>3</v>
      </c>
      <c r="AO56" s="1275">
        <v>4</v>
      </c>
      <c r="AP56" s="1275">
        <v>5</v>
      </c>
      <c r="AQ56" s="1275">
        <v>6</v>
      </c>
      <c r="AR56" s="1275">
        <v>7</v>
      </c>
      <c r="AS56" s="1275">
        <v>8</v>
      </c>
      <c r="AT56" s="1275">
        <v>9</v>
      </c>
      <c r="AU56" s="1275">
        <v>10</v>
      </c>
    </row>
    <row r="57" spans="1:47">
      <c r="A57" s="1282">
        <v>80</v>
      </c>
      <c r="B57" s="1283">
        <f t="shared" si="94"/>
        <v>0.11700000000000001</v>
      </c>
      <c r="C57" s="1284">
        <v>0.11700000000000001</v>
      </c>
      <c r="D57" s="1283">
        <f t="shared" si="95"/>
        <v>0.13600000000000001</v>
      </c>
      <c r="E57" s="1284">
        <v>0.155</v>
      </c>
      <c r="F57" s="1283">
        <f t="shared" si="96"/>
        <v>0.35050000000000003</v>
      </c>
      <c r="G57" s="1284">
        <v>0.54600000000000004</v>
      </c>
      <c r="H57" s="1283">
        <f t="shared" si="97"/>
        <v>0.96199999999999997</v>
      </c>
      <c r="I57" s="1284">
        <v>1.3779999999999999</v>
      </c>
      <c r="J57" s="1283">
        <f t="shared" si="98"/>
        <v>2.0495000000000001</v>
      </c>
      <c r="K57" s="1284">
        <v>2.7210000000000001</v>
      </c>
      <c r="L57" s="1283">
        <f t="shared" si="99"/>
        <v>3.2995000000000001</v>
      </c>
      <c r="M57" s="1284">
        <v>3.8780000000000001</v>
      </c>
      <c r="N57" s="1283">
        <f t="shared" si="100"/>
        <v>4.2290000000000001</v>
      </c>
      <c r="O57" s="1284">
        <v>4.58</v>
      </c>
      <c r="P57" s="1267"/>
      <c r="Q57" s="1275" t="s">
        <v>888</v>
      </c>
      <c r="R57" s="1286">
        <f t="shared" si="91"/>
        <v>0</v>
      </c>
      <c r="S57" s="1279">
        <f t="shared" si="101"/>
        <v>0.82099999999999995</v>
      </c>
      <c r="T57" s="1279">
        <f t="shared" si="102"/>
        <v>0.84199999999999997</v>
      </c>
      <c r="U57" s="1279">
        <f t="shared" si="103"/>
        <v>0.88</v>
      </c>
      <c r="V57" s="1279">
        <f t="shared" si="104"/>
        <v>1</v>
      </c>
      <c r="W57" s="1279">
        <f t="shared" si="105"/>
        <v>1.0620000000000001</v>
      </c>
      <c r="X57" s="1279">
        <f t="shared" si="106"/>
        <v>1.167</v>
      </c>
      <c r="Y57" s="1279">
        <f t="shared" si="107"/>
        <v>1.2729999999999999</v>
      </c>
      <c r="Z57" s="1279">
        <f t="shared" si="108"/>
        <v>1.3779999999999999</v>
      </c>
      <c r="AA57" s="1267"/>
      <c r="AB57" s="1275" t="s">
        <v>888</v>
      </c>
      <c r="AC57" s="1286">
        <f t="shared" si="92"/>
        <v>0</v>
      </c>
      <c r="AD57" s="1279">
        <f t="shared" si="109"/>
        <v>0.82099999999999995</v>
      </c>
      <c r="AE57" s="1279">
        <f t="shared" si="110"/>
        <v>0.84199999999999997</v>
      </c>
      <c r="AF57" s="1279">
        <f t="shared" si="111"/>
        <v>0.88</v>
      </c>
      <c r="AG57" s="1279">
        <f t="shared" si="112"/>
        <v>1</v>
      </c>
      <c r="AH57" s="1279">
        <f t="shared" si="113"/>
        <v>1.0620000000000001</v>
      </c>
      <c r="AI57" s="1279">
        <f t="shared" si="114"/>
        <v>1.167</v>
      </c>
      <c r="AJ57" s="1279">
        <f t="shared" si="115"/>
        <v>1.2729999999999999</v>
      </c>
      <c r="AK57" s="1279">
        <f t="shared" si="116"/>
        <v>1.3779999999999999</v>
      </c>
      <c r="AL57" s="1267"/>
      <c r="AM57" s="1267"/>
      <c r="AN57" s="1267"/>
      <c r="AO57" s="1267"/>
      <c r="AP57" s="1267"/>
      <c r="AQ57" s="1267"/>
      <c r="AR57" s="1267"/>
      <c r="AS57" s="1267"/>
      <c r="AT57" s="1267"/>
      <c r="AU57" s="1267"/>
    </row>
    <row r="58" spans="1:47">
      <c r="A58" s="1275">
        <v>90</v>
      </c>
      <c r="B58" s="1276">
        <f t="shared" si="94"/>
        <v>0.11700000000000001</v>
      </c>
      <c r="C58" s="1277">
        <v>0.11700000000000001</v>
      </c>
      <c r="D58" s="1276">
        <f t="shared" si="95"/>
        <v>0.13600000000000001</v>
      </c>
      <c r="E58" s="1277">
        <v>0.155</v>
      </c>
      <c r="F58" s="1276">
        <f t="shared" si="96"/>
        <v>0.35050000000000003</v>
      </c>
      <c r="G58" s="1277">
        <v>0.54600000000000004</v>
      </c>
      <c r="H58" s="1276">
        <f t="shared" si="97"/>
        <v>0.96899999999999997</v>
      </c>
      <c r="I58" s="1277">
        <v>1.3919999999999999</v>
      </c>
      <c r="J58" s="1276">
        <f t="shared" si="98"/>
        <v>2.0949999999999998</v>
      </c>
      <c r="K58" s="1277">
        <v>2.798</v>
      </c>
      <c r="L58" s="1276">
        <f t="shared" si="99"/>
        <v>3.391</v>
      </c>
      <c r="M58" s="1277">
        <v>3.984</v>
      </c>
      <c r="N58" s="1276">
        <f t="shared" si="100"/>
        <v>4.2970000000000006</v>
      </c>
      <c r="O58" s="1277">
        <v>4.6100000000000003</v>
      </c>
      <c r="P58" s="1267"/>
      <c r="Q58" s="1275" t="s">
        <v>889</v>
      </c>
      <c r="R58" s="1286">
        <f t="shared" si="91"/>
        <v>0</v>
      </c>
      <c r="S58" s="1279">
        <f t="shared" si="101"/>
        <v>0.82099999999999995</v>
      </c>
      <c r="T58" s="1279">
        <f t="shared" si="102"/>
        <v>0.84199999999999997</v>
      </c>
      <c r="U58" s="1279">
        <f t="shared" si="103"/>
        <v>0.88</v>
      </c>
      <c r="V58" s="1279">
        <f t="shared" si="104"/>
        <v>1</v>
      </c>
      <c r="W58" s="1279">
        <f t="shared" si="105"/>
        <v>1.0620000000000001</v>
      </c>
      <c r="X58" s="1279">
        <f t="shared" si="106"/>
        <v>1.167</v>
      </c>
      <c r="Y58" s="1279">
        <f t="shared" si="107"/>
        <v>1.2729999999999999</v>
      </c>
      <c r="Z58" s="1279">
        <f t="shared" si="108"/>
        <v>1.3779999999999999</v>
      </c>
      <c r="AA58" s="1267"/>
      <c r="AB58" s="1275" t="s">
        <v>889</v>
      </c>
      <c r="AC58" s="1286">
        <f t="shared" si="92"/>
        <v>0</v>
      </c>
      <c r="AD58" s="1279">
        <f t="shared" si="109"/>
        <v>0.82099999999999995</v>
      </c>
      <c r="AE58" s="1279">
        <f t="shared" si="110"/>
        <v>0.84199999999999997</v>
      </c>
      <c r="AF58" s="1279">
        <f t="shared" si="111"/>
        <v>0.88</v>
      </c>
      <c r="AG58" s="1279">
        <f t="shared" si="112"/>
        <v>1</v>
      </c>
      <c r="AH58" s="1279">
        <f t="shared" si="113"/>
        <v>1.0620000000000001</v>
      </c>
      <c r="AI58" s="1279">
        <f t="shared" si="114"/>
        <v>1.167</v>
      </c>
      <c r="AJ58" s="1279">
        <f t="shared" si="115"/>
        <v>1.2729999999999999</v>
      </c>
      <c r="AK58" s="1279">
        <f t="shared" si="116"/>
        <v>1.3779999999999999</v>
      </c>
      <c r="AL58" s="1267"/>
      <c r="AM58" s="1267"/>
      <c r="AN58" s="1267"/>
      <c r="AO58" s="1267"/>
      <c r="AP58" s="1267"/>
      <c r="AQ58" s="1267"/>
      <c r="AR58" s="1267"/>
      <c r="AS58" s="1267"/>
      <c r="AT58" s="1267"/>
      <c r="AU58" s="1267"/>
    </row>
    <row r="59" spans="1:47">
      <c r="A59" s="1275">
        <v>100</v>
      </c>
      <c r="B59" s="1276">
        <f t="shared" si="94"/>
        <v>0.11700000000000001</v>
      </c>
      <c r="C59" s="1277">
        <v>0.11700000000000001</v>
      </c>
      <c r="D59" s="1276">
        <f t="shared" si="95"/>
        <v>0.13600000000000001</v>
      </c>
      <c r="E59" s="1277">
        <v>0.155</v>
      </c>
      <c r="F59" s="1276">
        <f t="shared" si="96"/>
        <v>0.35050000000000003</v>
      </c>
      <c r="G59" s="1277">
        <v>0.54600000000000004</v>
      </c>
      <c r="H59" s="1276">
        <f t="shared" si="97"/>
        <v>0.99350000000000005</v>
      </c>
      <c r="I59" s="1277">
        <v>1.4410000000000001</v>
      </c>
      <c r="J59" s="1276">
        <f t="shared" si="98"/>
        <v>2.1669999999999998</v>
      </c>
      <c r="K59" s="1277">
        <v>2.8929999999999998</v>
      </c>
      <c r="L59" s="1276">
        <f t="shared" si="99"/>
        <v>3.4815</v>
      </c>
      <c r="M59" s="1277">
        <v>4.07</v>
      </c>
      <c r="N59" s="1276">
        <f t="shared" si="100"/>
        <v>4.3544999999999998</v>
      </c>
      <c r="O59" s="1277">
        <v>4.6390000000000002</v>
      </c>
      <c r="P59" s="1267"/>
      <c r="Q59" s="1267"/>
      <c r="R59" s="1267"/>
      <c r="S59" s="1267"/>
      <c r="T59" s="1267"/>
      <c r="U59" s="1267"/>
      <c r="V59" s="1267"/>
      <c r="W59" s="1267"/>
      <c r="X59" s="1267"/>
      <c r="Y59" s="1267"/>
      <c r="Z59" s="1267"/>
      <c r="AA59" s="1267"/>
      <c r="AB59" s="1267"/>
      <c r="AC59" s="1267"/>
      <c r="AD59" s="1267"/>
      <c r="AE59" s="1267"/>
      <c r="AF59" s="1267"/>
      <c r="AG59" s="1267"/>
      <c r="AH59" s="1267"/>
      <c r="AI59" s="1267"/>
      <c r="AJ59" s="1267"/>
      <c r="AK59" s="1267"/>
      <c r="AL59" s="1267"/>
      <c r="AM59" s="1267"/>
      <c r="AN59" s="1267"/>
      <c r="AO59" s="1267"/>
      <c r="AP59" s="1267"/>
      <c r="AQ59" s="1267"/>
      <c r="AR59" s="1267"/>
      <c r="AS59" s="1267"/>
      <c r="AT59" s="1267"/>
      <c r="AU59" s="1267"/>
    </row>
  </sheetData>
  <mergeCells count="4">
    <mergeCell ref="C5:O5"/>
    <mergeCell ref="C19:O19"/>
    <mergeCell ref="C33:O33"/>
    <mergeCell ref="C47:O47"/>
  </mergeCells>
  <phoneticPr fontId="11" type="noConversion"/>
  <printOptions horizontalCentered="1"/>
  <pageMargins left="0.78740157480314965" right="0.78740157480314965" top="0.59055118110236227" bottom="0.59055118110236227" header="0.19685039370078741" footer="0.19685039370078741"/>
  <pageSetup paperSize="9" scale="66" fitToHeight="0" orientation="portrait" r:id="rId1"/>
  <headerFooter>
    <oddFooter>&amp;L&amp;8&amp;F/&amp;A&amp;R&amp;8&amp;P/&amp;N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72"/>
  <sheetViews>
    <sheetView view="pageBreakPreview" zoomScale="85" zoomScaleNormal="75" zoomScaleSheetLayoutView="85" workbookViewId="0">
      <selection activeCell="A33" sqref="A33"/>
    </sheetView>
  </sheetViews>
  <sheetFormatPr defaultRowHeight="13.5"/>
  <cols>
    <col min="1" max="1" width="29.21875" style="3" customWidth="1"/>
    <col min="2" max="9" width="10.21875" style="3" customWidth="1"/>
    <col min="10" max="10" width="27.6640625" style="3" customWidth="1"/>
    <col min="11" max="18" width="10.21875" style="3" customWidth="1"/>
    <col min="19" max="19" width="32.33203125" style="3" customWidth="1"/>
    <col min="20" max="27" width="10.21875" style="3" customWidth="1"/>
    <col min="28" max="28" width="32.33203125" style="3" hidden="1" customWidth="1"/>
    <col min="29" max="36" width="10.21875" style="3" hidden="1" customWidth="1"/>
    <col min="37" max="37" width="32.33203125" style="3" hidden="1" customWidth="1"/>
    <col min="38" max="45" width="10.21875" style="3" hidden="1" customWidth="1"/>
    <col min="46" max="46" width="27.6640625" style="3" customWidth="1"/>
    <col min="47" max="54" width="10.21875" style="3" customWidth="1"/>
    <col min="55" max="55" width="27.6640625" style="3" customWidth="1"/>
    <col min="56" max="63" width="10.21875" style="3" customWidth="1"/>
    <col min="64" max="16384" width="8.88671875" style="3"/>
  </cols>
  <sheetData>
    <row r="1" spans="1:63" ht="17.25" customHeight="1">
      <c r="A1" s="4" t="s">
        <v>164</v>
      </c>
      <c r="B1" s="5">
        <f>'환기량 산정'!H34</f>
        <v>2222</v>
      </c>
      <c r="C1" s="6" t="s">
        <v>148</v>
      </c>
      <c r="D1" s="7"/>
      <c r="E1" s="53"/>
      <c r="F1" s="53"/>
      <c r="G1" s="53"/>
      <c r="H1" s="53"/>
      <c r="I1" s="53"/>
      <c r="J1" s="4" t="s">
        <v>164</v>
      </c>
      <c r="K1" s="5">
        <f>B1</f>
        <v>2222</v>
      </c>
      <c r="L1" s="6" t="s">
        <v>148</v>
      </c>
      <c r="M1" s="7"/>
      <c r="N1" s="7"/>
      <c r="O1" s="9"/>
      <c r="P1" s="9"/>
      <c r="Q1" s="7"/>
      <c r="R1" s="7"/>
      <c r="S1" s="4" t="s">
        <v>164</v>
      </c>
      <c r="T1" s="5">
        <f>K1</f>
        <v>2222</v>
      </c>
      <c r="U1" s="6" t="s">
        <v>148</v>
      </c>
      <c r="V1" s="7"/>
      <c r="W1" s="9"/>
      <c r="X1" s="9"/>
      <c r="Y1" s="9"/>
      <c r="Z1" s="7"/>
      <c r="AA1" s="7"/>
      <c r="AK1" s="4"/>
      <c r="AL1" s="8"/>
      <c r="AM1" s="6"/>
      <c r="AN1" s="7"/>
      <c r="AO1" s="53"/>
      <c r="AP1" s="53"/>
      <c r="AQ1" s="53"/>
      <c r="AR1" s="53"/>
      <c r="AS1" s="53"/>
      <c r="AT1" s="4"/>
      <c r="AU1" s="5"/>
      <c r="AV1" s="6"/>
      <c r="AW1" s="7"/>
      <c r="AX1" s="7"/>
      <c r="AY1" s="9"/>
      <c r="AZ1" s="9"/>
      <c r="BA1" s="7"/>
      <c r="BB1" s="7"/>
      <c r="BC1" s="4"/>
      <c r="BD1" s="5"/>
      <c r="BE1" s="6"/>
      <c r="BF1" s="7"/>
      <c r="BG1" s="7"/>
      <c r="BH1" s="9"/>
      <c r="BI1" s="9"/>
      <c r="BJ1" s="7"/>
      <c r="BK1" s="7"/>
    </row>
    <row r="2" spans="1:63">
      <c r="A2" s="7"/>
      <c r="B2" s="7"/>
      <c r="C2" s="7"/>
      <c r="D2" s="181"/>
      <c r="E2" s="53"/>
      <c r="F2" s="53"/>
      <c r="G2" s="53"/>
      <c r="H2" s="53"/>
      <c r="I2" s="5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K2" s="7"/>
      <c r="AL2" s="7"/>
      <c r="AM2" s="7"/>
      <c r="AN2" s="7"/>
      <c r="AO2" s="53"/>
      <c r="AP2" s="53"/>
      <c r="AQ2" s="53"/>
      <c r="AR2" s="53"/>
      <c r="AS2" s="53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spans="1:63" ht="20.100000000000001" customHeight="1" thickBot="1">
      <c r="A3" s="4" t="s">
        <v>223</v>
      </c>
      <c r="B3" s="10" t="s">
        <v>160</v>
      </c>
      <c r="C3" s="11">
        <v>1030</v>
      </c>
      <c r="E3" s="12" t="s">
        <v>177</v>
      </c>
      <c r="F3" s="135">
        <v>140</v>
      </c>
      <c r="G3" s="3" t="s">
        <v>178</v>
      </c>
      <c r="H3" s="13" t="s">
        <v>327</v>
      </c>
      <c r="I3" s="250">
        <v>1</v>
      </c>
      <c r="J3" s="4" t="s">
        <v>165</v>
      </c>
      <c r="K3" s="10" t="s">
        <v>160</v>
      </c>
      <c r="L3" s="14">
        <f>C3</f>
        <v>1030</v>
      </c>
      <c r="N3" s="12"/>
      <c r="O3" s="13"/>
      <c r="R3" s="9"/>
      <c r="S3" s="4" t="s">
        <v>166</v>
      </c>
      <c r="T3" s="10" t="s">
        <v>160</v>
      </c>
      <c r="U3" s="14">
        <f>L3</f>
        <v>1030</v>
      </c>
      <c r="AA3" s="9"/>
      <c r="AB3" s="4" t="s">
        <v>120</v>
      </c>
      <c r="AC3" s="54" t="s">
        <v>10</v>
      </c>
      <c r="AD3" s="5">
        <f>$B$1</f>
        <v>2222</v>
      </c>
      <c r="AE3" s="6" t="s">
        <v>404</v>
      </c>
      <c r="AF3" s="8" t="s">
        <v>405</v>
      </c>
      <c r="AG3" s="8"/>
      <c r="AH3" s="8"/>
      <c r="AI3" s="7"/>
      <c r="AJ3" s="7"/>
      <c r="AK3" s="4" t="s">
        <v>227</v>
      </c>
      <c r="AL3" s="10"/>
      <c r="AM3" s="174"/>
      <c r="AO3" s="12"/>
      <c r="AP3" s="13"/>
      <c r="AS3" s="9"/>
      <c r="AT3" s="4" t="s">
        <v>424</v>
      </c>
      <c r="AU3" s="10" t="s">
        <v>160</v>
      </c>
      <c r="AV3" s="14">
        <f>C3</f>
        <v>1030</v>
      </c>
      <c r="AX3" s="12"/>
      <c r="AY3" s="13"/>
      <c r="BB3" s="9"/>
      <c r="BC3" s="4" t="s">
        <v>509</v>
      </c>
      <c r="BD3" s="10" t="s">
        <v>160</v>
      </c>
      <c r="BE3" s="14">
        <f>L3</f>
        <v>1030</v>
      </c>
      <c r="BG3" s="12"/>
      <c r="BH3" s="13"/>
      <c r="BK3" s="9"/>
    </row>
    <row r="4" spans="1:63">
      <c r="A4" s="1523" t="s">
        <v>167</v>
      </c>
      <c r="B4" s="16"/>
      <c r="C4" s="17"/>
      <c r="D4" s="18" t="str">
        <f>'환기량 산정'!B6</f>
        <v>마산</v>
      </c>
      <c r="E4" s="19" t="str">
        <f>'환기량 산정'!D6</f>
        <v>⇒</v>
      </c>
      <c r="F4" s="18" t="str">
        <f>'환기량 산정'!E6</f>
        <v>진주</v>
      </c>
      <c r="G4" s="19" t="s">
        <v>328</v>
      </c>
      <c r="H4" s="17"/>
      <c r="I4" s="20"/>
      <c r="J4" s="128" t="s">
        <v>167</v>
      </c>
      <c r="K4" s="16"/>
      <c r="L4" s="17"/>
      <c r="M4" s="18" t="str">
        <f>D4</f>
        <v>마산</v>
      </c>
      <c r="N4" s="19" t="str">
        <f>E4</f>
        <v>⇒</v>
      </c>
      <c r="O4" s="18" t="str">
        <f>F4</f>
        <v>진주</v>
      </c>
      <c r="P4" s="19" t="s">
        <v>9</v>
      </c>
      <c r="Q4" s="17"/>
      <c r="R4" s="20"/>
      <c r="S4" s="128" t="s">
        <v>167</v>
      </c>
      <c r="T4" s="16"/>
      <c r="U4" s="17"/>
      <c r="V4" s="18" t="str">
        <f>M4</f>
        <v>마산</v>
      </c>
      <c r="W4" s="19" t="str">
        <f>N4</f>
        <v>⇒</v>
      </c>
      <c r="X4" s="18" t="str">
        <f>O4</f>
        <v>진주</v>
      </c>
      <c r="Y4" s="19" t="s">
        <v>9</v>
      </c>
      <c r="Z4" s="17"/>
      <c r="AA4" s="20"/>
      <c r="AB4" s="128" t="s">
        <v>406</v>
      </c>
      <c r="AC4" s="55"/>
      <c r="AD4" s="19"/>
      <c r="AE4" s="18" t="str">
        <f>D4</f>
        <v>마산</v>
      </c>
      <c r="AF4" s="19" t="str">
        <f>E4</f>
        <v>⇒</v>
      </c>
      <c r="AG4" s="18" t="str">
        <f>F4</f>
        <v>진주</v>
      </c>
      <c r="AH4" s="19" t="str">
        <f>G4</f>
        <v>구 간</v>
      </c>
      <c r="AI4" s="19"/>
      <c r="AJ4" s="56"/>
      <c r="AK4" s="1523" t="s">
        <v>258</v>
      </c>
      <c r="AL4" s="16"/>
      <c r="AM4" s="17"/>
      <c r="AN4" s="18" t="str">
        <f>D4</f>
        <v>마산</v>
      </c>
      <c r="AO4" s="173" t="str">
        <f>E4</f>
        <v>⇒</v>
      </c>
      <c r="AP4" s="18" t="str">
        <f>F4</f>
        <v>진주</v>
      </c>
      <c r="AQ4" s="19" t="s">
        <v>9</v>
      </c>
      <c r="AR4" s="17"/>
      <c r="AS4" s="20"/>
      <c r="AT4" s="128" t="s">
        <v>167</v>
      </c>
      <c r="AU4" s="16"/>
      <c r="AV4" s="17"/>
      <c r="AW4" s="18" t="str">
        <f>AN4</f>
        <v>마산</v>
      </c>
      <c r="AX4" s="19" t="str">
        <f>AO4</f>
        <v>⇒</v>
      </c>
      <c r="AY4" s="18" t="str">
        <f>AP4</f>
        <v>진주</v>
      </c>
      <c r="AZ4" s="19" t="s">
        <v>9</v>
      </c>
      <c r="BA4" s="17"/>
      <c r="BB4" s="20"/>
      <c r="BC4" s="128" t="s">
        <v>167</v>
      </c>
      <c r="BD4" s="16"/>
      <c r="BE4" s="17"/>
      <c r="BF4" s="18" t="str">
        <f>AW4</f>
        <v>마산</v>
      </c>
      <c r="BG4" s="19" t="str">
        <f>AX4</f>
        <v>⇒</v>
      </c>
      <c r="BH4" s="18" t="str">
        <f>AY4</f>
        <v>진주</v>
      </c>
      <c r="BI4" s="19" t="s">
        <v>9</v>
      </c>
      <c r="BJ4" s="17"/>
      <c r="BK4" s="20"/>
    </row>
    <row r="5" spans="1:63">
      <c r="A5" s="1524"/>
      <c r="B5" s="21" t="s">
        <v>168</v>
      </c>
      <c r="C5" s="22"/>
      <c r="D5" s="23"/>
      <c r="E5" s="24" t="s">
        <v>169</v>
      </c>
      <c r="F5" s="25"/>
      <c r="G5" s="23"/>
      <c r="H5" s="25"/>
      <c r="I5" s="26"/>
      <c r="J5" s="129"/>
      <c r="K5" s="21" t="s">
        <v>168</v>
      </c>
      <c r="L5" s="22"/>
      <c r="M5" s="23"/>
      <c r="N5" s="24" t="s">
        <v>170</v>
      </c>
      <c r="O5" s="25"/>
      <c r="P5" s="23"/>
      <c r="Q5" s="25"/>
      <c r="R5" s="26"/>
      <c r="S5" s="129"/>
      <c r="T5" s="21" t="s">
        <v>168</v>
      </c>
      <c r="U5" s="22"/>
      <c r="V5" s="23"/>
      <c r="W5" s="24" t="s">
        <v>171</v>
      </c>
      <c r="Y5" s="23"/>
      <c r="Z5" s="25"/>
      <c r="AA5" s="26"/>
      <c r="AB5" s="129"/>
      <c r="AC5" s="1529" t="s">
        <v>244</v>
      </c>
      <c r="AD5" s="1530"/>
      <c r="AE5" s="1530"/>
      <c r="AF5" s="1530"/>
      <c r="AG5" s="1530"/>
      <c r="AH5" s="1530"/>
      <c r="AI5" s="1530"/>
      <c r="AJ5" s="1531"/>
      <c r="AK5" s="1524"/>
      <c r="AL5" s="21" t="s">
        <v>259</v>
      </c>
      <c r="AM5" s="22"/>
      <c r="AN5" s="23"/>
      <c r="AO5" s="23"/>
      <c r="AP5" s="24"/>
      <c r="AQ5" s="23"/>
      <c r="AR5" s="25"/>
      <c r="AS5" s="26"/>
      <c r="AT5" s="129"/>
      <c r="AU5" s="1526" t="s">
        <v>517</v>
      </c>
      <c r="AV5" s="1527"/>
      <c r="AW5" s="1527"/>
      <c r="AX5" s="1527"/>
      <c r="AY5" s="1527"/>
      <c r="AZ5" s="1527"/>
      <c r="BA5" s="1527"/>
      <c r="BB5" s="1528"/>
      <c r="BC5" s="129"/>
      <c r="BD5" s="1526" t="s">
        <v>516</v>
      </c>
      <c r="BE5" s="1527"/>
      <c r="BF5" s="1527"/>
      <c r="BG5" s="1527"/>
      <c r="BH5" s="1527"/>
      <c r="BI5" s="1527"/>
      <c r="BJ5" s="1527"/>
      <c r="BK5" s="1528"/>
    </row>
    <row r="6" spans="1:63">
      <c r="A6" s="30" t="s">
        <v>106</v>
      </c>
      <c r="B6" s="184">
        <v>10</v>
      </c>
      <c r="C6" s="32">
        <v>20</v>
      </c>
      <c r="D6" s="32">
        <v>30</v>
      </c>
      <c r="E6" s="32">
        <v>40</v>
      </c>
      <c r="F6" s="32">
        <v>50</v>
      </c>
      <c r="G6" s="32">
        <v>60</v>
      </c>
      <c r="H6" s="32">
        <v>70</v>
      </c>
      <c r="I6" s="33">
        <v>80</v>
      </c>
      <c r="J6" s="30" t="s">
        <v>106</v>
      </c>
      <c r="K6" s="186">
        <v>10</v>
      </c>
      <c r="L6" s="32">
        <v>20</v>
      </c>
      <c r="M6" s="32">
        <v>30</v>
      </c>
      <c r="N6" s="32">
        <v>40</v>
      </c>
      <c r="O6" s="32">
        <v>50</v>
      </c>
      <c r="P6" s="32">
        <v>60</v>
      </c>
      <c r="Q6" s="32">
        <v>70</v>
      </c>
      <c r="R6" s="33">
        <v>80</v>
      </c>
      <c r="S6" s="30" t="s">
        <v>106</v>
      </c>
      <c r="T6" s="184">
        <v>10</v>
      </c>
      <c r="U6" s="32">
        <v>20</v>
      </c>
      <c r="V6" s="32">
        <v>30</v>
      </c>
      <c r="W6" s="32">
        <v>40</v>
      </c>
      <c r="X6" s="32">
        <v>50</v>
      </c>
      <c r="Y6" s="32">
        <v>60</v>
      </c>
      <c r="Z6" s="32">
        <v>70</v>
      </c>
      <c r="AA6" s="33">
        <v>80</v>
      </c>
      <c r="AB6" s="57" t="s">
        <v>106</v>
      </c>
      <c r="AC6" s="58">
        <f t="shared" ref="AC6:AJ6" si="0">B$6</f>
        <v>10</v>
      </c>
      <c r="AD6" s="59">
        <f t="shared" si="0"/>
        <v>20</v>
      </c>
      <c r="AE6" s="59">
        <f t="shared" si="0"/>
        <v>30</v>
      </c>
      <c r="AF6" s="59">
        <f t="shared" si="0"/>
        <v>40</v>
      </c>
      <c r="AG6" s="59">
        <f t="shared" si="0"/>
        <v>50</v>
      </c>
      <c r="AH6" s="137">
        <f t="shared" si="0"/>
        <v>60</v>
      </c>
      <c r="AI6" s="59">
        <f t="shared" si="0"/>
        <v>70</v>
      </c>
      <c r="AJ6" s="60">
        <f t="shared" si="0"/>
        <v>80</v>
      </c>
      <c r="AK6" s="30" t="s">
        <v>106</v>
      </c>
      <c r="AL6" s="31">
        <v>10</v>
      </c>
      <c r="AM6" s="32">
        <v>20</v>
      </c>
      <c r="AN6" s="32">
        <v>30</v>
      </c>
      <c r="AO6" s="32">
        <v>40</v>
      </c>
      <c r="AP6" s="32">
        <v>50</v>
      </c>
      <c r="AQ6" s="32">
        <v>60</v>
      </c>
      <c r="AR6" s="32">
        <v>70</v>
      </c>
      <c r="AS6" s="33">
        <v>80</v>
      </c>
      <c r="AT6" s="30" t="s">
        <v>106</v>
      </c>
      <c r="AU6" s="324">
        <v>10</v>
      </c>
      <c r="AV6" s="325">
        <v>20</v>
      </c>
      <c r="AW6" s="325">
        <v>30</v>
      </c>
      <c r="AX6" s="325">
        <v>40</v>
      </c>
      <c r="AY6" s="325">
        <v>50</v>
      </c>
      <c r="AZ6" s="325">
        <v>60</v>
      </c>
      <c r="BA6" s="325">
        <v>70</v>
      </c>
      <c r="BB6" s="326">
        <v>80</v>
      </c>
      <c r="BC6" s="30" t="s">
        <v>106</v>
      </c>
      <c r="BD6" s="324">
        <v>10</v>
      </c>
      <c r="BE6" s="325">
        <v>20</v>
      </c>
      <c r="BF6" s="325">
        <v>30</v>
      </c>
      <c r="BG6" s="325">
        <v>40</v>
      </c>
      <c r="BH6" s="325">
        <v>50</v>
      </c>
      <c r="BI6" s="325">
        <v>60</v>
      </c>
      <c r="BJ6" s="325">
        <v>70</v>
      </c>
      <c r="BK6" s="326">
        <v>80</v>
      </c>
    </row>
    <row r="7" spans="1:63">
      <c r="A7" s="36" t="s">
        <v>107</v>
      </c>
      <c r="B7" s="44">
        <f t="shared" ref="B7:I7" si="1">ROUND(B6/3.6,2)</f>
        <v>2.78</v>
      </c>
      <c r="C7" s="38">
        <f t="shared" si="1"/>
        <v>5.56</v>
      </c>
      <c r="D7" s="38">
        <f t="shared" si="1"/>
        <v>8.33</v>
      </c>
      <c r="E7" s="38">
        <f t="shared" si="1"/>
        <v>11.11</v>
      </c>
      <c r="F7" s="38">
        <f t="shared" si="1"/>
        <v>13.89</v>
      </c>
      <c r="G7" s="38">
        <f t="shared" si="1"/>
        <v>16.670000000000002</v>
      </c>
      <c r="H7" s="63">
        <f t="shared" si="1"/>
        <v>19.440000000000001</v>
      </c>
      <c r="I7" s="39">
        <f t="shared" si="1"/>
        <v>22.22</v>
      </c>
      <c r="J7" s="36" t="s">
        <v>107</v>
      </c>
      <c r="K7" s="62">
        <f t="shared" ref="K7:R7" si="2">ROUND(K6/3.6,2)</f>
        <v>2.78</v>
      </c>
      <c r="L7" s="38">
        <f t="shared" si="2"/>
        <v>5.56</v>
      </c>
      <c r="M7" s="38">
        <f t="shared" si="2"/>
        <v>8.33</v>
      </c>
      <c r="N7" s="38">
        <f t="shared" si="2"/>
        <v>11.11</v>
      </c>
      <c r="O7" s="38">
        <f t="shared" si="2"/>
        <v>13.89</v>
      </c>
      <c r="P7" s="38">
        <f t="shared" si="2"/>
        <v>16.670000000000002</v>
      </c>
      <c r="Q7" s="38">
        <f t="shared" si="2"/>
        <v>19.440000000000001</v>
      </c>
      <c r="R7" s="39">
        <f t="shared" si="2"/>
        <v>22.22</v>
      </c>
      <c r="S7" s="36" t="s">
        <v>107</v>
      </c>
      <c r="T7" s="44">
        <f t="shared" ref="T7:AA7" si="3">ROUND(T6/3.6,2)</f>
        <v>2.78</v>
      </c>
      <c r="U7" s="38">
        <f t="shared" si="3"/>
        <v>5.56</v>
      </c>
      <c r="V7" s="38">
        <f t="shared" si="3"/>
        <v>8.33</v>
      </c>
      <c r="W7" s="38">
        <f t="shared" si="3"/>
        <v>11.11</v>
      </c>
      <c r="X7" s="38">
        <f t="shared" si="3"/>
        <v>13.89</v>
      </c>
      <c r="Y7" s="38">
        <f t="shared" si="3"/>
        <v>16.670000000000002</v>
      </c>
      <c r="Z7" s="38">
        <f t="shared" si="3"/>
        <v>19.440000000000001</v>
      </c>
      <c r="AA7" s="39">
        <f t="shared" si="3"/>
        <v>22.22</v>
      </c>
      <c r="AB7" s="36" t="s">
        <v>121</v>
      </c>
      <c r="AC7" s="127">
        <v>2.8</v>
      </c>
      <c r="AD7" s="38">
        <f t="shared" ref="AD7:AJ7" si="4">AC7</f>
        <v>2.8</v>
      </c>
      <c r="AE7" s="38">
        <f t="shared" si="4"/>
        <v>2.8</v>
      </c>
      <c r="AF7" s="38">
        <f t="shared" si="4"/>
        <v>2.8</v>
      </c>
      <c r="AG7" s="38">
        <f t="shared" si="4"/>
        <v>2.8</v>
      </c>
      <c r="AH7" s="63">
        <f t="shared" si="4"/>
        <v>2.8</v>
      </c>
      <c r="AI7" s="38">
        <f t="shared" si="4"/>
        <v>2.8</v>
      </c>
      <c r="AJ7" s="39">
        <f t="shared" si="4"/>
        <v>2.8</v>
      </c>
      <c r="AK7" s="164" t="s">
        <v>260</v>
      </c>
      <c r="AL7" s="40">
        <f t="shared" ref="AL7:AS7" si="5">B31</f>
        <v>1</v>
      </c>
      <c r="AM7" s="40">
        <f t="shared" si="5"/>
        <v>0</v>
      </c>
      <c r="AN7" s="40">
        <f t="shared" si="5"/>
        <v>0</v>
      </c>
      <c r="AO7" s="40">
        <f t="shared" si="5"/>
        <v>0</v>
      </c>
      <c r="AP7" s="40">
        <f t="shared" si="5"/>
        <v>0</v>
      </c>
      <c r="AQ7" s="40">
        <f t="shared" si="5"/>
        <v>0</v>
      </c>
      <c r="AR7" s="139">
        <f t="shared" si="5"/>
        <v>0</v>
      </c>
      <c r="AS7" s="41">
        <f t="shared" si="5"/>
        <v>0</v>
      </c>
      <c r="AT7" s="36" t="s">
        <v>107</v>
      </c>
      <c r="AU7" s="327">
        <f t="shared" ref="AU7:BB7" si="6">ROUND(AU6/3.6,2)</f>
        <v>2.78</v>
      </c>
      <c r="AV7" s="328">
        <f t="shared" si="6"/>
        <v>5.56</v>
      </c>
      <c r="AW7" s="328">
        <f t="shared" si="6"/>
        <v>8.33</v>
      </c>
      <c r="AX7" s="328">
        <f t="shared" si="6"/>
        <v>11.11</v>
      </c>
      <c r="AY7" s="328">
        <f t="shared" si="6"/>
        <v>13.89</v>
      </c>
      <c r="AZ7" s="328">
        <f t="shared" si="6"/>
        <v>16.670000000000002</v>
      </c>
      <c r="BA7" s="328">
        <f t="shared" si="6"/>
        <v>19.440000000000001</v>
      </c>
      <c r="BB7" s="342">
        <f t="shared" si="6"/>
        <v>22.22</v>
      </c>
      <c r="BC7" s="36" t="s">
        <v>107</v>
      </c>
      <c r="BD7" s="327">
        <f t="shared" ref="BD7:BK7" si="7">ROUND(BD6/3.6,2)</f>
        <v>2.78</v>
      </c>
      <c r="BE7" s="328">
        <f t="shared" si="7"/>
        <v>5.56</v>
      </c>
      <c r="BF7" s="328">
        <f t="shared" si="7"/>
        <v>8.33</v>
      </c>
      <c r="BG7" s="328">
        <f t="shared" si="7"/>
        <v>11.11</v>
      </c>
      <c r="BH7" s="328">
        <f t="shared" si="7"/>
        <v>13.89</v>
      </c>
      <c r="BI7" s="328">
        <f t="shared" si="7"/>
        <v>16.670000000000002</v>
      </c>
      <c r="BJ7" s="328">
        <f t="shared" si="7"/>
        <v>19.440000000000001</v>
      </c>
      <c r="BK7" s="342">
        <f t="shared" si="7"/>
        <v>22.22</v>
      </c>
    </row>
    <row r="8" spans="1:63">
      <c r="A8" s="36" t="s">
        <v>108</v>
      </c>
      <c r="B8" s="180">
        <f>'환기량 산정'!B1511</f>
        <v>6</v>
      </c>
      <c r="C8" s="42">
        <f>'환기량 산정'!D$704</f>
        <v>9</v>
      </c>
      <c r="D8" s="42">
        <f>'환기량 산정'!E$704</f>
        <v>9</v>
      </c>
      <c r="E8" s="42">
        <f>'환기량 산정'!F$704</f>
        <v>10</v>
      </c>
      <c r="F8" s="42">
        <f>'환기량 산정'!G$704</f>
        <v>14</v>
      </c>
      <c r="G8" s="42">
        <f>'환기량 산정'!H$704</f>
        <v>14</v>
      </c>
      <c r="H8" s="61">
        <f>'환기량 산정'!I$704</f>
        <v>14</v>
      </c>
      <c r="I8" s="43">
        <f>'환기량 산정'!J$704</f>
        <v>14</v>
      </c>
      <c r="J8" s="36" t="s">
        <v>108</v>
      </c>
      <c r="K8" s="187">
        <f>'환기량 산정'!B1513</f>
        <v>15</v>
      </c>
      <c r="L8" s="42">
        <f>'환기량 산정'!C1513</f>
        <v>13</v>
      </c>
      <c r="M8" s="42">
        <f>'환기량 산정'!D1513</f>
        <v>9</v>
      </c>
      <c r="N8" s="42">
        <f>'환기량 산정'!E1513</f>
        <v>8</v>
      </c>
      <c r="O8" s="42">
        <f>'환기량 산정'!F1513</f>
        <v>7</v>
      </c>
      <c r="P8" s="42">
        <f>'환기량 산정'!G1513</f>
        <v>6</v>
      </c>
      <c r="Q8" s="42">
        <f>'환기량 산정'!H1513</f>
        <v>7</v>
      </c>
      <c r="R8" s="43">
        <f>'환기량 산정'!I1513</f>
        <v>7</v>
      </c>
      <c r="S8" s="36" t="s">
        <v>108</v>
      </c>
      <c r="T8" s="180">
        <f>'환기량 산정'!B1515</f>
        <v>3</v>
      </c>
      <c r="U8" s="42">
        <f>'환기량 산정'!C1515</f>
        <v>2</v>
      </c>
      <c r="V8" s="42">
        <f>'환기량 산정'!D1515</f>
        <v>2</v>
      </c>
      <c r="W8" s="42">
        <f>'환기량 산정'!E1515</f>
        <v>2</v>
      </c>
      <c r="X8" s="42">
        <f>'환기량 산정'!F1515</f>
        <v>1</v>
      </c>
      <c r="Y8" s="42">
        <f>'환기량 산정'!G1515</f>
        <v>1</v>
      </c>
      <c r="Z8" s="42">
        <f>'환기량 산정'!H1515</f>
        <v>1</v>
      </c>
      <c r="AA8" s="43">
        <f>'환기량 산정'!I1515</f>
        <v>1</v>
      </c>
      <c r="AB8" s="36" t="s">
        <v>111</v>
      </c>
      <c r="AC8" s="44">
        <f>'환기량 산정'!B1504</f>
        <v>1060</v>
      </c>
      <c r="AD8" s="38">
        <f>'환기량 산정'!C1504</f>
        <v>1536</v>
      </c>
      <c r="AE8" s="38">
        <f>'환기량 산정'!D1504</f>
        <v>1779</v>
      </c>
      <c r="AF8" s="38">
        <f>'환기량 산정'!E1504</f>
        <v>1867</v>
      </c>
      <c r="AG8" s="38">
        <f>'환기량 산정'!F1504</f>
        <v>1944</v>
      </c>
      <c r="AH8" s="38">
        <f>'환기량 산정'!G1504</f>
        <v>1925</v>
      </c>
      <c r="AI8" s="38">
        <f>'환기량 산정'!H1504</f>
        <v>1906</v>
      </c>
      <c r="AJ8" s="39">
        <f>'환기량 산정'!I1504</f>
        <v>1944</v>
      </c>
      <c r="AK8" s="69" t="s">
        <v>261</v>
      </c>
      <c r="AL8" s="44">
        <f t="shared" ref="AL8:AS8" si="8">K31</f>
        <v>1</v>
      </c>
      <c r="AM8" s="38">
        <f t="shared" si="8"/>
        <v>0</v>
      </c>
      <c r="AN8" s="38">
        <f t="shared" si="8"/>
        <v>0</v>
      </c>
      <c r="AO8" s="38">
        <f t="shared" si="8"/>
        <v>0</v>
      </c>
      <c r="AP8" s="38">
        <f t="shared" si="8"/>
        <v>0</v>
      </c>
      <c r="AQ8" s="38">
        <f t="shared" si="8"/>
        <v>0</v>
      </c>
      <c r="AR8" s="63">
        <f t="shared" si="8"/>
        <v>0</v>
      </c>
      <c r="AS8" s="39">
        <f t="shared" si="8"/>
        <v>0</v>
      </c>
      <c r="AT8" s="36" t="s">
        <v>108</v>
      </c>
      <c r="AU8" s="330">
        <f>'환기량 산정'!H1540</f>
        <v>137</v>
      </c>
      <c r="AV8" s="331">
        <f t="shared" ref="AV8:BB8" si="9">AU8</f>
        <v>137</v>
      </c>
      <c r="AW8" s="331">
        <f t="shared" si="9"/>
        <v>137</v>
      </c>
      <c r="AX8" s="331">
        <f t="shared" si="9"/>
        <v>137</v>
      </c>
      <c r="AY8" s="331">
        <f t="shared" si="9"/>
        <v>137</v>
      </c>
      <c r="AZ8" s="331">
        <f t="shared" si="9"/>
        <v>137</v>
      </c>
      <c r="BA8" s="331">
        <f t="shared" si="9"/>
        <v>137</v>
      </c>
      <c r="BB8" s="343">
        <f t="shared" si="9"/>
        <v>137</v>
      </c>
      <c r="BC8" s="36" t="s">
        <v>108</v>
      </c>
      <c r="BD8" s="330">
        <f>'환기량 산정'!H1545</f>
        <v>89</v>
      </c>
      <c r="BE8" s="331">
        <f t="shared" ref="BE8:BK8" si="10">BD8</f>
        <v>89</v>
      </c>
      <c r="BF8" s="331">
        <f t="shared" si="10"/>
        <v>89</v>
      </c>
      <c r="BG8" s="331">
        <f t="shared" si="10"/>
        <v>89</v>
      </c>
      <c r="BH8" s="331">
        <f t="shared" si="10"/>
        <v>89</v>
      </c>
      <c r="BI8" s="331">
        <f t="shared" si="10"/>
        <v>89</v>
      </c>
      <c r="BJ8" s="331">
        <f t="shared" si="10"/>
        <v>89</v>
      </c>
      <c r="BK8" s="343">
        <f t="shared" si="10"/>
        <v>89</v>
      </c>
    </row>
    <row r="9" spans="1:63">
      <c r="A9" s="69" t="s">
        <v>109</v>
      </c>
      <c r="B9" s="242">
        <f t="shared" ref="B9:I9" si="11">ROUND(B8/B12,4)</f>
        <v>0.1023</v>
      </c>
      <c r="C9" s="38">
        <f t="shared" si="11"/>
        <v>0.15340000000000001</v>
      </c>
      <c r="D9" s="38">
        <f t="shared" si="11"/>
        <v>0.15340000000000001</v>
      </c>
      <c r="E9" s="38">
        <f t="shared" si="11"/>
        <v>0.1704</v>
      </c>
      <c r="F9" s="38">
        <f t="shared" si="11"/>
        <v>0.23860000000000001</v>
      </c>
      <c r="G9" s="38">
        <f t="shared" si="11"/>
        <v>0.23860000000000001</v>
      </c>
      <c r="H9" s="63">
        <f t="shared" si="11"/>
        <v>0.23860000000000001</v>
      </c>
      <c r="I9" s="39">
        <f t="shared" si="11"/>
        <v>0.23860000000000001</v>
      </c>
      <c r="J9" s="36" t="s">
        <v>109</v>
      </c>
      <c r="K9" s="1406">
        <f t="shared" ref="K9:R9" si="12">ROUND(K8/K12,4)</f>
        <v>0.25569999999999998</v>
      </c>
      <c r="L9" s="1407">
        <f t="shared" si="12"/>
        <v>0.22159999999999999</v>
      </c>
      <c r="M9" s="1407">
        <f t="shared" si="12"/>
        <v>0.15340000000000001</v>
      </c>
      <c r="N9" s="1407">
        <f t="shared" si="12"/>
        <v>0.13639999999999999</v>
      </c>
      <c r="O9" s="1407">
        <f t="shared" si="12"/>
        <v>0.1193</v>
      </c>
      <c r="P9" s="1407">
        <f t="shared" si="12"/>
        <v>0.1023</v>
      </c>
      <c r="Q9" s="1407">
        <f t="shared" si="12"/>
        <v>0.1193</v>
      </c>
      <c r="R9" s="1408">
        <f t="shared" si="12"/>
        <v>0.1193</v>
      </c>
      <c r="S9" s="36" t="s">
        <v>109</v>
      </c>
      <c r="T9" s="44">
        <f t="shared" ref="T9:AA9" si="13">ROUND(T8/T12,4)</f>
        <v>5.11E-2</v>
      </c>
      <c r="U9" s="38">
        <f t="shared" si="13"/>
        <v>3.4099999999999998E-2</v>
      </c>
      <c r="V9" s="38">
        <f t="shared" si="13"/>
        <v>3.4099999999999998E-2</v>
      </c>
      <c r="W9" s="38">
        <f t="shared" si="13"/>
        <v>3.4099999999999998E-2</v>
      </c>
      <c r="X9" s="38">
        <f t="shared" si="13"/>
        <v>1.7000000000000001E-2</v>
      </c>
      <c r="Y9" s="38">
        <f t="shared" si="13"/>
        <v>1.7000000000000001E-2</v>
      </c>
      <c r="Z9" s="38">
        <f t="shared" si="13"/>
        <v>1.7000000000000001E-2</v>
      </c>
      <c r="AA9" s="39">
        <f t="shared" si="13"/>
        <v>1.7000000000000001E-2</v>
      </c>
      <c r="AB9" s="36" t="s">
        <v>122</v>
      </c>
      <c r="AC9" s="37">
        <f t="shared" ref="AC9:AJ9" si="14">ROUND(AC8*B13/(AC6*1000)+AC8*3/60+0.4,0)</f>
        <v>159</v>
      </c>
      <c r="AD9" s="38">
        <f t="shared" si="14"/>
        <v>154</v>
      </c>
      <c r="AE9" s="38">
        <f t="shared" si="14"/>
        <v>149</v>
      </c>
      <c r="AF9" s="38">
        <f t="shared" si="14"/>
        <v>140</v>
      </c>
      <c r="AG9" s="38">
        <f t="shared" si="14"/>
        <v>136</v>
      </c>
      <c r="AH9" s="63">
        <f t="shared" si="14"/>
        <v>129</v>
      </c>
      <c r="AI9" s="38">
        <f t="shared" si="14"/>
        <v>123</v>
      </c>
      <c r="AJ9" s="39">
        <f t="shared" si="14"/>
        <v>122</v>
      </c>
      <c r="AK9" s="69" t="s">
        <v>248</v>
      </c>
      <c r="AL9" s="44">
        <f t="shared" ref="AL9:AS9" si="15">T31</f>
        <v>1</v>
      </c>
      <c r="AM9" s="38">
        <f t="shared" si="15"/>
        <v>0</v>
      </c>
      <c r="AN9" s="38">
        <f t="shared" si="15"/>
        <v>0</v>
      </c>
      <c r="AO9" s="38">
        <f t="shared" si="15"/>
        <v>0</v>
      </c>
      <c r="AP9" s="38">
        <f t="shared" si="15"/>
        <v>0</v>
      </c>
      <c r="AQ9" s="38">
        <f t="shared" si="15"/>
        <v>0</v>
      </c>
      <c r="AR9" s="63">
        <f t="shared" si="15"/>
        <v>0</v>
      </c>
      <c r="AS9" s="39">
        <f t="shared" si="15"/>
        <v>0</v>
      </c>
      <c r="AT9" s="36" t="s">
        <v>109</v>
      </c>
      <c r="AU9" s="327">
        <f t="shared" ref="AU9:BB9" si="16">ROUND(AU8/AU12,4)</f>
        <v>2.335</v>
      </c>
      <c r="AV9" s="328">
        <f t="shared" si="16"/>
        <v>2.335</v>
      </c>
      <c r="AW9" s="328">
        <f t="shared" si="16"/>
        <v>2.335</v>
      </c>
      <c r="AX9" s="328">
        <f t="shared" si="16"/>
        <v>2.335</v>
      </c>
      <c r="AY9" s="328">
        <f t="shared" si="16"/>
        <v>2.335</v>
      </c>
      <c r="AZ9" s="328">
        <f t="shared" si="16"/>
        <v>2.335</v>
      </c>
      <c r="BA9" s="328">
        <f t="shared" si="16"/>
        <v>2.335</v>
      </c>
      <c r="BB9" s="329">
        <f t="shared" si="16"/>
        <v>2.335</v>
      </c>
      <c r="BC9" s="36" t="s">
        <v>109</v>
      </c>
      <c r="BD9" s="327">
        <f t="shared" ref="BD9:BK9" si="17">ROUND(BD8/BD12,4)</f>
        <v>1.5168999999999999</v>
      </c>
      <c r="BE9" s="328">
        <f t="shared" si="17"/>
        <v>1.5168999999999999</v>
      </c>
      <c r="BF9" s="328">
        <f t="shared" si="17"/>
        <v>1.5168999999999999</v>
      </c>
      <c r="BG9" s="328">
        <f t="shared" si="17"/>
        <v>1.5168999999999999</v>
      </c>
      <c r="BH9" s="328">
        <f t="shared" si="17"/>
        <v>1.5168999999999999</v>
      </c>
      <c r="BI9" s="328">
        <f t="shared" si="17"/>
        <v>1.5168999999999999</v>
      </c>
      <c r="BJ9" s="328">
        <f t="shared" si="17"/>
        <v>1.5168999999999999</v>
      </c>
      <c r="BK9" s="329">
        <f t="shared" si="17"/>
        <v>1.5168999999999999</v>
      </c>
    </row>
    <row r="10" spans="1:63">
      <c r="A10" s="36" t="s">
        <v>110</v>
      </c>
      <c r="B10" s="360">
        <f>'환기량 산정'!$C1490</f>
        <v>2.5</v>
      </c>
      <c r="C10" s="361">
        <f>'환기량 산정'!$C1490</f>
        <v>2.5</v>
      </c>
      <c r="D10" s="361">
        <f>'환기량 산정'!$C1490</f>
        <v>2.5</v>
      </c>
      <c r="E10" s="361">
        <f>'환기량 산정'!$C1490</f>
        <v>2.5</v>
      </c>
      <c r="F10" s="361">
        <f>'환기량 산정'!$C1490</f>
        <v>2.5</v>
      </c>
      <c r="G10" s="361">
        <f>'환기량 산정'!$C1490</f>
        <v>2.5</v>
      </c>
      <c r="H10" s="362">
        <f>'환기량 산정'!$C1490</f>
        <v>2.5</v>
      </c>
      <c r="I10" s="363">
        <f>'환기량 산정'!$C1490</f>
        <v>2.5</v>
      </c>
      <c r="J10" s="36" t="s">
        <v>110</v>
      </c>
      <c r="K10" s="364">
        <f>'환기량 산정'!$C1490</f>
        <v>2.5</v>
      </c>
      <c r="L10" s="361">
        <f>'환기량 산정'!$C1490</f>
        <v>2.5</v>
      </c>
      <c r="M10" s="361">
        <f>'환기량 산정'!$C1490</f>
        <v>2.5</v>
      </c>
      <c r="N10" s="361">
        <f>'환기량 산정'!$C1490</f>
        <v>2.5</v>
      </c>
      <c r="O10" s="361">
        <f>'환기량 산정'!$C1490</f>
        <v>2.5</v>
      </c>
      <c r="P10" s="361">
        <f>'환기량 산정'!$C1490</f>
        <v>2.5</v>
      </c>
      <c r="Q10" s="361">
        <f>'환기량 산정'!$C1490</f>
        <v>2.5</v>
      </c>
      <c r="R10" s="363">
        <f>'환기량 산정'!$C1490</f>
        <v>2.5</v>
      </c>
      <c r="S10" s="36" t="s">
        <v>110</v>
      </c>
      <c r="T10" s="360">
        <f>'환기량 산정'!$C1490</f>
        <v>2.5</v>
      </c>
      <c r="U10" s="361">
        <f>'환기량 산정'!$C1490</f>
        <v>2.5</v>
      </c>
      <c r="V10" s="361">
        <f>'환기량 산정'!$C1490</f>
        <v>2.5</v>
      </c>
      <c r="W10" s="361">
        <f>'환기량 산정'!$C1490</f>
        <v>2.5</v>
      </c>
      <c r="X10" s="361">
        <f>'환기량 산정'!$C1490</f>
        <v>2.5</v>
      </c>
      <c r="Y10" s="361">
        <f>'환기량 산정'!$C1490</f>
        <v>2.5</v>
      </c>
      <c r="Z10" s="361">
        <f>'환기량 산정'!$C1490</f>
        <v>2.5</v>
      </c>
      <c r="AA10" s="363">
        <f>'환기량 산정'!$C1490</f>
        <v>2.5</v>
      </c>
      <c r="AB10" s="36" t="s">
        <v>161</v>
      </c>
      <c r="AC10" s="37"/>
      <c r="AD10" s="38"/>
      <c r="AE10" s="38"/>
      <c r="AF10" s="38"/>
      <c r="AG10" s="38"/>
      <c r="AH10" s="63"/>
      <c r="AI10" s="38"/>
      <c r="AJ10" s="39"/>
      <c r="AK10" s="166" t="s">
        <v>425</v>
      </c>
      <c r="AL10" s="355">
        <f t="shared" ref="AL10:AS10" si="18">AU31</f>
        <v>3</v>
      </c>
      <c r="AM10" s="65">
        <f t="shared" si="18"/>
        <v>2</v>
      </c>
      <c r="AN10" s="65">
        <f t="shared" si="18"/>
        <v>1</v>
      </c>
      <c r="AO10" s="65">
        <f t="shared" si="18"/>
        <v>0</v>
      </c>
      <c r="AP10" s="65">
        <f t="shared" si="18"/>
        <v>0</v>
      </c>
      <c r="AQ10" s="65">
        <f t="shared" si="18"/>
        <v>0</v>
      </c>
      <c r="AR10" s="65">
        <f t="shared" si="18"/>
        <v>0</v>
      </c>
      <c r="AS10" s="66">
        <f t="shared" si="18"/>
        <v>0</v>
      </c>
      <c r="AT10" s="36" t="s">
        <v>110</v>
      </c>
      <c r="AU10" s="357">
        <f>'환기량 산정'!$C1490</f>
        <v>2.5</v>
      </c>
      <c r="AV10" s="358">
        <f>'환기량 산정'!$C1490</f>
        <v>2.5</v>
      </c>
      <c r="AW10" s="358">
        <f>'환기량 산정'!$C1490</f>
        <v>2.5</v>
      </c>
      <c r="AX10" s="358">
        <f>'환기량 산정'!$C1490</f>
        <v>2.5</v>
      </c>
      <c r="AY10" s="358">
        <f>'환기량 산정'!$C1490</f>
        <v>2.5</v>
      </c>
      <c r="AZ10" s="358">
        <f>'환기량 산정'!$C1490</f>
        <v>2.5</v>
      </c>
      <c r="BA10" s="358">
        <f>'환기량 산정'!$C1490</f>
        <v>2.5</v>
      </c>
      <c r="BB10" s="359">
        <f>'환기량 산정'!$C1490</f>
        <v>2.5</v>
      </c>
      <c r="BC10" s="36" t="s">
        <v>110</v>
      </c>
      <c r="BD10" s="357">
        <f>'환기량 산정'!$C1490</f>
        <v>2.5</v>
      </c>
      <c r="BE10" s="358">
        <f>'환기량 산정'!$C1490</f>
        <v>2.5</v>
      </c>
      <c r="BF10" s="358">
        <f>'환기량 산정'!$C1490</f>
        <v>2.5</v>
      </c>
      <c r="BG10" s="358">
        <f>'환기량 산정'!$C1490</f>
        <v>2.5</v>
      </c>
      <c r="BH10" s="358">
        <f>'환기량 산정'!$C1490</f>
        <v>2.5</v>
      </c>
      <c r="BI10" s="358">
        <f>'환기량 산정'!$C1490</f>
        <v>2.5</v>
      </c>
      <c r="BJ10" s="358">
        <f>'환기량 산정'!$C1490</f>
        <v>2.5</v>
      </c>
      <c r="BK10" s="359">
        <f>'환기량 산정'!$C1490</f>
        <v>2.5</v>
      </c>
    </row>
    <row r="11" spans="1:63" ht="15.75">
      <c r="A11" s="36" t="s">
        <v>111</v>
      </c>
      <c r="B11" s="44">
        <f>'환기량 산정'!B1504</f>
        <v>1060</v>
      </c>
      <c r="C11" s="38">
        <f>'환기량 산정'!C1504</f>
        <v>1536</v>
      </c>
      <c r="D11" s="38">
        <f>'환기량 산정'!D1504</f>
        <v>1779</v>
      </c>
      <c r="E11" s="38">
        <f>'환기량 산정'!E1504</f>
        <v>1867</v>
      </c>
      <c r="F11" s="38">
        <f>'환기량 산정'!F1504</f>
        <v>1944</v>
      </c>
      <c r="G11" s="38">
        <f>'환기량 산정'!G1504</f>
        <v>1925</v>
      </c>
      <c r="H11" s="63">
        <f>'환기량 산정'!H1504</f>
        <v>1906</v>
      </c>
      <c r="I11" s="39">
        <f>'환기량 산정'!I1504</f>
        <v>1944</v>
      </c>
      <c r="J11" s="36" t="s">
        <v>111</v>
      </c>
      <c r="K11" s="62">
        <f t="shared" ref="K11:R11" si="19">B11</f>
        <v>1060</v>
      </c>
      <c r="L11" s="38">
        <f t="shared" si="19"/>
        <v>1536</v>
      </c>
      <c r="M11" s="38">
        <f t="shared" si="19"/>
        <v>1779</v>
      </c>
      <c r="N11" s="38">
        <f t="shared" si="19"/>
        <v>1867</v>
      </c>
      <c r="O11" s="38">
        <f t="shared" si="19"/>
        <v>1944</v>
      </c>
      <c r="P11" s="38">
        <f t="shared" si="19"/>
        <v>1925</v>
      </c>
      <c r="Q11" s="38">
        <f t="shared" si="19"/>
        <v>1906</v>
      </c>
      <c r="R11" s="39">
        <f t="shared" si="19"/>
        <v>1944</v>
      </c>
      <c r="S11" s="36" t="s">
        <v>111</v>
      </c>
      <c r="T11" s="44">
        <f t="shared" ref="T11:AA11" si="20">K11</f>
        <v>1060</v>
      </c>
      <c r="U11" s="38">
        <f t="shared" si="20"/>
        <v>1536</v>
      </c>
      <c r="V11" s="38">
        <f t="shared" si="20"/>
        <v>1779</v>
      </c>
      <c r="W11" s="38">
        <f t="shared" si="20"/>
        <v>1867</v>
      </c>
      <c r="X11" s="38">
        <f t="shared" si="20"/>
        <v>1944</v>
      </c>
      <c r="Y11" s="38">
        <f t="shared" si="20"/>
        <v>1925</v>
      </c>
      <c r="Z11" s="38">
        <f t="shared" si="20"/>
        <v>1906</v>
      </c>
      <c r="AA11" s="39">
        <f t="shared" si="20"/>
        <v>1944</v>
      </c>
      <c r="AB11" s="36" t="s">
        <v>154</v>
      </c>
      <c r="AC11" s="37">
        <f t="shared" ref="AC11:AJ11" si="21">ROUND((1+B15+B16*B13/B17)*B14/2*AC7^2,4)</f>
        <v>22.422799999999999</v>
      </c>
      <c r="AD11" s="38">
        <f t="shared" si="21"/>
        <v>22.422799999999999</v>
      </c>
      <c r="AE11" s="38">
        <f t="shared" si="21"/>
        <v>22.422799999999999</v>
      </c>
      <c r="AF11" s="38">
        <f t="shared" si="21"/>
        <v>22.422799999999999</v>
      </c>
      <c r="AG11" s="38">
        <f t="shared" si="21"/>
        <v>22.422799999999999</v>
      </c>
      <c r="AH11" s="63">
        <f t="shared" si="21"/>
        <v>22.422799999999999</v>
      </c>
      <c r="AI11" s="38">
        <f t="shared" si="21"/>
        <v>22.422799999999999</v>
      </c>
      <c r="AJ11" s="39">
        <f t="shared" si="21"/>
        <v>22.422799999999999</v>
      </c>
      <c r="AK11" s="166" t="s">
        <v>249</v>
      </c>
      <c r="AL11" s="67">
        <f t="shared" ref="AL11:AS11" si="22">AC18</f>
        <v>7</v>
      </c>
      <c r="AM11" s="65">
        <f t="shared" si="22"/>
        <v>7</v>
      </c>
      <c r="AN11" s="65">
        <f t="shared" si="22"/>
        <v>7</v>
      </c>
      <c r="AO11" s="65">
        <f t="shared" si="22"/>
        <v>7</v>
      </c>
      <c r="AP11" s="65">
        <f t="shared" si="22"/>
        <v>6</v>
      </c>
      <c r="AQ11" s="65">
        <f t="shared" si="22"/>
        <v>6</v>
      </c>
      <c r="AR11" s="65">
        <f t="shared" si="22"/>
        <v>6</v>
      </c>
      <c r="AS11" s="66">
        <f t="shared" si="22"/>
        <v>6</v>
      </c>
      <c r="AT11" s="36" t="s">
        <v>111</v>
      </c>
      <c r="AU11" s="327">
        <f t="shared" ref="AU11:BB11" si="23">B11</f>
        <v>1060</v>
      </c>
      <c r="AV11" s="332">
        <f t="shared" si="23"/>
        <v>1536</v>
      </c>
      <c r="AW11" s="332">
        <f t="shared" si="23"/>
        <v>1779</v>
      </c>
      <c r="AX11" s="332">
        <f t="shared" si="23"/>
        <v>1867</v>
      </c>
      <c r="AY11" s="332">
        <f t="shared" si="23"/>
        <v>1944</v>
      </c>
      <c r="AZ11" s="332">
        <f t="shared" si="23"/>
        <v>1925</v>
      </c>
      <c r="BA11" s="332">
        <f t="shared" si="23"/>
        <v>1906</v>
      </c>
      <c r="BB11" s="338">
        <f t="shared" si="23"/>
        <v>1944</v>
      </c>
      <c r="BC11" s="36" t="s">
        <v>111</v>
      </c>
      <c r="BD11" s="327">
        <f t="shared" ref="BD11:BK11" si="24">K11</f>
        <v>1060</v>
      </c>
      <c r="BE11" s="332">
        <f t="shared" si="24"/>
        <v>1536</v>
      </c>
      <c r="BF11" s="332">
        <f t="shared" si="24"/>
        <v>1779</v>
      </c>
      <c r="BG11" s="332">
        <f t="shared" si="24"/>
        <v>1867</v>
      </c>
      <c r="BH11" s="332">
        <f t="shared" si="24"/>
        <v>1944</v>
      </c>
      <c r="BI11" s="332">
        <f t="shared" si="24"/>
        <v>1925</v>
      </c>
      <c r="BJ11" s="332">
        <f t="shared" si="24"/>
        <v>1906</v>
      </c>
      <c r="BK11" s="338">
        <f t="shared" si="24"/>
        <v>1944</v>
      </c>
    </row>
    <row r="12" spans="1:63" ht="15.75">
      <c r="A12" s="36" t="s">
        <v>90</v>
      </c>
      <c r="B12" s="44">
        <f>'환기량 산정'!$C1488</f>
        <v>58.672159999999998</v>
      </c>
      <c r="C12" s="38">
        <f>'환기량 산정'!$C1488</f>
        <v>58.672159999999998</v>
      </c>
      <c r="D12" s="38">
        <f>'환기량 산정'!$C1488</f>
        <v>58.672159999999998</v>
      </c>
      <c r="E12" s="38">
        <f>'환기량 산정'!$C1488</f>
        <v>58.672159999999998</v>
      </c>
      <c r="F12" s="38">
        <f>'환기량 산정'!$C1488</f>
        <v>58.672159999999998</v>
      </c>
      <c r="G12" s="38">
        <f>'환기량 산정'!$C1488</f>
        <v>58.672159999999998</v>
      </c>
      <c r="H12" s="63">
        <f>'환기량 산정'!$C1488</f>
        <v>58.672159999999998</v>
      </c>
      <c r="I12" s="39">
        <f>'환기량 산정'!$C1488</f>
        <v>58.672159999999998</v>
      </c>
      <c r="J12" s="36" t="s">
        <v>90</v>
      </c>
      <c r="K12" s="62">
        <f>'환기량 산정'!$C1488</f>
        <v>58.672159999999998</v>
      </c>
      <c r="L12" s="38">
        <f>'환기량 산정'!$C1488</f>
        <v>58.672159999999998</v>
      </c>
      <c r="M12" s="38">
        <f>'환기량 산정'!$C1488</f>
        <v>58.672159999999998</v>
      </c>
      <c r="N12" s="38">
        <f>'환기량 산정'!$C1488</f>
        <v>58.672159999999998</v>
      </c>
      <c r="O12" s="38">
        <f>'환기량 산정'!$C1488</f>
        <v>58.672159999999998</v>
      </c>
      <c r="P12" s="38">
        <f>'환기량 산정'!$C1488</f>
        <v>58.672159999999998</v>
      </c>
      <c r="Q12" s="38">
        <f>'환기량 산정'!$C1488</f>
        <v>58.672159999999998</v>
      </c>
      <c r="R12" s="39">
        <f>'환기량 산정'!$C1488</f>
        <v>58.672159999999998</v>
      </c>
      <c r="S12" s="36" t="s">
        <v>90</v>
      </c>
      <c r="T12" s="44">
        <f>'환기량 산정'!$C1488</f>
        <v>58.672159999999998</v>
      </c>
      <c r="U12" s="38">
        <f>'환기량 산정'!$C1488</f>
        <v>58.672159999999998</v>
      </c>
      <c r="V12" s="38">
        <f>'환기량 산정'!$C1488</f>
        <v>58.672159999999998</v>
      </c>
      <c r="W12" s="38">
        <f>'환기량 산정'!$C1488</f>
        <v>58.672159999999998</v>
      </c>
      <c r="X12" s="38">
        <f>'환기량 산정'!$C1488</f>
        <v>58.672159999999998</v>
      </c>
      <c r="Y12" s="38">
        <f>'환기량 산정'!$C1488</f>
        <v>58.672159999999998</v>
      </c>
      <c r="Z12" s="38">
        <f>'환기량 산정'!$C1488</f>
        <v>58.672159999999998</v>
      </c>
      <c r="AA12" s="39">
        <f>'환기량 산정'!$C1488</f>
        <v>58.672159999999998</v>
      </c>
      <c r="AB12" s="36" t="s">
        <v>155</v>
      </c>
      <c r="AC12" s="37">
        <f t="shared" ref="AC12:AJ12" si="25">B24</f>
        <v>17.875299999999999</v>
      </c>
      <c r="AD12" s="38">
        <f t="shared" si="25"/>
        <v>17.875299999999999</v>
      </c>
      <c r="AE12" s="38">
        <f t="shared" si="25"/>
        <v>17.875299999999999</v>
      </c>
      <c r="AF12" s="38">
        <f t="shared" si="25"/>
        <v>17.875299999999999</v>
      </c>
      <c r="AG12" s="38">
        <f t="shared" si="25"/>
        <v>17.875299999999999</v>
      </c>
      <c r="AH12" s="63">
        <f t="shared" si="25"/>
        <v>17.875299999999999</v>
      </c>
      <c r="AI12" s="38">
        <f t="shared" si="25"/>
        <v>17.875299999999999</v>
      </c>
      <c r="AJ12" s="39">
        <f t="shared" si="25"/>
        <v>17.875299999999999</v>
      </c>
      <c r="AK12" s="356" t="s">
        <v>262</v>
      </c>
      <c r="AL12" s="170">
        <f t="shared" ref="AL12:AS12" si="26">IF(MAX(AL28:AL30)&gt;AU8,MAX(AL7:AL9),AL10)</f>
        <v>3</v>
      </c>
      <c r="AM12" s="171">
        <f t="shared" si="26"/>
        <v>2</v>
      </c>
      <c r="AN12" s="171">
        <f t="shared" si="26"/>
        <v>1</v>
      </c>
      <c r="AO12" s="171">
        <f t="shared" si="26"/>
        <v>0</v>
      </c>
      <c r="AP12" s="171">
        <f t="shared" si="26"/>
        <v>0</v>
      </c>
      <c r="AQ12" s="171">
        <f t="shared" si="26"/>
        <v>0</v>
      </c>
      <c r="AR12" s="171">
        <f t="shared" si="26"/>
        <v>0</v>
      </c>
      <c r="AS12" s="172">
        <f t="shared" si="26"/>
        <v>0</v>
      </c>
      <c r="AT12" s="36" t="s">
        <v>90</v>
      </c>
      <c r="AU12" s="327">
        <f>'환기량 산정'!$C1488</f>
        <v>58.672159999999998</v>
      </c>
      <c r="AV12" s="328">
        <f>'환기량 산정'!$C1488</f>
        <v>58.672159999999998</v>
      </c>
      <c r="AW12" s="328">
        <f>'환기량 산정'!$C1488</f>
        <v>58.672159999999998</v>
      </c>
      <c r="AX12" s="328">
        <f>'환기량 산정'!$C1488</f>
        <v>58.672159999999998</v>
      </c>
      <c r="AY12" s="328">
        <f>'환기량 산정'!$C1488</f>
        <v>58.672159999999998</v>
      </c>
      <c r="AZ12" s="328">
        <f>'환기량 산정'!$C1488</f>
        <v>58.672159999999998</v>
      </c>
      <c r="BA12" s="328">
        <f>'환기량 산정'!$C1488</f>
        <v>58.672159999999998</v>
      </c>
      <c r="BB12" s="329">
        <f>'환기량 산정'!$C1488</f>
        <v>58.672159999999998</v>
      </c>
      <c r="BC12" s="36" t="s">
        <v>90</v>
      </c>
      <c r="BD12" s="327">
        <f>'환기량 산정'!$C1488</f>
        <v>58.672159999999998</v>
      </c>
      <c r="BE12" s="328">
        <f>'환기량 산정'!$C1488</f>
        <v>58.672159999999998</v>
      </c>
      <c r="BF12" s="328">
        <f>'환기량 산정'!$C1488</f>
        <v>58.672159999999998</v>
      </c>
      <c r="BG12" s="328">
        <f>'환기량 산정'!$C1488</f>
        <v>58.672159999999998</v>
      </c>
      <c r="BH12" s="328">
        <f>'환기량 산정'!$C1488</f>
        <v>58.672159999999998</v>
      </c>
      <c r="BI12" s="328">
        <f>'환기량 산정'!$C1488</f>
        <v>58.672159999999998</v>
      </c>
      <c r="BJ12" s="328">
        <f>'환기량 산정'!$C1488</f>
        <v>58.672159999999998</v>
      </c>
      <c r="BK12" s="329">
        <f>'환기량 산정'!$C1488</f>
        <v>58.672159999999998</v>
      </c>
    </row>
    <row r="13" spans="1:63" ht="15.75">
      <c r="A13" s="36" t="s">
        <v>112</v>
      </c>
      <c r="B13" s="44">
        <f>'환기량 산정'!$C1494</f>
        <v>1000</v>
      </c>
      <c r="C13" s="38">
        <f>'환기량 산정'!$C1494</f>
        <v>1000</v>
      </c>
      <c r="D13" s="38">
        <f>'환기량 산정'!$C1494</f>
        <v>1000</v>
      </c>
      <c r="E13" s="38">
        <f>'환기량 산정'!$C1494</f>
        <v>1000</v>
      </c>
      <c r="F13" s="38">
        <f>'환기량 산정'!$C1494</f>
        <v>1000</v>
      </c>
      <c r="G13" s="38">
        <f>'환기량 산정'!$C1494</f>
        <v>1000</v>
      </c>
      <c r="H13" s="63">
        <f>'환기량 산정'!$C1494</f>
        <v>1000</v>
      </c>
      <c r="I13" s="39">
        <f>'환기량 산정'!$C1494</f>
        <v>1000</v>
      </c>
      <c r="J13" s="36" t="s">
        <v>112</v>
      </c>
      <c r="K13" s="62">
        <f>'환기량 산정'!$C1494</f>
        <v>1000</v>
      </c>
      <c r="L13" s="38">
        <f>'환기량 산정'!$C1494</f>
        <v>1000</v>
      </c>
      <c r="M13" s="38">
        <f>'환기량 산정'!$C1494</f>
        <v>1000</v>
      </c>
      <c r="N13" s="38">
        <f>'환기량 산정'!$C1494</f>
        <v>1000</v>
      </c>
      <c r="O13" s="38">
        <f>'환기량 산정'!$C1494</f>
        <v>1000</v>
      </c>
      <c r="P13" s="38">
        <f>'환기량 산정'!$C1494</f>
        <v>1000</v>
      </c>
      <c r="Q13" s="38">
        <f>'환기량 산정'!$C1494</f>
        <v>1000</v>
      </c>
      <c r="R13" s="39">
        <f>'환기량 산정'!$C1494</f>
        <v>1000</v>
      </c>
      <c r="S13" s="36" t="s">
        <v>112</v>
      </c>
      <c r="T13" s="44">
        <f>'환기량 산정'!$C1494</f>
        <v>1000</v>
      </c>
      <c r="U13" s="38">
        <f>'환기량 산정'!$C1494</f>
        <v>1000</v>
      </c>
      <c r="V13" s="38">
        <f>'환기량 산정'!$C1494</f>
        <v>1000</v>
      </c>
      <c r="W13" s="38">
        <f>'환기량 산정'!$C1494</f>
        <v>1000</v>
      </c>
      <c r="X13" s="38">
        <f>'환기량 산정'!$C1494</f>
        <v>1000</v>
      </c>
      <c r="Y13" s="38">
        <f>'환기량 산정'!$C1494</f>
        <v>1000</v>
      </c>
      <c r="Z13" s="38">
        <f>'환기량 산정'!$C1494</f>
        <v>1000</v>
      </c>
      <c r="AA13" s="39">
        <f>'환기량 산정'!$C1494</f>
        <v>1000</v>
      </c>
      <c r="AB13" s="36" t="s">
        <v>159</v>
      </c>
      <c r="AC13" s="37">
        <f t="shared" ref="AC13:AJ13" si="27">ROUND(-B18/B12*B14/2*AC9*AC7^2,4)</f>
        <v>-13.7051</v>
      </c>
      <c r="AD13" s="38">
        <f t="shared" si="27"/>
        <v>-13.274100000000001</v>
      </c>
      <c r="AE13" s="38">
        <f t="shared" si="27"/>
        <v>-12.8431</v>
      </c>
      <c r="AF13" s="38">
        <f t="shared" si="27"/>
        <v>-12.067399999999999</v>
      </c>
      <c r="AG13" s="38">
        <f t="shared" si="27"/>
        <v>-11.7226</v>
      </c>
      <c r="AH13" s="63">
        <f t="shared" si="27"/>
        <v>-11.119199999999999</v>
      </c>
      <c r="AI13" s="38">
        <f t="shared" si="27"/>
        <v>-10.602</v>
      </c>
      <c r="AJ13" s="39">
        <f t="shared" si="27"/>
        <v>-10.5158</v>
      </c>
      <c r="AK13" s="69" t="s">
        <v>123</v>
      </c>
      <c r="AL13" s="44">
        <f t="shared" ref="AL13:AS13" si="28">ROUND((1+B15+B16*B13/B17)*B14/2,4)</f>
        <v>2.86</v>
      </c>
      <c r="AM13" s="38">
        <f t="shared" si="28"/>
        <v>2.86</v>
      </c>
      <c r="AN13" s="38">
        <f t="shared" si="28"/>
        <v>2.86</v>
      </c>
      <c r="AO13" s="38">
        <f t="shared" si="28"/>
        <v>2.86</v>
      </c>
      <c r="AP13" s="38">
        <f t="shared" si="28"/>
        <v>2.86</v>
      </c>
      <c r="AQ13" s="38">
        <f t="shared" si="28"/>
        <v>2.86</v>
      </c>
      <c r="AR13" s="38">
        <f t="shared" si="28"/>
        <v>2.86</v>
      </c>
      <c r="AS13" s="39">
        <f t="shared" si="28"/>
        <v>2.86</v>
      </c>
      <c r="AT13" s="36" t="s">
        <v>112</v>
      </c>
      <c r="AU13" s="327">
        <f>'환기량 산정'!$C1494</f>
        <v>1000</v>
      </c>
      <c r="AV13" s="328">
        <f>'환기량 산정'!$C1494</f>
        <v>1000</v>
      </c>
      <c r="AW13" s="328">
        <f>'환기량 산정'!$C1494</f>
        <v>1000</v>
      </c>
      <c r="AX13" s="328">
        <f>'환기량 산정'!$C1494</f>
        <v>1000</v>
      </c>
      <c r="AY13" s="328">
        <f>'환기량 산정'!$C1494</f>
        <v>1000</v>
      </c>
      <c r="AZ13" s="328">
        <f>'환기량 산정'!$C1494</f>
        <v>1000</v>
      </c>
      <c r="BA13" s="328">
        <f>'환기량 산정'!$C1494</f>
        <v>1000</v>
      </c>
      <c r="BB13" s="329">
        <f>'환기량 산정'!$C1494</f>
        <v>1000</v>
      </c>
      <c r="BC13" s="36" t="s">
        <v>112</v>
      </c>
      <c r="BD13" s="327">
        <f>'환기량 산정'!$C1494</f>
        <v>1000</v>
      </c>
      <c r="BE13" s="328">
        <f>'환기량 산정'!$C1494</f>
        <v>1000</v>
      </c>
      <c r="BF13" s="328">
        <f>'환기량 산정'!$C1494</f>
        <v>1000</v>
      </c>
      <c r="BG13" s="328">
        <f>'환기량 산정'!$C1494</f>
        <v>1000</v>
      </c>
      <c r="BH13" s="328">
        <f>'환기량 산정'!$C1494</f>
        <v>1000</v>
      </c>
      <c r="BI13" s="328">
        <f>'환기량 산정'!$C1494</f>
        <v>1000</v>
      </c>
      <c r="BJ13" s="328">
        <f>'환기량 산정'!$C1494</f>
        <v>1000</v>
      </c>
      <c r="BK13" s="329">
        <f>'환기량 산정'!$C1494</f>
        <v>1000</v>
      </c>
    </row>
    <row r="14" spans="1:63">
      <c r="A14" s="36" t="s">
        <v>113</v>
      </c>
      <c r="B14" s="44">
        <f>'환기량 산정'!$C1493</f>
        <v>1.2</v>
      </c>
      <c r="C14" s="38">
        <f>'환기량 산정'!$C1493</f>
        <v>1.2</v>
      </c>
      <c r="D14" s="38">
        <f>'환기량 산정'!$C1493</f>
        <v>1.2</v>
      </c>
      <c r="E14" s="38">
        <f>'환기량 산정'!$C1493</f>
        <v>1.2</v>
      </c>
      <c r="F14" s="38">
        <f>'환기량 산정'!$C1493</f>
        <v>1.2</v>
      </c>
      <c r="G14" s="38">
        <f>'환기량 산정'!$C1493</f>
        <v>1.2</v>
      </c>
      <c r="H14" s="63">
        <f>'환기량 산정'!$C1493</f>
        <v>1.2</v>
      </c>
      <c r="I14" s="39">
        <f>'환기량 산정'!$C1493</f>
        <v>1.2</v>
      </c>
      <c r="J14" s="36" t="s">
        <v>113</v>
      </c>
      <c r="K14" s="62">
        <f>'환기량 산정'!$C1493</f>
        <v>1.2</v>
      </c>
      <c r="L14" s="38">
        <f>'환기량 산정'!$C1493</f>
        <v>1.2</v>
      </c>
      <c r="M14" s="38">
        <f>'환기량 산정'!$C1493</f>
        <v>1.2</v>
      </c>
      <c r="N14" s="38">
        <f>'환기량 산정'!$C1493</f>
        <v>1.2</v>
      </c>
      <c r="O14" s="38">
        <f>'환기량 산정'!$C1493</f>
        <v>1.2</v>
      </c>
      <c r="P14" s="38">
        <f>'환기량 산정'!$C1493</f>
        <v>1.2</v>
      </c>
      <c r="Q14" s="38">
        <f>'환기량 산정'!$C1493</f>
        <v>1.2</v>
      </c>
      <c r="R14" s="39">
        <f>'환기량 산정'!$C1493</f>
        <v>1.2</v>
      </c>
      <c r="S14" s="36" t="s">
        <v>113</v>
      </c>
      <c r="T14" s="44">
        <f>'환기량 산정'!$C1493</f>
        <v>1.2</v>
      </c>
      <c r="U14" s="38">
        <f>'환기량 산정'!$C1493</f>
        <v>1.2</v>
      </c>
      <c r="V14" s="38">
        <f>'환기량 산정'!$C1493</f>
        <v>1.2</v>
      </c>
      <c r="W14" s="38">
        <f>'환기량 산정'!$C1493</f>
        <v>1.2</v>
      </c>
      <c r="X14" s="38">
        <f>'환기량 산정'!$C1493</f>
        <v>1.2</v>
      </c>
      <c r="Y14" s="38">
        <f>'환기량 산정'!$C1493</f>
        <v>1.2</v>
      </c>
      <c r="Z14" s="38">
        <f>'환기량 산정'!$C1493</f>
        <v>1.2</v>
      </c>
      <c r="AA14" s="39">
        <f>'환기량 산정'!$C1493</f>
        <v>1.2</v>
      </c>
      <c r="AB14" s="36" t="s">
        <v>157</v>
      </c>
      <c r="AC14" s="183">
        <f t="shared" ref="AC14:AJ14" si="29">AC11+AC12-AC13</f>
        <v>54.0032</v>
      </c>
      <c r="AD14" s="45">
        <f t="shared" si="29"/>
        <v>53.572199999999995</v>
      </c>
      <c r="AE14" s="45">
        <f t="shared" si="29"/>
        <v>53.141199999999998</v>
      </c>
      <c r="AF14" s="45">
        <f t="shared" si="29"/>
        <v>52.365499999999997</v>
      </c>
      <c r="AG14" s="45">
        <f t="shared" si="29"/>
        <v>52.020699999999998</v>
      </c>
      <c r="AH14" s="138">
        <f t="shared" si="29"/>
        <v>51.417299999999997</v>
      </c>
      <c r="AI14" s="45">
        <f t="shared" si="29"/>
        <v>50.900099999999995</v>
      </c>
      <c r="AJ14" s="46">
        <f t="shared" si="29"/>
        <v>50.813899999999997</v>
      </c>
      <c r="AK14" s="69" t="s">
        <v>124</v>
      </c>
      <c r="AL14" s="188">
        <f>ROUND(-B14/2*B18/B12*B21,4)</f>
        <v>-1.1654</v>
      </c>
      <c r="AM14" s="38">
        <f t="shared" ref="AM14:AS14" si="30">IF(C7&gt;=C9,ROUND(C14/2*C18/C12*C21,4),IF(C7&lt;C9,ROUND(-C14/2*C18/C12*C21,4)))</f>
        <v>0.84660000000000002</v>
      </c>
      <c r="AN14" s="38">
        <f t="shared" si="30"/>
        <v>0.65969999999999995</v>
      </c>
      <c r="AO14" s="38">
        <f t="shared" si="30"/>
        <v>0.51670000000000005</v>
      </c>
      <c r="AP14" s="38">
        <f t="shared" si="30"/>
        <v>0.42880000000000001</v>
      </c>
      <c r="AQ14" s="38">
        <f t="shared" si="30"/>
        <v>0.3518</v>
      </c>
      <c r="AR14" s="38">
        <f t="shared" si="30"/>
        <v>0.30780000000000002</v>
      </c>
      <c r="AS14" s="39">
        <f t="shared" si="30"/>
        <v>0.27489999999999998</v>
      </c>
      <c r="AT14" s="36" t="s">
        <v>113</v>
      </c>
      <c r="AU14" s="327">
        <f>'환기량 산정'!$C1493</f>
        <v>1.2</v>
      </c>
      <c r="AV14" s="328">
        <f>'환기량 산정'!$C1493</f>
        <v>1.2</v>
      </c>
      <c r="AW14" s="328">
        <f>'환기량 산정'!$C1493</f>
        <v>1.2</v>
      </c>
      <c r="AX14" s="328">
        <f>'환기량 산정'!$C1493</f>
        <v>1.2</v>
      </c>
      <c r="AY14" s="328">
        <f>'환기량 산정'!$C1493</f>
        <v>1.2</v>
      </c>
      <c r="AZ14" s="328">
        <f>'환기량 산정'!$C1493</f>
        <v>1.2</v>
      </c>
      <c r="BA14" s="328">
        <f>'환기량 산정'!$C1493</f>
        <v>1.2</v>
      </c>
      <c r="BB14" s="329">
        <f>'환기량 산정'!$C1493</f>
        <v>1.2</v>
      </c>
      <c r="BC14" s="36" t="s">
        <v>113</v>
      </c>
      <c r="BD14" s="327">
        <f>'환기량 산정'!$C1493</f>
        <v>1.2</v>
      </c>
      <c r="BE14" s="328">
        <f>'환기량 산정'!$C1493</f>
        <v>1.2</v>
      </c>
      <c r="BF14" s="328">
        <f>'환기량 산정'!$C1493</f>
        <v>1.2</v>
      </c>
      <c r="BG14" s="328">
        <f>'환기량 산정'!$C1493</f>
        <v>1.2</v>
      </c>
      <c r="BH14" s="328">
        <f>'환기량 산정'!$C1493</f>
        <v>1.2</v>
      </c>
      <c r="BI14" s="328">
        <f>'환기량 산정'!$C1493</f>
        <v>1.2</v>
      </c>
      <c r="BJ14" s="328">
        <f>'환기량 산정'!$C1493</f>
        <v>1.2</v>
      </c>
      <c r="BK14" s="329">
        <f>'환기량 산정'!$C1493</f>
        <v>1.2</v>
      </c>
    </row>
    <row r="15" spans="1:63" ht="15.75">
      <c r="A15" s="36" t="s">
        <v>114</v>
      </c>
      <c r="B15" s="44">
        <f>'환기량 산정'!$C1491</f>
        <v>0.6</v>
      </c>
      <c r="C15" s="38">
        <f>'환기량 산정'!$C1491</f>
        <v>0.6</v>
      </c>
      <c r="D15" s="38">
        <f>'환기량 산정'!$C1491</f>
        <v>0.6</v>
      </c>
      <c r="E15" s="38">
        <f>'환기량 산정'!$C1491</f>
        <v>0.6</v>
      </c>
      <c r="F15" s="38">
        <f>'환기량 산정'!$C1491</f>
        <v>0.6</v>
      </c>
      <c r="G15" s="38">
        <f>'환기량 산정'!$C1491</f>
        <v>0.6</v>
      </c>
      <c r="H15" s="63">
        <f>'환기량 산정'!$C1491</f>
        <v>0.6</v>
      </c>
      <c r="I15" s="39">
        <f>'환기량 산정'!$C1491</f>
        <v>0.6</v>
      </c>
      <c r="J15" s="36" t="s">
        <v>114</v>
      </c>
      <c r="K15" s="62">
        <f>'환기량 산정'!$C1491</f>
        <v>0.6</v>
      </c>
      <c r="L15" s="38">
        <f>'환기량 산정'!$C1491</f>
        <v>0.6</v>
      </c>
      <c r="M15" s="38">
        <f>'환기량 산정'!$C1491</f>
        <v>0.6</v>
      </c>
      <c r="N15" s="38">
        <f>'환기량 산정'!$C1491</f>
        <v>0.6</v>
      </c>
      <c r="O15" s="38">
        <f>'환기량 산정'!$C1491</f>
        <v>0.6</v>
      </c>
      <c r="P15" s="38">
        <f>'환기량 산정'!$C1491</f>
        <v>0.6</v>
      </c>
      <c r="Q15" s="38">
        <f>'환기량 산정'!$C1491</f>
        <v>0.6</v>
      </c>
      <c r="R15" s="39">
        <f>'환기량 산정'!$C1491</f>
        <v>0.6</v>
      </c>
      <c r="S15" s="36" t="s">
        <v>114</v>
      </c>
      <c r="T15" s="44">
        <f>'환기량 산정'!$C1491</f>
        <v>0.6</v>
      </c>
      <c r="U15" s="38">
        <f>'환기량 산정'!$C1491</f>
        <v>0.6</v>
      </c>
      <c r="V15" s="38">
        <f>'환기량 산정'!$C1491</f>
        <v>0.6</v>
      </c>
      <c r="W15" s="38">
        <f>'환기량 산정'!$C1491</f>
        <v>0.6</v>
      </c>
      <c r="X15" s="38">
        <f>'환기량 산정'!$C1491</f>
        <v>0.6</v>
      </c>
      <c r="Y15" s="38">
        <f>'환기량 산정'!$C1491</f>
        <v>0.6</v>
      </c>
      <c r="Z15" s="38">
        <f>'환기량 산정'!$C1491</f>
        <v>0.6</v>
      </c>
      <c r="AA15" s="39">
        <f>'환기량 산정'!$C1491</f>
        <v>0.6</v>
      </c>
      <c r="AB15" s="36" t="s">
        <v>407</v>
      </c>
      <c r="AC15" s="44">
        <f t="shared" ref="AC15:AJ15" si="31">ROUND(B22*B14*B20^2*B19/B12*(1-AC7/B20)*B28,4)</f>
        <v>13.028</v>
      </c>
      <c r="AD15" s="38">
        <f t="shared" si="31"/>
        <v>13.028</v>
      </c>
      <c r="AE15" s="38">
        <f t="shared" si="31"/>
        <v>13.028</v>
      </c>
      <c r="AF15" s="38">
        <f t="shared" si="31"/>
        <v>13.028</v>
      </c>
      <c r="AG15" s="38">
        <f t="shared" si="31"/>
        <v>13.028</v>
      </c>
      <c r="AH15" s="38">
        <f t="shared" si="31"/>
        <v>13.028</v>
      </c>
      <c r="AI15" s="38">
        <f t="shared" si="31"/>
        <v>13.028</v>
      </c>
      <c r="AJ15" s="39">
        <f t="shared" si="31"/>
        <v>13.028</v>
      </c>
      <c r="AK15" s="69" t="s">
        <v>250</v>
      </c>
      <c r="AL15" s="44">
        <f t="shared" ref="AL15:AS15" si="32">ROUND(B14/2*B20*2*B19/B12*B28,4)</f>
        <v>0.48380000000000001</v>
      </c>
      <c r="AM15" s="38">
        <f t="shared" si="32"/>
        <v>0.48380000000000001</v>
      </c>
      <c r="AN15" s="38">
        <f t="shared" si="32"/>
        <v>0.48380000000000001</v>
      </c>
      <c r="AO15" s="38">
        <f t="shared" si="32"/>
        <v>0.48380000000000001</v>
      </c>
      <c r="AP15" s="38">
        <f t="shared" si="32"/>
        <v>0.48380000000000001</v>
      </c>
      <c r="AQ15" s="38">
        <f t="shared" si="32"/>
        <v>0.48380000000000001</v>
      </c>
      <c r="AR15" s="38">
        <f t="shared" si="32"/>
        <v>0.48380000000000001</v>
      </c>
      <c r="AS15" s="39">
        <f t="shared" si="32"/>
        <v>0.48380000000000001</v>
      </c>
      <c r="AT15" s="36" t="s">
        <v>114</v>
      </c>
      <c r="AU15" s="327">
        <f>'환기량 산정'!$C1491</f>
        <v>0.6</v>
      </c>
      <c r="AV15" s="328">
        <f>'환기량 산정'!$C1491</f>
        <v>0.6</v>
      </c>
      <c r="AW15" s="328">
        <f>'환기량 산정'!$C1491</f>
        <v>0.6</v>
      </c>
      <c r="AX15" s="328">
        <f>'환기량 산정'!$C1491</f>
        <v>0.6</v>
      </c>
      <c r="AY15" s="328">
        <f>'환기량 산정'!$C1491</f>
        <v>0.6</v>
      </c>
      <c r="AZ15" s="328">
        <f>'환기량 산정'!$C1491</f>
        <v>0.6</v>
      </c>
      <c r="BA15" s="328">
        <f>'환기량 산정'!$C1491</f>
        <v>0.6</v>
      </c>
      <c r="BB15" s="329">
        <f>'환기량 산정'!$C1491</f>
        <v>0.6</v>
      </c>
      <c r="BC15" s="36" t="s">
        <v>114</v>
      </c>
      <c r="BD15" s="327">
        <f>'환기량 산정'!$C1491</f>
        <v>0.6</v>
      </c>
      <c r="BE15" s="328">
        <f>'환기량 산정'!$C1491</f>
        <v>0.6</v>
      </c>
      <c r="BF15" s="328">
        <f>'환기량 산정'!$C1491</f>
        <v>0.6</v>
      </c>
      <c r="BG15" s="328">
        <f>'환기량 산정'!$C1491</f>
        <v>0.6</v>
      </c>
      <c r="BH15" s="328">
        <f>'환기량 산정'!$C1491</f>
        <v>0.6</v>
      </c>
      <c r="BI15" s="328">
        <f>'환기량 산정'!$C1491</f>
        <v>0.6</v>
      </c>
      <c r="BJ15" s="328">
        <f>'환기량 산정'!$C1491</f>
        <v>0.6</v>
      </c>
      <c r="BK15" s="329">
        <f>'환기량 산정'!$C1491</f>
        <v>0.6</v>
      </c>
    </row>
    <row r="16" spans="1:63" ht="15.75">
      <c r="A16" s="36" t="s">
        <v>115</v>
      </c>
      <c r="B16" s="44">
        <f>'환기량 산정'!$C1492</f>
        <v>2.5000000000000001E-2</v>
      </c>
      <c r="C16" s="38">
        <f>'환기량 산정'!$C1492</f>
        <v>2.5000000000000001E-2</v>
      </c>
      <c r="D16" s="38">
        <f>'환기량 산정'!$C1492</f>
        <v>2.5000000000000001E-2</v>
      </c>
      <c r="E16" s="38">
        <f>'환기량 산정'!$C1492</f>
        <v>2.5000000000000001E-2</v>
      </c>
      <c r="F16" s="38">
        <f>'환기량 산정'!$C1492</f>
        <v>2.5000000000000001E-2</v>
      </c>
      <c r="G16" s="38">
        <f>'환기량 산정'!$C1492</f>
        <v>2.5000000000000001E-2</v>
      </c>
      <c r="H16" s="63">
        <f>'환기량 산정'!$C1492</f>
        <v>2.5000000000000001E-2</v>
      </c>
      <c r="I16" s="39">
        <f>'환기량 산정'!$C1492</f>
        <v>2.5000000000000001E-2</v>
      </c>
      <c r="J16" s="36" t="s">
        <v>115</v>
      </c>
      <c r="K16" s="62">
        <f>'환기량 산정'!$C1492</f>
        <v>2.5000000000000001E-2</v>
      </c>
      <c r="L16" s="38">
        <f>'환기량 산정'!$C1492</f>
        <v>2.5000000000000001E-2</v>
      </c>
      <c r="M16" s="38">
        <f>'환기량 산정'!$C1492</f>
        <v>2.5000000000000001E-2</v>
      </c>
      <c r="N16" s="38">
        <f>'환기량 산정'!$C1492</f>
        <v>2.5000000000000001E-2</v>
      </c>
      <c r="O16" s="38">
        <f>'환기량 산정'!$C1492</f>
        <v>2.5000000000000001E-2</v>
      </c>
      <c r="P16" s="38">
        <f>'환기량 산정'!$C1492</f>
        <v>2.5000000000000001E-2</v>
      </c>
      <c r="Q16" s="38">
        <f>'환기량 산정'!$C1492</f>
        <v>2.5000000000000001E-2</v>
      </c>
      <c r="R16" s="39">
        <f>'환기량 산정'!$C1492</f>
        <v>2.5000000000000001E-2</v>
      </c>
      <c r="S16" s="36" t="s">
        <v>115</v>
      </c>
      <c r="T16" s="44">
        <f>'환기량 산정'!$C1492</f>
        <v>2.5000000000000001E-2</v>
      </c>
      <c r="U16" s="38">
        <f>'환기량 산정'!$C1492</f>
        <v>2.5000000000000001E-2</v>
      </c>
      <c r="V16" s="38">
        <f>'환기량 산정'!$C1492</f>
        <v>2.5000000000000001E-2</v>
      </c>
      <c r="W16" s="38">
        <f>'환기량 산정'!$C1492</f>
        <v>2.5000000000000001E-2</v>
      </c>
      <c r="X16" s="38">
        <f>'환기량 산정'!$C1492</f>
        <v>2.5000000000000001E-2</v>
      </c>
      <c r="Y16" s="38">
        <f>'환기량 산정'!$C1492</f>
        <v>2.5000000000000001E-2</v>
      </c>
      <c r="Z16" s="38">
        <f>'환기량 산정'!$C1492</f>
        <v>2.5000000000000001E-2</v>
      </c>
      <c r="AA16" s="39">
        <f>'환기량 산정'!$C1492</f>
        <v>2.5000000000000001E-2</v>
      </c>
      <c r="AB16" s="36" t="s">
        <v>172</v>
      </c>
      <c r="AC16" s="44">
        <f t="shared" ref="AC16:AJ16" si="33">ROUND(AC14/AC15,2)</f>
        <v>4.1500000000000004</v>
      </c>
      <c r="AD16" s="38">
        <f t="shared" si="33"/>
        <v>4.1100000000000003</v>
      </c>
      <c r="AE16" s="38">
        <f t="shared" si="33"/>
        <v>4.08</v>
      </c>
      <c r="AF16" s="38">
        <f t="shared" si="33"/>
        <v>4.0199999999999996</v>
      </c>
      <c r="AG16" s="38">
        <f t="shared" si="33"/>
        <v>3.99</v>
      </c>
      <c r="AH16" s="63">
        <f t="shared" si="33"/>
        <v>3.95</v>
      </c>
      <c r="AI16" s="38">
        <f t="shared" si="33"/>
        <v>3.91</v>
      </c>
      <c r="AJ16" s="39">
        <f t="shared" si="33"/>
        <v>3.9</v>
      </c>
      <c r="AK16" s="165" t="s">
        <v>152</v>
      </c>
      <c r="AL16" s="170">
        <f>IF(AL17&gt;0,ROUND((-AL19+SQRT(AL19^2-4*AL18*AL20))/(2*AL18),4))</f>
        <v>2.7526999999999999</v>
      </c>
      <c r="AM16" s="171">
        <f t="shared" ref="AM16:AS16" si="34">IF(AM17&gt;0,ROUND((-AM19+SQRT(AM19^2-4*AM18*AM20))/(2*AM18),4))</f>
        <v>2.4403000000000001</v>
      </c>
      <c r="AN16" s="171">
        <f t="shared" si="34"/>
        <v>2.4990000000000001</v>
      </c>
      <c r="AO16" s="171">
        <f t="shared" si="34"/>
        <v>2.6089000000000002</v>
      </c>
      <c r="AP16" s="171">
        <f t="shared" si="34"/>
        <v>3.2665999999999999</v>
      </c>
      <c r="AQ16" s="171">
        <f t="shared" si="34"/>
        <v>3.7706</v>
      </c>
      <c r="AR16" s="171">
        <f t="shared" si="34"/>
        <v>4.2939999999999996</v>
      </c>
      <c r="AS16" s="172">
        <f t="shared" si="34"/>
        <v>4.7906000000000004</v>
      </c>
      <c r="AT16" s="36" t="s">
        <v>115</v>
      </c>
      <c r="AU16" s="327">
        <f>'환기량 산정'!$C1492</f>
        <v>2.5000000000000001E-2</v>
      </c>
      <c r="AV16" s="328">
        <f>'환기량 산정'!$C1492</f>
        <v>2.5000000000000001E-2</v>
      </c>
      <c r="AW16" s="328">
        <f>'환기량 산정'!$C1492</f>
        <v>2.5000000000000001E-2</v>
      </c>
      <c r="AX16" s="328">
        <f>'환기량 산정'!$C1492</f>
        <v>2.5000000000000001E-2</v>
      </c>
      <c r="AY16" s="328">
        <f>'환기량 산정'!$C1492</f>
        <v>2.5000000000000001E-2</v>
      </c>
      <c r="AZ16" s="328">
        <f>'환기량 산정'!$C1492</f>
        <v>2.5000000000000001E-2</v>
      </c>
      <c r="BA16" s="328">
        <f>'환기량 산정'!$C1492</f>
        <v>2.5000000000000001E-2</v>
      </c>
      <c r="BB16" s="329">
        <f>'환기량 산정'!$C1492</f>
        <v>2.5000000000000001E-2</v>
      </c>
      <c r="BC16" s="36" t="s">
        <v>115</v>
      </c>
      <c r="BD16" s="327">
        <f>'환기량 산정'!$C1492</f>
        <v>2.5000000000000001E-2</v>
      </c>
      <c r="BE16" s="328">
        <f>'환기량 산정'!$C1492</f>
        <v>2.5000000000000001E-2</v>
      </c>
      <c r="BF16" s="328">
        <f>'환기량 산정'!$C1492</f>
        <v>2.5000000000000001E-2</v>
      </c>
      <c r="BG16" s="328">
        <f>'환기량 산정'!$C1492</f>
        <v>2.5000000000000001E-2</v>
      </c>
      <c r="BH16" s="328">
        <f>'환기량 산정'!$C1492</f>
        <v>2.5000000000000001E-2</v>
      </c>
      <c r="BI16" s="328">
        <f>'환기량 산정'!$C1492</f>
        <v>2.5000000000000001E-2</v>
      </c>
      <c r="BJ16" s="328">
        <f>'환기량 산정'!$C1492</f>
        <v>2.5000000000000001E-2</v>
      </c>
      <c r="BK16" s="329">
        <f>'환기량 산정'!$C1492</f>
        <v>2.5000000000000001E-2</v>
      </c>
    </row>
    <row r="17" spans="1:63" ht="16.5" thickBot="1">
      <c r="A17" s="36" t="s">
        <v>91</v>
      </c>
      <c r="B17" s="44">
        <f>'환기량 산정'!$C1489</f>
        <v>7.8945309999999997</v>
      </c>
      <c r="C17" s="38">
        <f>'환기량 산정'!$C1489</f>
        <v>7.8945309999999997</v>
      </c>
      <c r="D17" s="38">
        <f>'환기량 산정'!$C1489</f>
        <v>7.8945309999999997</v>
      </c>
      <c r="E17" s="38">
        <f>'환기량 산정'!$C1489</f>
        <v>7.8945309999999997</v>
      </c>
      <c r="F17" s="38">
        <f>'환기량 산정'!$C1489</f>
        <v>7.8945309999999997</v>
      </c>
      <c r="G17" s="38">
        <f>'환기량 산정'!$C1489</f>
        <v>7.8945309999999997</v>
      </c>
      <c r="H17" s="63">
        <f>'환기량 산정'!$C1489</f>
        <v>7.8945309999999997</v>
      </c>
      <c r="I17" s="39">
        <f>'환기량 산정'!$C1489</f>
        <v>7.8945309999999997</v>
      </c>
      <c r="J17" s="36" t="s">
        <v>91</v>
      </c>
      <c r="K17" s="62">
        <f>'환기량 산정'!$C1489</f>
        <v>7.8945309999999997</v>
      </c>
      <c r="L17" s="38">
        <f>'환기량 산정'!$C1489</f>
        <v>7.8945309999999997</v>
      </c>
      <c r="M17" s="38">
        <f>'환기량 산정'!$C1489</f>
        <v>7.8945309999999997</v>
      </c>
      <c r="N17" s="38">
        <f>'환기량 산정'!$C1489</f>
        <v>7.8945309999999997</v>
      </c>
      <c r="O17" s="38">
        <f>'환기량 산정'!$C1489</f>
        <v>7.8945309999999997</v>
      </c>
      <c r="P17" s="38">
        <f>'환기량 산정'!$C1489</f>
        <v>7.8945309999999997</v>
      </c>
      <c r="Q17" s="38">
        <f>'환기량 산정'!$C1489</f>
        <v>7.8945309999999997</v>
      </c>
      <c r="R17" s="39">
        <f>'환기량 산정'!$C1489</f>
        <v>7.8945309999999997</v>
      </c>
      <c r="S17" s="36" t="s">
        <v>91</v>
      </c>
      <c r="T17" s="44">
        <f>'환기량 산정'!$C1489</f>
        <v>7.8945309999999997</v>
      </c>
      <c r="U17" s="38">
        <f>'환기량 산정'!$C1489</f>
        <v>7.8945309999999997</v>
      </c>
      <c r="V17" s="38">
        <f>'환기량 산정'!$C1489</f>
        <v>7.8945309999999997</v>
      </c>
      <c r="W17" s="38">
        <f>'환기량 산정'!$C1489</f>
        <v>7.8945309999999997</v>
      </c>
      <c r="X17" s="38">
        <f>'환기량 산정'!$C1489</f>
        <v>7.8945309999999997</v>
      </c>
      <c r="Y17" s="38">
        <f>'환기량 산정'!$C1489</f>
        <v>7.8945309999999997</v>
      </c>
      <c r="Z17" s="38">
        <f>'환기량 산정'!$C1489</f>
        <v>7.8945309999999997</v>
      </c>
      <c r="AA17" s="39">
        <f>'환기량 산정'!$C1489</f>
        <v>7.8945309999999997</v>
      </c>
      <c r="AB17" s="49" t="s">
        <v>173</v>
      </c>
      <c r="AC17" s="50">
        <f t="shared" ref="AC17:AJ17" si="35">IF(AC16&lt;0,0,IF(AC16&gt;0,ROUNDUP(AC16,0)))</f>
        <v>5</v>
      </c>
      <c r="AD17" s="51">
        <f t="shared" si="35"/>
        <v>5</v>
      </c>
      <c r="AE17" s="51">
        <f t="shared" si="35"/>
        <v>5</v>
      </c>
      <c r="AF17" s="51">
        <f t="shared" si="35"/>
        <v>5</v>
      </c>
      <c r="AG17" s="51">
        <f t="shared" si="35"/>
        <v>4</v>
      </c>
      <c r="AH17" s="51">
        <f t="shared" si="35"/>
        <v>4</v>
      </c>
      <c r="AI17" s="51">
        <f t="shared" si="35"/>
        <v>4</v>
      </c>
      <c r="AJ17" s="52">
        <f t="shared" si="35"/>
        <v>4</v>
      </c>
      <c r="AK17" s="166" t="s">
        <v>153</v>
      </c>
      <c r="AL17" s="44">
        <f>ROUND(AL19^2-4*AL18*AL20,4)</f>
        <v>293.5403</v>
      </c>
      <c r="AM17" s="38">
        <f t="shared" ref="AM17:AS17" si="36">ROUND(AM19^2-4*AM18*AM20,4)</f>
        <v>408.3784</v>
      </c>
      <c r="AN17" s="38">
        <f t="shared" si="36"/>
        <v>504.96390000000002</v>
      </c>
      <c r="AO17" s="38">
        <f t="shared" si="36"/>
        <v>562.06799999999998</v>
      </c>
      <c r="AP17" s="38">
        <f t="shared" si="36"/>
        <v>772.59320000000002</v>
      </c>
      <c r="AQ17" s="38">
        <f t="shared" si="36"/>
        <v>939.05269999999996</v>
      </c>
      <c r="AR17" s="38">
        <f t="shared" si="36"/>
        <v>1148.24</v>
      </c>
      <c r="AS17" s="39">
        <f t="shared" si="36"/>
        <v>1367.8707999999999</v>
      </c>
      <c r="AT17" s="36" t="s">
        <v>91</v>
      </c>
      <c r="AU17" s="327">
        <f>'환기량 산정'!$C1489</f>
        <v>7.8945309999999997</v>
      </c>
      <c r="AV17" s="328">
        <f>'환기량 산정'!$C1489</f>
        <v>7.8945309999999997</v>
      </c>
      <c r="AW17" s="328">
        <f>'환기량 산정'!$C1489</f>
        <v>7.8945309999999997</v>
      </c>
      <c r="AX17" s="328">
        <f>'환기량 산정'!$C1489</f>
        <v>7.8945309999999997</v>
      </c>
      <c r="AY17" s="328">
        <f>'환기량 산정'!$C1489</f>
        <v>7.8945309999999997</v>
      </c>
      <c r="AZ17" s="328">
        <f>'환기량 산정'!$C1489</f>
        <v>7.8945309999999997</v>
      </c>
      <c r="BA17" s="328">
        <f>'환기량 산정'!$C1489</f>
        <v>7.8945309999999997</v>
      </c>
      <c r="BB17" s="329">
        <f>'환기량 산정'!$C1489</f>
        <v>7.8945309999999997</v>
      </c>
      <c r="BC17" s="36" t="s">
        <v>91</v>
      </c>
      <c r="BD17" s="327">
        <f>'환기량 산정'!$C1489</f>
        <v>7.8945309999999997</v>
      </c>
      <c r="BE17" s="328">
        <f>'환기량 산정'!$C1489</f>
        <v>7.8945309999999997</v>
      </c>
      <c r="BF17" s="328">
        <f>'환기량 산정'!$C1489</f>
        <v>7.8945309999999997</v>
      </c>
      <c r="BG17" s="328">
        <f>'환기량 산정'!$C1489</f>
        <v>7.8945309999999997</v>
      </c>
      <c r="BH17" s="328">
        <f>'환기량 산정'!$C1489</f>
        <v>7.8945309999999997</v>
      </c>
      <c r="BI17" s="328">
        <f>'환기량 산정'!$C1489</f>
        <v>7.8945309999999997</v>
      </c>
      <c r="BJ17" s="328">
        <f>'환기량 산정'!$C1489</f>
        <v>7.8945309999999997</v>
      </c>
      <c r="BK17" s="329">
        <f>'환기량 산정'!$C1489</f>
        <v>7.8945309999999997</v>
      </c>
    </row>
    <row r="18" spans="1:63" ht="14.25" thickBot="1">
      <c r="A18" s="36" t="s">
        <v>116</v>
      </c>
      <c r="B18" s="44">
        <f>'환기량 산정'!$C$1486</f>
        <v>1.0750999999999999</v>
      </c>
      <c r="C18" s="38">
        <f>'환기량 산정'!$C$1486</f>
        <v>1.0750999999999999</v>
      </c>
      <c r="D18" s="38">
        <f>'환기량 산정'!$C$1486</f>
        <v>1.0750999999999999</v>
      </c>
      <c r="E18" s="38">
        <f>'환기량 산정'!$C$1486</f>
        <v>1.0750999999999999</v>
      </c>
      <c r="F18" s="38">
        <f>'환기량 산정'!$C$1486</f>
        <v>1.0750999999999999</v>
      </c>
      <c r="G18" s="38">
        <f>'환기량 산정'!$C$1486</f>
        <v>1.0750999999999999</v>
      </c>
      <c r="H18" s="63">
        <f>'환기량 산정'!$C$1486</f>
        <v>1.0750999999999999</v>
      </c>
      <c r="I18" s="39">
        <f>'환기량 산정'!$C$1486</f>
        <v>1.0750999999999999</v>
      </c>
      <c r="J18" s="36" t="s">
        <v>116</v>
      </c>
      <c r="K18" s="62">
        <f>'환기량 산정'!$C$1486</f>
        <v>1.0750999999999999</v>
      </c>
      <c r="L18" s="38">
        <f>'환기량 산정'!$C$1486</f>
        <v>1.0750999999999999</v>
      </c>
      <c r="M18" s="38">
        <f>'환기량 산정'!$C$1486</f>
        <v>1.0750999999999999</v>
      </c>
      <c r="N18" s="38">
        <f>'환기량 산정'!$C$1486</f>
        <v>1.0750999999999999</v>
      </c>
      <c r="O18" s="38">
        <f>'환기량 산정'!$C$1486</f>
        <v>1.0750999999999999</v>
      </c>
      <c r="P18" s="38">
        <f>'환기량 산정'!$C$1486</f>
        <v>1.0750999999999999</v>
      </c>
      <c r="Q18" s="38">
        <f>'환기량 산정'!$C$1486</f>
        <v>1.0750999999999999</v>
      </c>
      <c r="R18" s="39">
        <f>'환기량 산정'!$C$1486</f>
        <v>1.0750999999999999</v>
      </c>
      <c r="S18" s="36" t="s">
        <v>116</v>
      </c>
      <c r="T18" s="44">
        <f>'환기량 산정'!$C$1486</f>
        <v>1.0750999999999999</v>
      </c>
      <c r="U18" s="38">
        <f>'환기량 산정'!$C$1486</f>
        <v>1.0750999999999999</v>
      </c>
      <c r="V18" s="38">
        <f>'환기량 산정'!$C$1486</f>
        <v>1.0750999999999999</v>
      </c>
      <c r="W18" s="38">
        <f>'환기량 산정'!$C$1486</f>
        <v>1.0750999999999999</v>
      </c>
      <c r="X18" s="38">
        <f>'환기량 산정'!$C$1486</f>
        <v>1.0750999999999999</v>
      </c>
      <c r="Y18" s="38">
        <f>'환기량 산정'!$C$1486</f>
        <v>1.0750999999999999</v>
      </c>
      <c r="Z18" s="38">
        <f>'환기량 산정'!$C$1486</f>
        <v>1.0750999999999999</v>
      </c>
      <c r="AA18" s="39">
        <f>'환기량 산정'!$C$1486</f>
        <v>1.0750999999999999</v>
      </c>
      <c r="AB18" s="143" t="str">
        <f>CONCATENATE("예비용 ",AC20," 포함")</f>
        <v>예비용 2 포함</v>
      </c>
      <c r="AC18" s="132">
        <f t="shared" ref="AC18:AJ18" si="37">AC17+$AC$20</f>
        <v>7</v>
      </c>
      <c r="AD18" s="133">
        <f t="shared" si="37"/>
        <v>7</v>
      </c>
      <c r="AE18" s="133">
        <f t="shared" si="37"/>
        <v>7</v>
      </c>
      <c r="AF18" s="133">
        <f t="shared" si="37"/>
        <v>7</v>
      </c>
      <c r="AG18" s="133">
        <f t="shared" si="37"/>
        <v>6</v>
      </c>
      <c r="AH18" s="133">
        <f t="shared" si="37"/>
        <v>6</v>
      </c>
      <c r="AI18" s="133">
        <f t="shared" si="37"/>
        <v>6</v>
      </c>
      <c r="AJ18" s="134">
        <f t="shared" si="37"/>
        <v>6</v>
      </c>
      <c r="AK18" s="166" t="s">
        <v>125</v>
      </c>
      <c r="AL18" s="44">
        <f>ROUND(AL13-AL14,4)</f>
        <v>4.0254000000000003</v>
      </c>
      <c r="AM18" s="38">
        <f t="shared" ref="AM18:AS18" si="38">ROUND(AM13-AM14,4)</f>
        <v>2.0133999999999999</v>
      </c>
      <c r="AN18" s="38">
        <f t="shared" si="38"/>
        <v>2.2002999999999999</v>
      </c>
      <c r="AO18" s="38">
        <f t="shared" si="38"/>
        <v>2.3433000000000002</v>
      </c>
      <c r="AP18" s="38">
        <f t="shared" si="38"/>
        <v>2.4312</v>
      </c>
      <c r="AQ18" s="38">
        <f t="shared" si="38"/>
        <v>2.5082</v>
      </c>
      <c r="AR18" s="38">
        <f t="shared" si="38"/>
        <v>2.5522</v>
      </c>
      <c r="AS18" s="39">
        <f t="shared" si="38"/>
        <v>2.5851000000000002</v>
      </c>
      <c r="AT18" s="36" t="s">
        <v>116</v>
      </c>
      <c r="AU18" s="327">
        <f>'환기량 산정'!$C$1486</f>
        <v>1.0750999999999999</v>
      </c>
      <c r="AV18" s="328">
        <f>'환기량 산정'!$C$1486</f>
        <v>1.0750999999999999</v>
      </c>
      <c r="AW18" s="328">
        <f>'환기량 산정'!$C$1486</f>
        <v>1.0750999999999999</v>
      </c>
      <c r="AX18" s="328">
        <f>'환기량 산정'!$C$1486</f>
        <v>1.0750999999999999</v>
      </c>
      <c r="AY18" s="328">
        <f>'환기량 산정'!$C$1486</f>
        <v>1.0750999999999999</v>
      </c>
      <c r="AZ18" s="328">
        <f>'환기량 산정'!$C$1486</f>
        <v>1.0750999999999999</v>
      </c>
      <c r="BA18" s="328">
        <f>'환기량 산정'!$C$1486</f>
        <v>1.0750999999999999</v>
      </c>
      <c r="BB18" s="329">
        <f>'환기량 산정'!$C$1486</f>
        <v>1.0750999999999999</v>
      </c>
      <c r="BC18" s="36" t="s">
        <v>116</v>
      </c>
      <c r="BD18" s="327">
        <f>'환기량 산정'!$C$1486</f>
        <v>1.0750999999999999</v>
      </c>
      <c r="BE18" s="328">
        <f>'환기량 산정'!$C$1486</f>
        <v>1.0750999999999999</v>
      </c>
      <c r="BF18" s="328">
        <f>'환기량 산정'!$C$1486</f>
        <v>1.0750999999999999</v>
      </c>
      <c r="BG18" s="328">
        <f>'환기량 산정'!$C$1486</f>
        <v>1.0750999999999999</v>
      </c>
      <c r="BH18" s="328">
        <f>'환기량 산정'!$C$1486</f>
        <v>1.0750999999999999</v>
      </c>
      <c r="BI18" s="328">
        <f>'환기량 산정'!$C$1486</f>
        <v>1.0750999999999999</v>
      </c>
      <c r="BJ18" s="328">
        <f>'환기량 산정'!$C$1486</f>
        <v>1.0750999999999999</v>
      </c>
      <c r="BK18" s="329">
        <f>'환기량 산정'!$C$1486</f>
        <v>1.0750999999999999</v>
      </c>
    </row>
    <row r="19" spans="1:63">
      <c r="A19" s="36" t="s">
        <v>117</v>
      </c>
      <c r="B19" s="44">
        <f t="shared" ref="B19:I19" si="39">IF($C$3=630,0.27,IF($C$3=710,0.396,IF($C$3=1030,0.83,IF($C$3=1250,1.227,IF($C$3=1530,1.83)))))</f>
        <v>0.83</v>
      </c>
      <c r="C19" s="38">
        <f t="shared" si="39"/>
        <v>0.83</v>
      </c>
      <c r="D19" s="38">
        <f t="shared" si="39"/>
        <v>0.83</v>
      </c>
      <c r="E19" s="38">
        <f t="shared" si="39"/>
        <v>0.83</v>
      </c>
      <c r="F19" s="38">
        <f t="shared" si="39"/>
        <v>0.83</v>
      </c>
      <c r="G19" s="38">
        <f t="shared" si="39"/>
        <v>0.83</v>
      </c>
      <c r="H19" s="63">
        <f t="shared" si="39"/>
        <v>0.83</v>
      </c>
      <c r="I19" s="39">
        <f t="shared" si="39"/>
        <v>0.83</v>
      </c>
      <c r="J19" s="36" t="s">
        <v>117</v>
      </c>
      <c r="K19" s="62">
        <f t="shared" ref="K19:R19" si="40">IF($C$3=630,0.27,IF($C$3=710,0.396,IF($C$3=1030,0.83,IF($C$3=1250,1.227,IF($C$3=1530,1.83)))))</f>
        <v>0.83</v>
      </c>
      <c r="L19" s="38">
        <f t="shared" si="40"/>
        <v>0.83</v>
      </c>
      <c r="M19" s="38">
        <f t="shared" si="40"/>
        <v>0.83</v>
      </c>
      <c r="N19" s="38">
        <f t="shared" si="40"/>
        <v>0.83</v>
      </c>
      <c r="O19" s="38">
        <f t="shared" si="40"/>
        <v>0.83</v>
      </c>
      <c r="P19" s="38">
        <f t="shared" si="40"/>
        <v>0.83</v>
      </c>
      <c r="Q19" s="38">
        <f t="shared" si="40"/>
        <v>0.83</v>
      </c>
      <c r="R19" s="39">
        <f t="shared" si="40"/>
        <v>0.83</v>
      </c>
      <c r="S19" s="36" t="s">
        <v>117</v>
      </c>
      <c r="T19" s="44">
        <f t="shared" ref="T19:AA19" si="41">IF($C$3=630,0.27,IF($C$3=710,0.396,IF($C$3=1030,0.83,IF($C$3=1250,1.227,IF($C$3=1530,1.83)))))</f>
        <v>0.83</v>
      </c>
      <c r="U19" s="38">
        <f t="shared" si="41"/>
        <v>0.83</v>
      </c>
      <c r="V19" s="38">
        <f t="shared" si="41"/>
        <v>0.83</v>
      </c>
      <c r="W19" s="38">
        <f t="shared" si="41"/>
        <v>0.83</v>
      </c>
      <c r="X19" s="38">
        <f t="shared" si="41"/>
        <v>0.83</v>
      </c>
      <c r="Y19" s="38">
        <f t="shared" si="41"/>
        <v>0.83</v>
      </c>
      <c r="Z19" s="38">
        <f t="shared" si="41"/>
        <v>0.83</v>
      </c>
      <c r="AA19" s="39">
        <f t="shared" si="41"/>
        <v>0.83</v>
      </c>
      <c r="AK19" s="166" t="s">
        <v>251</v>
      </c>
      <c r="AL19" s="44">
        <f t="shared" ref="AL19:AS19" si="42">ROUND(2*AL14*B7+AL15*AL12,4)</f>
        <v>-5.0282</v>
      </c>
      <c r="AM19" s="38">
        <f t="shared" si="42"/>
        <v>10.3818</v>
      </c>
      <c r="AN19" s="38">
        <f t="shared" si="42"/>
        <v>11.474399999999999</v>
      </c>
      <c r="AO19" s="38">
        <f t="shared" si="42"/>
        <v>11.4811</v>
      </c>
      <c r="AP19" s="38">
        <f t="shared" si="42"/>
        <v>11.912100000000001</v>
      </c>
      <c r="AQ19" s="38">
        <f t="shared" si="42"/>
        <v>11.728999999999999</v>
      </c>
      <c r="AR19" s="38">
        <f t="shared" si="42"/>
        <v>11.9673</v>
      </c>
      <c r="AS19" s="39">
        <f t="shared" si="42"/>
        <v>12.2166</v>
      </c>
      <c r="AT19" s="36" t="s">
        <v>117</v>
      </c>
      <c r="AU19" s="327">
        <f t="shared" ref="AU19:BK19" si="43">IF($C$3=630,0.27,IF($C$3=710,0.396,IF($C$3=1030,0.83,IF($C$3=1250,1.227,IF($C$3=1530,1.83)))))</f>
        <v>0.83</v>
      </c>
      <c r="AV19" s="328">
        <f t="shared" si="43"/>
        <v>0.83</v>
      </c>
      <c r="AW19" s="328">
        <f t="shared" si="43"/>
        <v>0.83</v>
      </c>
      <c r="AX19" s="328">
        <f t="shared" si="43"/>
        <v>0.83</v>
      </c>
      <c r="AY19" s="328">
        <f t="shared" si="43"/>
        <v>0.83</v>
      </c>
      <c r="AZ19" s="328">
        <f t="shared" si="43"/>
        <v>0.83</v>
      </c>
      <c r="BA19" s="328">
        <f t="shared" si="43"/>
        <v>0.83</v>
      </c>
      <c r="BB19" s="329">
        <f t="shared" si="43"/>
        <v>0.83</v>
      </c>
      <c r="BC19" s="36" t="s">
        <v>117</v>
      </c>
      <c r="BD19" s="327">
        <f t="shared" si="43"/>
        <v>0.83</v>
      </c>
      <c r="BE19" s="328">
        <f t="shared" si="43"/>
        <v>0.83</v>
      </c>
      <c r="BF19" s="328">
        <f t="shared" si="43"/>
        <v>0.83</v>
      </c>
      <c r="BG19" s="328">
        <f t="shared" si="43"/>
        <v>0.83</v>
      </c>
      <c r="BH19" s="328">
        <f t="shared" si="43"/>
        <v>0.83</v>
      </c>
      <c r="BI19" s="328">
        <f t="shared" si="43"/>
        <v>0.83</v>
      </c>
      <c r="BJ19" s="328">
        <f t="shared" si="43"/>
        <v>0.83</v>
      </c>
      <c r="BK19" s="329">
        <f t="shared" si="43"/>
        <v>0.83</v>
      </c>
    </row>
    <row r="20" spans="1:63" ht="15.75">
      <c r="A20" s="36" t="s">
        <v>118</v>
      </c>
      <c r="B20" s="62">
        <f>IF($I$3=1,30,34)</f>
        <v>30</v>
      </c>
      <c r="C20" s="38">
        <f t="shared" ref="C20:I20" si="44">B20</f>
        <v>30</v>
      </c>
      <c r="D20" s="38">
        <f t="shared" si="44"/>
        <v>30</v>
      </c>
      <c r="E20" s="38">
        <f t="shared" si="44"/>
        <v>30</v>
      </c>
      <c r="F20" s="38">
        <f t="shared" si="44"/>
        <v>30</v>
      </c>
      <c r="G20" s="38">
        <f t="shared" si="44"/>
        <v>30</v>
      </c>
      <c r="H20" s="63">
        <f t="shared" si="44"/>
        <v>30</v>
      </c>
      <c r="I20" s="39">
        <f t="shared" si="44"/>
        <v>30</v>
      </c>
      <c r="J20" s="36" t="s">
        <v>118</v>
      </c>
      <c r="K20" s="62">
        <f>B20</f>
        <v>30</v>
      </c>
      <c r="L20" s="38">
        <f t="shared" ref="L20:R20" si="45">K20</f>
        <v>30</v>
      </c>
      <c r="M20" s="38">
        <f t="shared" si="45"/>
        <v>30</v>
      </c>
      <c r="N20" s="38">
        <f t="shared" si="45"/>
        <v>30</v>
      </c>
      <c r="O20" s="38">
        <f t="shared" si="45"/>
        <v>30</v>
      </c>
      <c r="P20" s="38">
        <f t="shared" si="45"/>
        <v>30</v>
      </c>
      <c r="Q20" s="38">
        <f t="shared" si="45"/>
        <v>30</v>
      </c>
      <c r="R20" s="39">
        <f t="shared" si="45"/>
        <v>30</v>
      </c>
      <c r="S20" s="36" t="s">
        <v>118</v>
      </c>
      <c r="T20" s="62">
        <f>K20</f>
        <v>30</v>
      </c>
      <c r="U20" s="38">
        <f t="shared" ref="U20:AA20" si="46">T20</f>
        <v>30</v>
      </c>
      <c r="V20" s="38">
        <f t="shared" si="46"/>
        <v>30</v>
      </c>
      <c r="W20" s="38">
        <f t="shared" si="46"/>
        <v>30</v>
      </c>
      <c r="X20" s="38">
        <f t="shared" si="46"/>
        <v>30</v>
      </c>
      <c r="Y20" s="38">
        <f t="shared" si="46"/>
        <v>30</v>
      </c>
      <c r="Z20" s="38">
        <f t="shared" si="46"/>
        <v>30</v>
      </c>
      <c r="AA20" s="39">
        <f t="shared" si="46"/>
        <v>30</v>
      </c>
      <c r="AB20" s="12" t="s">
        <v>221</v>
      </c>
      <c r="AC20" s="130">
        <v>2</v>
      </c>
      <c r="AD20" s="3" t="s">
        <v>213</v>
      </c>
      <c r="AE20" s="7"/>
      <c r="AF20" s="7"/>
      <c r="AG20" s="7"/>
      <c r="AH20" s="7"/>
      <c r="AI20" s="7"/>
      <c r="AJ20" s="7"/>
      <c r="AK20" s="166" t="s">
        <v>252</v>
      </c>
      <c r="AL20" s="44">
        <f t="shared" ref="AL20:AS20" si="47">ROUND(AL13*B10^2-AL14*B7^2-AL15*B20*AL12,4)</f>
        <v>-16.660299999999999</v>
      </c>
      <c r="AM20" s="38">
        <f t="shared" si="47"/>
        <v>-37.3245</v>
      </c>
      <c r="AN20" s="38">
        <f t="shared" si="47"/>
        <v>-42.414900000000003</v>
      </c>
      <c r="AO20" s="38">
        <f t="shared" si="47"/>
        <v>-45.9024</v>
      </c>
      <c r="AP20" s="38">
        <f t="shared" si="47"/>
        <v>-64.854299999999995</v>
      </c>
      <c r="AQ20" s="38">
        <f t="shared" si="47"/>
        <v>-79.886300000000006</v>
      </c>
      <c r="AR20" s="38">
        <f t="shared" si="47"/>
        <v>-98.446799999999996</v>
      </c>
      <c r="AS20" s="39">
        <f t="shared" si="47"/>
        <v>-117.8509</v>
      </c>
      <c r="AT20" s="36" t="s">
        <v>118</v>
      </c>
      <c r="AU20" s="327">
        <f>B20</f>
        <v>30</v>
      </c>
      <c r="AV20" s="328">
        <f t="shared" ref="AV20:BB20" si="48">AU20</f>
        <v>30</v>
      </c>
      <c r="AW20" s="328">
        <f t="shared" si="48"/>
        <v>30</v>
      </c>
      <c r="AX20" s="328">
        <f t="shared" si="48"/>
        <v>30</v>
      </c>
      <c r="AY20" s="328">
        <f t="shared" si="48"/>
        <v>30</v>
      </c>
      <c r="AZ20" s="328">
        <f t="shared" si="48"/>
        <v>30</v>
      </c>
      <c r="BA20" s="328">
        <f t="shared" si="48"/>
        <v>30</v>
      </c>
      <c r="BB20" s="329">
        <f t="shared" si="48"/>
        <v>30</v>
      </c>
      <c r="BC20" s="36" t="s">
        <v>118</v>
      </c>
      <c r="BD20" s="327">
        <f>K20</f>
        <v>30</v>
      </c>
      <c r="BE20" s="328">
        <f t="shared" ref="BE20:BK20" si="49">BD20</f>
        <v>30</v>
      </c>
      <c r="BF20" s="328">
        <f t="shared" si="49"/>
        <v>30</v>
      </c>
      <c r="BG20" s="328">
        <f t="shared" si="49"/>
        <v>30</v>
      </c>
      <c r="BH20" s="328">
        <f t="shared" si="49"/>
        <v>30</v>
      </c>
      <c r="BI20" s="328">
        <f t="shared" si="49"/>
        <v>30</v>
      </c>
      <c r="BJ20" s="328">
        <f t="shared" si="49"/>
        <v>30</v>
      </c>
      <c r="BK20" s="329">
        <f t="shared" si="49"/>
        <v>30</v>
      </c>
    </row>
    <row r="21" spans="1:63">
      <c r="A21" s="36" t="s">
        <v>119</v>
      </c>
      <c r="B21" s="44">
        <f t="shared" ref="B21:I21" si="50">ROUND(B11*B13/3600/B7+0.4,0)</f>
        <v>106</v>
      </c>
      <c r="C21" s="38">
        <f t="shared" si="50"/>
        <v>77</v>
      </c>
      <c r="D21" s="38">
        <f t="shared" si="50"/>
        <v>60</v>
      </c>
      <c r="E21" s="38">
        <f t="shared" si="50"/>
        <v>47</v>
      </c>
      <c r="F21" s="38">
        <f t="shared" si="50"/>
        <v>39</v>
      </c>
      <c r="G21" s="38">
        <f t="shared" si="50"/>
        <v>32</v>
      </c>
      <c r="H21" s="63">
        <f t="shared" si="50"/>
        <v>28</v>
      </c>
      <c r="I21" s="39">
        <f t="shared" si="50"/>
        <v>25</v>
      </c>
      <c r="J21" s="36" t="s">
        <v>119</v>
      </c>
      <c r="K21" s="62">
        <f t="shared" ref="K21:R21" si="51">ROUND(K11*K13/3600/K7+0.4,0)</f>
        <v>106</v>
      </c>
      <c r="L21" s="38">
        <f t="shared" si="51"/>
        <v>77</v>
      </c>
      <c r="M21" s="38">
        <f t="shared" si="51"/>
        <v>60</v>
      </c>
      <c r="N21" s="38">
        <f t="shared" si="51"/>
        <v>47</v>
      </c>
      <c r="O21" s="38">
        <f t="shared" si="51"/>
        <v>39</v>
      </c>
      <c r="P21" s="38">
        <f t="shared" si="51"/>
        <v>32</v>
      </c>
      <c r="Q21" s="38">
        <f t="shared" si="51"/>
        <v>28</v>
      </c>
      <c r="R21" s="39">
        <f t="shared" si="51"/>
        <v>25</v>
      </c>
      <c r="S21" s="36" t="s">
        <v>119</v>
      </c>
      <c r="T21" s="44">
        <f t="shared" ref="T21:AA21" si="52">ROUND(T11*T13/3600/T7+0.4,0)</f>
        <v>106</v>
      </c>
      <c r="U21" s="38">
        <f t="shared" si="52"/>
        <v>77</v>
      </c>
      <c r="V21" s="38">
        <f t="shared" si="52"/>
        <v>60</v>
      </c>
      <c r="W21" s="38">
        <f t="shared" si="52"/>
        <v>47</v>
      </c>
      <c r="X21" s="38">
        <f t="shared" si="52"/>
        <v>39</v>
      </c>
      <c r="Y21" s="38">
        <f t="shared" si="52"/>
        <v>32</v>
      </c>
      <c r="Z21" s="38">
        <f t="shared" si="52"/>
        <v>28</v>
      </c>
      <c r="AA21" s="39">
        <f t="shared" si="52"/>
        <v>25</v>
      </c>
      <c r="AK21" s="167" t="s">
        <v>126</v>
      </c>
      <c r="AL21" s="170">
        <f t="shared" ref="AL21:AS21" si="53">ROUND(AL16*B12,4)</f>
        <v>161.5069</v>
      </c>
      <c r="AM21" s="171">
        <f t="shared" si="53"/>
        <v>143.17769999999999</v>
      </c>
      <c r="AN21" s="171">
        <f t="shared" si="53"/>
        <v>146.6217</v>
      </c>
      <c r="AO21" s="171">
        <f t="shared" si="53"/>
        <v>153.06979999999999</v>
      </c>
      <c r="AP21" s="171">
        <f t="shared" si="53"/>
        <v>191.6585</v>
      </c>
      <c r="AQ21" s="171">
        <f t="shared" si="53"/>
        <v>221.22919999999999</v>
      </c>
      <c r="AR21" s="171">
        <f t="shared" si="53"/>
        <v>251.9383</v>
      </c>
      <c r="AS21" s="172">
        <f t="shared" si="53"/>
        <v>281.07479999999998</v>
      </c>
      <c r="AT21" s="36" t="s">
        <v>119</v>
      </c>
      <c r="AU21" s="327">
        <f t="shared" ref="AU21:BB21" si="54">ROUND(AU11*AU13/3600/AU7+0.4,0)</f>
        <v>106</v>
      </c>
      <c r="AV21" s="328">
        <f t="shared" si="54"/>
        <v>77</v>
      </c>
      <c r="AW21" s="328">
        <f t="shared" si="54"/>
        <v>60</v>
      </c>
      <c r="AX21" s="328">
        <f t="shared" si="54"/>
        <v>47</v>
      </c>
      <c r="AY21" s="328">
        <f t="shared" si="54"/>
        <v>39</v>
      </c>
      <c r="AZ21" s="328">
        <f t="shared" si="54"/>
        <v>32</v>
      </c>
      <c r="BA21" s="328">
        <f t="shared" si="54"/>
        <v>28</v>
      </c>
      <c r="BB21" s="329">
        <f t="shared" si="54"/>
        <v>25</v>
      </c>
      <c r="BC21" s="36" t="s">
        <v>119</v>
      </c>
      <c r="BD21" s="327">
        <f t="shared" ref="BD21:BK21" si="55">ROUND(BD11*BD13/3600/BD7+0.4,0)</f>
        <v>106</v>
      </c>
      <c r="BE21" s="328">
        <f t="shared" si="55"/>
        <v>77</v>
      </c>
      <c r="BF21" s="328">
        <f t="shared" si="55"/>
        <v>60</v>
      </c>
      <c r="BG21" s="328">
        <f t="shared" si="55"/>
        <v>47</v>
      </c>
      <c r="BH21" s="328">
        <f t="shared" si="55"/>
        <v>39</v>
      </c>
      <c r="BI21" s="328">
        <f t="shared" si="55"/>
        <v>32</v>
      </c>
      <c r="BJ21" s="328">
        <f t="shared" si="55"/>
        <v>28</v>
      </c>
      <c r="BK21" s="329">
        <f t="shared" si="55"/>
        <v>25</v>
      </c>
    </row>
    <row r="22" spans="1:63">
      <c r="A22" s="36" t="s">
        <v>343</v>
      </c>
      <c r="B22" s="62">
        <f>IF(B9&lt;4,0.99,IF(B9&lt;8,0.92,0.9))</f>
        <v>0.99</v>
      </c>
      <c r="C22" s="63">
        <f t="shared" ref="C22:I22" si="56">IF(C9&lt;4,0.99,IF(C9&lt;8,0.92,0.9))</f>
        <v>0.99</v>
      </c>
      <c r="D22" s="63">
        <f t="shared" si="56"/>
        <v>0.99</v>
      </c>
      <c r="E22" s="63">
        <f t="shared" si="56"/>
        <v>0.99</v>
      </c>
      <c r="F22" s="63">
        <f t="shared" si="56"/>
        <v>0.99</v>
      </c>
      <c r="G22" s="63">
        <f t="shared" si="56"/>
        <v>0.99</v>
      </c>
      <c r="H22" s="63">
        <f t="shared" si="56"/>
        <v>0.99</v>
      </c>
      <c r="I22" s="64">
        <f t="shared" si="56"/>
        <v>0.99</v>
      </c>
      <c r="J22" s="36" t="s">
        <v>343</v>
      </c>
      <c r="K22" s="44">
        <f>IF(K9&lt;4,0.99,IF(K9&lt;8,0.92,0.9))</f>
        <v>0.99</v>
      </c>
      <c r="L22" s="38">
        <f t="shared" ref="L22:R22" si="57">IF(L9&lt;4,0.99,IF(L9&lt;8,0.92,0.9))</f>
        <v>0.99</v>
      </c>
      <c r="M22" s="38">
        <f t="shared" si="57"/>
        <v>0.99</v>
      </c>
      <c r="N22" s="38">
        <f t="shared" si="57"/>
        <v>0.99</v>
      </c>
      <c r="O22" s="38">
        <f t="shared" si="57"/>
        <v>0.99</v>
      </c>
      <c r="P22" s="38">
        <f t="shared" si="57"/>
        <v>0.99</v>
      </c>
      <c r="Q22" s="38">
        <f t="shared" si="57"/>
        <v>0.99</v>
      </c>
      <c r="R22" s="39">
        <f t="shared" si="57"/>
        <v>0.99</v>
      </c>
      <c r="S22" s="36" t="s">
        <v>343</v>
      </c>
      <c r="T22" s="44">
        <f>IF(T9&lt;4,0.99,IF(T9&lt;8,0.92,0.9))</f>
        <v>0.99</v>
      </c>
      <c r="U22" s="38">
        <f t="shared" ref="U22:AA22" si="58">IF(U9&lt;4,0.99,IF(U9&lt;8,0.92,0.9))</f>
        <v>0.99</v>
      </c>
      <c r="V22" s="38">
        <f t="shared" si="58"/>
        <v>0.99</v>
      </c>
      <c r="W22" s="38">
        <f t="shared" si="58"/>
        <v>0.99</v>
      </c>
      <c r="X22" s="38">
        <f t="shared" si="58"/>
        <v>0.99</v>
      </c>
      <c r="Y22" s="38">
        <f t="shared" si="58"/>
        <v>0.99</v>
      </c>
      <c r="Z22" s="38">
        <f t="shared" si="58"/>
        <v>0.99</v>
      </c>
      <c r="AA22" s="39">
        <f t="shared" si="58"/>
        <v>0.99</v>
      </c>
      <c r="AB22" s="12"/>
      <c r="AC22" s="141"/>
      <c r="AD22" s="15"/>
      <c r="AE22" s="1525"/>
      <c r="AF22" s="1525"/>
      <c r="AG22" s="141"/>
      <c r="AH22" s="161"/>
      <c r="AI22" s="13"/>
      <c r="AK22" s="168" t="s">
        <v>228</v>
      </c>
      <c r="AL22" s="62">
        <f t="shared" ref="AL22:AS22" si="59">ROUND(B8/AL21,4)</f>
        <v>3.7199999999999997E-2</v>
      </c>
      <c r="AM22" s="63">
        <f t="shared" si="59"/>
        <v>6.2899999999999998E-2</v>
      </c>
      <c r="AN22" s="63">
        <f t="shared" si="59"/>
        <v>6.1400000000000003E-2</v>
      </c>
      <c r="AO22" s="63">
        <f t="shared" si="59"/>
        <v>6.5299999999999997E-2</v>
      </c>
      <c r="AP22" s="63">
        <f t="shared" si="59"/>
        <v>7.2999999999999995E-2</v>
      </c>
      <c r="AQ22" s="63">
        <f t="shared" si="59"/>
        <v>6.3299999999999995E-2</v>
      </c>
      <c r="AR22" s="63">
        <f t="shared" si="59"/>
        <v>5.5599999999999997E-2</v>
      </c>
      <c r="AS22" s="64">
        <f t="shared" si="59"/>
        <v>4.9799999999999997E-2</v>
      </c>
      <c r="AT22" s="36" t="s">
        <v>343</v>
      </c>
      <c r="AU22" s="333">
        <f t="shared" ref="AU22:BB22" si="60">IF(AU9&lt;4,0.99,IF(AU9&lt;8,0.92,0.9))</f>
        <v>0.99</v>
      </c>
      <c r="AV22" s="328">
        <f t="shared" si="60"/>
        <v>0.99</v>
      </c>
      <c r="AW22" s="328">
        <f t="shared" si="60"/>
        <v>0.99</v>
      </c>
      <c r="AX22" s="328">
        <f t="shared" si="60"/>
        <v>0.99</v>
      </c>
      <c r="AY22" s="328">
        <f t="shared" si="60"/>
        <v>0.99</v>
      </c>
      <c r="AZ22" s="328">
        <f t="shared" si="60"/>
        <v>0.99</v>
      </c>
      <c r="BA22" s="328">
        <f t="shared" si="60"/>
        <v>0.99</v>
      </c>
      <c r="BB22" s="329">
        <f t="shared" si="60"/>
        <v>0.99</v>
      </c>
      <c r="BC22" s="36" t="s">
        <v>343</v>
      </c>
      <c r="BD22" s="333">
        <f t="shared" ref="BD22:BK22" si="61">IF(BD9&lt;4,0.99,IF(BD9&lt;8,0.92,0.9))</f>
        <v>0.99</v>
      </c>
      <c r="BE22" s="328">
        <f t="shared" si="61"/>
        <v>0.99</v>
      </c>
      <c r="BF22" s="328">
        <f t="shared" si="61"/>
        <v>0.99</v>
      </c>
      <c r="BG22" s="328">
        <f t="shared" si="61"/>
        <v>0.99</v>
      </c>
      <c r="BH22" s="328">
        <f t="shared" si="61"/>
        <v>0.99</v>
      </c>
      <c r="BI22" s="328">
        <f t="shared" si="61"/>
        <v>0.99</v>
      </c>
      <c r="BJ22" s="328">
        <f t="shared" si="61"/>
        <v>0.99</v>
      </c>
      <c r="BK22" s="329">
        <f t="shared" si="61"/>
        <v>0.99</v>
      </c>
    </row>
    <row r="23" spans="1:63" ht="15.75">
      <c r="A23" s="36" t="s">
        <v>154</v>
      </c>
      <c r="B23" s="44">
        <f>ROUND((1+$B$15+$B$16*$B$13/$B$17)*$B$14/2*B9^2,4)</f>
        <v>2.9899999999999999E-2</v>
      </c>
      <c r="C23" s="38">
        <f t="shared" ref="C23:I23" si="62">ROUND((1+C15+C16*C13/C17)*C14/2*C9^2,4)</f>
        <v>6.7299999999999999E-2</v>
      </c>
      <c r="D23" s="38">
        <f t="shared" si="62"/>
        <v>6.7299999999999999E-2</v>
      </c>
      <c r="E23" s="38">
        <f t="shared" si="62"/>
        <v>8.3000000000000004E-2</v>
      </c>
      <c r="F23" s="38">
        <f t="shared" si="62"/>
        <v>0.1628</v>
      </c>
      <c r="G23" s="38">
        <f t="shared" si="62"/>
        <v>0.1628</v>
      </c>
      <c r="H23" s="63">
        <f t="shared" si="62"/>
        <v>0.1628</v>
      </c>
      <c r="I23" s="39">
        <f t="shared" si="62"/>
        <v>0.1628</v>
      </c>
      <c r="J23" s="36" t="s">
        <v>154</v>
      </c>
      <c r="K23" s="62">
        <f t="shared" ref="K23:R23" si="63">ROUND((1+K15+K16*K13/K17)*K14/2*K9^2,4)</f>
        <v>0.187</v>
      </c>
      <c r="L23" s="38">
        <f t="shared" si="63"/>
        <v>0.1404</v>
      </c>
      <c r="M23" s="38">
        <f t="shared" si="63"/>
        <v>6.7299999999999999E-2</v>
      </c>
      <c r="N23" s="38">
        <f t="shared" si="63"/>
        <v>5.3199999999999997E-2</v>
      </c>
      <c r="O23" s="38">
        <f t="shared" si="63"/>
        <v>4.07E-2</v>
      </c>
      <c r="P23" s="38">
        <f t="shared" si="63"/>
        <v>2.9899999999999999E-2</v>
      </c>
      <c r="Q23" s="38">
        <f t="shared" si="63"/>
        <v>4.07E-2</v>
      </c>
      <c r="R23" s="39">
        <f t="shared" si="63"/>
        <v>4.07E-2</v>
      </c>
      <c r="S23" s="36" t="s">
        <v>154</v>
      </c>
      <c r="T23" s="44">
        <f t="shared" ref="T23:AA23" si="64">ROUND((1+T15+T16*T13/T17)*T14/2*T9^2,4)</f>
        <v>7.4999999999999997E-3</v>
      </c>
      <c r="U23" s="38">
        <f t="shared" si="64"/>
        <v>3.3E-3</v>
      </c>
      <c r="V23" s="38">
        <f t="shared" si="64"/>
        <v>3.3E-3</v>
      </c>
      <c r="W23" s="38">
        <f t="shared" si="64"/>
        <v>3.3E-3</v>
      </c>
      <c r="X23" s="38">
        <f t="shared" si="64"/>
        <v>8.0000000000000004E-4</v>
      </c>
      <c r="Y23" s="38">
        <f t="shared" si="64"/>
        <v>8.0000000000000004E-4</v>
      </c>
      <c r="Z23" s="38">
        <f t="shared" si="64"/>
        <v>8.0000000000000004E-4</v>
      </c>
      <c r="AA23" s="39">
        <f t="shared" si="64"/>
        <v>8.0000000000000004E-4</v>
      </c>
      <c r="AI23" s="13"/>
      <c r="AK23" s="69" t="s">
        <v>229</v>
      </c>
      <c r="AL23" s="179">
        <f t="shared" ref="AL23:AS23" si="65">ROUND(K8/AL21,4)</f>
        <v>9.2899999999999996E-2</v>
      </c>
      <c r="AM23" s="63">
        <f t="shared" si="65"/>
        <v>9.0800000000000006E-2</v>
      </c>
      <c r="AN23" s="63">
        <f t="shared" si="65"/>
        <v>6.1400000000000003E-2</v>
      </c>
      <c r="AO23" s="63">
        <f t="shared" si="65"/>
        <v>5.2299999999999999E-2</v>
      </c>
      <c r="AP23" s="63">
        <f t="shared" si="65"/>
        <v>3.6499999999999998E-2</v>
      </c>
      <c r="AQ23" s="63">
        <f t="shared" si="65"/>
        <v>2.7099999999999999E-2</v>
      </c>
      <c r="AR23" s="63">
        <f t="shared" si="65"/>
        <v>2.7799999999999998E-2</v>
      </c>
      <c r="AS23" s="64">
        <f t="shared" si="65"/>
        <v>2.4899999999999999E-2</v>
      </c>
      <c r="AT23" s="36" t="s">
        <v>154</v>
      </c>
      <c r="AU23" s="327">
        <f t="shared" ref="AU23:BB23" si="66">ROUND((1+AU15+AU16*AU13/AU17)*AU14/2*AU9^2,4)</f>
        <v>15.5936</v>
      </c>
      <c r="AV23" s="328">
        <f t="shared" si="66"/>
        <v>15.5936</v>
      </c>
      <c r="AW23" s="328">
        <f t="shared" si="66"/>
        <v>15.5936</v>
      </c>
      <c r="AX23" s="328">
        <f t="shared" si="66"/>
        <v>15.5936</v>
      </c>
      <c r="AY23" s="328">
        <f t="shared" si="66"/>
        <v>15.5936</v>
      </c>
      <c r="AZ23" s="328">
        <f t="shared" si="66"/>
        <v>15.5936</v>
      </c>
      <c r="BA23" s="328">
        <f t="shared" si="66"/>
        <v>15.5936</v>
      </c>
      <c r="BB23" s="329">
        <f t="shared" si="66"/>
        <v>15.5936</v>
      </c>
      <c r="BC23" s="36" t="s">
        <v>154</v>
      </c>
      <c r="BD23" s="327">
        <f t="shared" ref="BD23:BK23" si="67">ROUND((1+BD15+BD16*BD13/BD17)*BD14/2*BD9^2,4)</f>
        <v>6.5808999999999997</v>
      </c>
      <c r="BE23" s="328">
        <f t="shared" si="67"/>
        <v>6.5808999999999997</v>
      </c>
      <c r="BF23" s="328">
        <f t="shared" si="67"/>
        <v>6.5808999999999997</v>
      </c>
      <c r="BG23" s="328">
        <f t="shared" si="67"/>
        <v>6.5808999999999997</v>
      </c>
      <c r="BH23" s="328">
        <f t="shared" si="67"/>
        <v>6.5808999999999997</v>
      </c>
      <c r="BI23" s="328">
        <f t="shared" si="67"/>
        <v>6.5808999999999997</v>
      </c>
      <c r="BJ23" s="328">
        <f t="shared" si="67"/>
        <v>6.5808999999999997</v>
      </c>
      <c r="BK23" s="329">
        <f t="shared" si="67"/>
        <v>6.5808999999999997</v>
      </c>
    </row>
    <row r="24" spans="1:63" ht="16.5" thickBot="1">
      <c r="A24" s="36" t="s">
        <v>155</v>
      </c>
      <c r="B24" s="44">
        <f t="shared" ref="B24:I24" si="68">ROUND((1+B15+B16*B13/B17)*B14/2*B10^2,4)</f>
        <v>17.875299999999999</v>
      </c>
      <c r="C24" s="38">
        <f t="shared" si="68"/>
        <v>17.875299999999999</v>
      </c>
      <c r="D24" s="38">
        <f t="shared" si="68"/>
        <v>17.875299999999999</v>
      </c>
      <c r="E24" s="38">
        <f t="shared" si="68"/>
        <v>17.875299999999999</v>
      </c>
      <c r="F24" s="38">
        <f t="shared" si="68"/>
        <v>17.875299999999999</v>
      </c>
      <c r="G24" s="38">
        <f t="shared" si="68"/>
        <v>17.875299999999999</v>
      </c>
      <c r="H24" s="63">
        <f t="shared" si="68"/>
        <v>17.875299999999999</v>
      </c>
      <c r="I24" s="39">
        <f t="shared" si="68"/>
        <v>17.875299999999999</v>
      </c>
      <c r="J24" s="36" t="s">
        <v>155</v>
      </c>
      <c r="K24" s="62">
        <f t="shared" ref="K24:R24" si="69">ROUND((1+K15+K16*K13/K17)*K14/2*K10^2,4)</f>
        <v>17.875299999999999</v>
      </c>
      <c r="L24" s="38">
        <f t="shared" si="69"/>
        <v>17.875299999999999</v>
      </c>
      <c r="M24" s="38">
        <f t="shared" si="69"/>
        <v>17.875299999999999</v>
      </c>
      <c r="N24" s="38">
        <f t="shared" si="69"/>
        <v>17.875299999999999</v>
      </c>
      <c r="O24" s="38">
        <f t="shared" si="69"/>
        <v>17.875299999999999</v>
      </c>
      <c r="P24" s="38">
        <f t="shared" si="69"/>
        <v>17.875299999999999</v>
      </c>
      <c r="Q24" s="38">
        <f t="shared" si="69"/>
        <v>17.875299999999999</v>
      </c>
      <c r="R24" s="39">
        <f t="shared" si="69"/>
        <v>17.875299999999999</v>
      </c>
      <c r="S24" s="36" t="s">
        <v>155</v>
      </c>
      <c r="T24" s="44">
        <f t="shared" ref="T24:AA24" si="70">ROUND((1+T15+T16*T13/T17)*T14/2*T10^2,4)</f>
        <v>17.875299999999999</v>
      </c>
      <c r="U24" s="38">
        <f t="shared" si="70"/>
        <v>17.875299999999999</v>
      </c>
      <c r="V24" s="38">
        <f t="shared" si="70"/>
        <v>17.875299999999999</v>
      </c>
      <c r="W24" s="38">
        <f t="shared" si="70"/>
        <v>17.875299999999999</v>
      </c>
      <c r="X24" s="38">
        <f t="shared" si="70"/>
        <v>17.875299999999999</v>
      </c>
      <c r="Y24" s="38">
        <f t="shared" si="70"/>
        <v>17.875299999999999</v>
      </c>
      <c r="Z24" s="38">
        <f t="shared" si="70"/>
        <v>17.875299999999999</v>
      </c>
      <c r="AA24" s="39">
        <f t="shared" si="70"/>
        <v>17.875299999999999</v>
      </c>
      <c r="AC24" s="136" t="s">
        <v>220</v>
      </c>
      <c r="AD24" s="141">
        <f>C3</f>
        <v>1030</v>
      </c>
      <c r="AH24" s="12" t="s">
        <v>519</v>
      </c>
      <c r="AI24" s="12" t="s">
        <v>423</v>
      </c>
      <c r="AK24" s="69" t="s">
        <v>230</v>
      </c>
      <c r="AL24" s="62">
        <f t="shared" ref="AL24:AS24" si="71">ROUND(T8/AL21,4)</f>
        <v>1.8599999999999998E-2</v>
      </c>
      <c r="AM24" s="63">
        <f t="shared" si="71"/>
        <v>1.4E-2</v>
      </c>
      <c r="AN24" s="63">
        <f t="shared" si="71"/>
        <v>1.3599999999999999E-2</v>
      </c>
      <c r="AO24" s="63">
        <f t="shared" si="71"/>
        <v>1.3100000000000001E-2</v>
      </c>
      <c r="AP24" s="63">
        <f t="shared" si="71"/>
        <v>5.1999999999999998E-3</v>
      </c>
      <c r="AQ24" s="63">
        <f t="shared" si="71"/>
        <v>4.4999999999999997E-3</v>
      </c>
      <c r="AR24" s="63">
        <f t="shared" si="71"/>
        <v>4.0000000000000001E-3</v>
      </c>
      <c r="AS24" s="64">
        <f t="shared" si="71"/>
        <v>3.5999999999999999E-3</v>
      </c>
      <c r="AT24" s="36" t="s">
        <v>155</v>
      </c>
      <c r="AU24" s="327">
        <f t="shared" ref="AU24:BB24" si="72">ROUND((1+AU15+AU16*AU13/AU17)*AU14/2*AU10^2,4)</f>
        <v>17.875299999999999</v>
      </c>
      <c r="AV24" s="328">
        <f t="shared" si="72"/>
        <v>17.875299999999999</v>
      </c>
      <c r="AW24" s="328">
        <f t="shared" si="72"/>
        <v>17.875299999999999</v>
      </c>
      <c r="AX24" s="328">
        <f t="shared" si="72"/>
        <v>17.875299999999999</v>
      </c>
      <c r="AY24" s="328">
        <f t="shared" si="72"/>
        <v>17.875299999999999</v>
      </c>
      <c r="AZ24" s="328">
        <f t="shared" si="72"/>
        <v>17.875299999999999</v>
      </c>
      <c r="BA24" s="328">
        <f t="shared" si="72"/>
        <v>17.875299999999999</v>
      </c>
      <c r="BB24" s="329">
        <f t="shared" si="72"/>
        <v>17.875299999999999</v>
      </c>
      <c r="BC24" s="36" t="s">
        <v>155</v>
      </c>
      <c r="BD24" s="327">
        <f t="shared" ref="BD24:BK24" si="73">ROUND((1+BD15+BD16*BD13/BD17)*BD14/2*BD10^2,4)</f>
        <v>17.875299999999999</v>
      </c>
      <c r="BE24" s="328">
        <f t="shared" si="73"/>
        <v>17.875299999999999</v>
      </c>
      <c r="BF24" s="328">
        <f t="shared" si="73"/>
        <v>17.875299999999999</v>
      </c>
      <c r="BG24" s="328">
        <f t="shared" si="73"/>
        <v>17.875299999999999</v>
      </c>
      <c r="BH24" s="328">
        <f t="shared" si="73"/>
        <v>17.875299999999999</v>
      </c>
      <c r="BI24" s="328">
        <f t="shared" si="73"/>
        <v>17.875299999999999</v>
      </c>
      <c r="BJ24" s="328">
        <f t="shared" si="73"/>
        <v>17.875299999999999</v>
      </c>
      <c r="BK24" s="329">
        <f t="shared" si="73"/>
        <v>17.875299999999999</v>
      </c>
    </row>
    <row r="25" spans="1:63" ht="15.75">
      <c r="A25" s="36" t="s">
        <v>156</v>
      </c>
      <c r="B25" s="62">
        <f t="shared" ref="B25:I25" si="74">IF(B7&gt;B9,ROUND(B14/2*B18/B12*(B7-B9)^2*B21,4),IF(B7&lt;B9,ROUND(-B14/2*B18/B12*(B9-B7)^2*B21,4)))</f>
        <v>8.3559999999999999</v>
      </c>
      <c r="C25" s="38">
        <f t="shared" si="74"/>
        <v>24.746099999999998</v>
      </c>
      <c r="D25" s="38">
        <f t="shared" si="74"/>
        <v>44.102699999999999</v>
      </c>
      <c r="E25" s="38">
        <f t="shared" si="74"/>
        <v>61.8399</v>
      </c>
      <c r="F25" s="38">
        <f t="shared" si="74"/>
        <v>79.907399999999996</v>
      </c>
      <c r="G25" s="38">
        <f t="shared" si="74"/>
        <v>94.987700000000004</v>
      </c>
      <c r="H25" s="63">
        <f t="shared" si="74"/>
        <v>113.499</v>
      </c>
      <c r="I25" s="39">
        <f t="shared" si="74"/>
        <v>132.80629999999999</v>
      </c>
      <c r="J25" s="36" t="s">
        <v>156</v>
      </c>
      <c r="K25" s="62">
        <f>IF('환기량 산정'!K1509=1,IF(K7&gt;K9,ROUND(K14/2*K18/K12*(K7-K9)^2*K21,4),IF(K7&lt;K9,ROUND(-K14/2*K18/K12*(K9-K7)^2*K21,4))),ROUND(K14/2*K18/K12*(K7+K9)^2*K21,4))</f>
        <v>7.4260000000000002</v>
      </c>
      <c r="L25" s="38">
        <f t="shared" ref="L25:R25" si="75">IF(L7&gt;L9,ROUND(L14/2*L18/L12*(L7-L9)^2*L21,4),IF(L7&lt;L9,ROUND(-L14/2*L18/L12*(L9-L7)^2*L21,4)))</f>
        <v>24.125800000000002</v>
      </c>
      <c r="M25" s="38">
        <f t="shared" si="75"/>
        <v>44.102699999999999</v>
      </c>
      <c r="N25" s="38">
        <f t="shared" si="75"/>
        <v>62.224899999999998</v>
      </c>
      <c r="O25" s="38">
        <f t="shared" si="75"/>
        <v>81.310100000000006</v>
      </c>
      <c r="P25" s="38">
        <f t="shared" si="75"/>
        <v>96.570099999999996</v>
      </c>
      <c r="Q25" s="38">
        <f t="shared" si="75"/>
        <v>114.91370000000001</v>
      </c>
      <c r="R25" s="39">
        <f t="shared" si="75"/>
        <v>134.2518</v>
      </c>
      <c r="S25" s="36" t="s">
        <v>156</v>
      </c>
      <c r="T25" s="44">
        <f>IF('환기량 산정'!K1509=1,IF(T7&gt;T9,ROUND(T14/2*T18/T12*(T7-T9)^2*T21,4),IF(T7&lt;T9,ROUND(-T14/2*T18/T12*(T9-T7)^2*T21,4))),ROUND(T14/2*T18/T12*(T7+T9)^2*T21,4))</f>
        <v>8.6785999999999994</v>
      </c>
      <c r="U25" s="38">
        <f t="shared" ref="U25:AA25" si="76">IF(U7&gt;U9,ROUND(U14/2*U18/U12*(U7-U9)^2*U21,4),IF(U7&lt;U9,ROUND(-U14/2*U18/U12*(U9-U7)^2*U21,4)))</f>
        <v>25.850300000000001</v>
      </c>
      <c r="V25" s="38">
        <f t="shared" si="76"/>
        <v>45.399000000000001</v>
      </c>
      <c r="W25" s="38">
        <f t="shared" si="76"/>
        <v>63.390500000000003</v>
      </c>
      <c r="X25" s="38">
        <f t="shared" si="76"/>
        <v>82.5227</v>
      </c>
      <c r="Y25" s="38">
        <f t="shared" si="76"/>
        <v>97.566999999999993</v>
      </c>
      <c r="Z25" s="38">
        <f t="shared" si="76"/>
        <v>116.13379999999999</v>
      </c>
      <c r="AA25" s="39">
        <f t="shared" si="76"/>
        <v>135.4975</v>
      </c>
      <c r="AC25" s="146" t="s">
        <v>214</v>
      </c>
      <c r="AD25" s="147">
        <f>MAX(B31:I31)</f>
        <v>1</v>
      </c>
      <c r="AE25" s="148" t="s">
        <v>213</v>
      </c>
      <c r="AF25" s="147">
        <f>IF($AH$25=I30,I6,IF($AH$25=H30,H6,IF($AH$25=G30,G6,IF($AH$25=F30,F6,IF($AH$25=E30,E6,IF($AH$25=D30,D6,IF($AH$25=C30,C6,IF($AH$25=B30,B6))))))))</f>
        <v>10</v>
      </c>
      <c r="AG25" s="149" t="s">
        <v>219</v>
      </c>
      <c r="AH25" s="3">
        <f>MAX(B30:I30)</f>
        <v>0.67</v>
      </c>
      <c r="AI25" s="352">
        <f>MAX(B9:I9)</f>
        <v>0.23860000000000001</v>
      </c>
      <c r="AK25" s="69" t="s">
        <v>253</v>
      </c>
      <c r="AL25" s="62">
        <f>ROUND('환기량 산정'!C683/6.25*AL22*AL21,4)</f>
        <v>8.6999999999999994E-3</v>
      </c>
      <c r="AM25" s="63">
        <f>ROUND('환기량 산정'!D683/6.25*AM22*AM21,4)</f>
        <v>1.01E-2</v>
      </c>
      <c r="AN25" s="63">
        <f>ROUND('환기량 산정'!E683/6.25*AN22*AN21,4)</f>
        <v>1.01E-2</v>
      </c>
      <c r="AO25" s="63">
        <f>ROUND('환기량 산정'!F683/6.25*AO22*AO21,4)</f>
        <v>1.12E-2</v>
      </c>
      <c r="AP25" s="63">
        <f>ROUND('환기량 산정'!G683/6.25*AP22*AP21,4)</f>
        <v>1.12E-2</v>
      </c>
      <c r="AQ25" s="63">
        <f>ROUND('환기량 산정'!H683/6.25*AQ22*AQ21,4)</f>
        <v>1.12E-2</v>
      </c>
      <c r="AR25" s="63">
        <f>ROUND('환기량 산정'!I683/6.25*AR22*AR21,4)</f>
        <v>1.12E-2</v>
      </c>
      <c r="AS25" s="64">
        <f>ROUND('환기량 산정'!J683/6.25*AS22*AS21,4)</f>
        <v>1.12E-2</v>
      </c>
      <c r="AT25" s="36" t="s">
        <v>156</v>
      </c>
      <c r="AU25" s="327">
        <f>IF('환기량 산정'!$K$1509=1,IF(AU7&gt;AU9,ROUND(AU14/2*AU18/AU12*(AU7-AU9)^2*AU21,4),IF(AU7&lt;AU9,ROUND(-AU14/2*AU18/AU12*(AU9-AU7)^2*AU21,4))),ROUND(AU14/2*AU18/AU12*(AU7+AU9)^2*AU21,4))</f>
        <v>0.23080000000000001</v>
      </c>
      <c r="AV25" s="328">
        <f t="shared" ref="AV25:BB25" si="77">IF(AV7&gt;AV9,ROUND(AV14/2*AV18/AV12*(AV7-AV9)^2*AV21,4),IF(AV7&lt;AV9,ROUND(-AV14/2*AV18/AV12*(AV9-AV7)^2*AV21,4)))</f>
        <v>8.8048000000000002</v>
      </c>
      <c r="AW25" s="328">
        <f t="shared" si="77"/>
        <v>23.708100000000002</v>
      </c>
      <c r="AX25" s="328">
        <f t="shared" si="77"/>
        <v>39.788699999999999</v>
      </c>
      <c r="AY25" s="328">
        <f t="shared" si="77"/>
        <v>57.249600000000001</v>
      </c>
      <c r="AZ25" s="328">
        <f t="shared" si="77"/>
        <v>72.295900000000003</v>
      </c>
      <c r="BA25" s="328">
        <f t="shared" si="77"/>
        <v>90.068399999999997</v>
      </c>
      <c r="BB25" s="329">
        <f t="shared" si="77"/>
        <v>108.6824</v>
      </c>
      <c r="BC25" s="36" t="s">
        <v>156</v>
      </c>
      <c r="BD25" s="327">
        <f>IF('환기량 산정'!$K$1509=1,IF(BD7&gt;BD9,ROUND(BD14/2*BD18/BD12*(BD7-BD9)^2*BD21,4),IF(BD7&lt;BD9,ROUND(-BD14/2*BD18/BD12*(BD9-BD7)^2*BD21,4))),ROUND(BD14/2*BD18/BD12*(BD7+BD9)^2*BD21,4))</f>
        <v>1.8593</v>
      </c>
      <c r="BE25" s="328">
        <f t="shared" ref="BE25:BK25" si="78">IF(BE7&gt;BE9,ROUND(BE14/2*BE18/BE12*(BE7-BE9)^2*BE21,4),IF(BE7&lt;BE9,ROUND(-BE14/2*BE18/BE12*(BE9-BE7)^2*BE21,4)))</f>
        <v>13.8385</v>
      </c>
      <c r="BF25" s="328">
        <f t="shared" si="78"/>
        <v>30.6203</v>
      </c>
      <c r="BG25" s="328">
        <f t="shared" si="78"/>
        <v>47.553600000000003</v>
      </c>
      <c r="BH25" s="328">
        <f t="shared" si="78"/>
        <v>65.643199999999993</v>
      </c>
      <c r="BI25" s="328">
        <f t="shared" si="78"/>
        <v>80.783199999999994</v>
      </c>
      <c r="BJ25" s="328">
        <f t="shared" si="78"/>
        <v>98.89</v>
      </c>
      <c r="BK25" s="329">
        <f t="shared" si="78"/>
        <v>117.8091</v>
      </c>
    </row>
    <row r="26" spans="1:63" ht="15.75">
      <c r="A26" s="36" t="s">
        <v>158</v>
      </c>
      <c r="B26" s="44"/>
      <c r="C26" s="38"/>
      <c r="D26" s="38"/>
      <c r="E26" s="38"/>
      <c r="F26" s="38"/>
      <c r="G26" s="38"/>
      <c r="H26" s="63"/>
      <c r="I26" s="39"/>
      <c r="J26" s="36" t="s">
        <v>158</v>
      </c>
      <c r="K26" s="62"/>
      <c r="L26" s="38"/>
      <c r="M26" s="38"/>
      <c r="N26" s="38"/>
      <c r="O26" s="38"/>
      <c r="P26" s="38"/>
      <c r="Q26" s="38"/>
      <c r="R26" s="39"/>
      <c r="S26" s="181" t="s">
        <v>158</v>
      </c>
      <c r="T26" s="44"/>
      <c r="U26" s="38"/>
      <c r="V26" s="38"/>
      <c r="W26" s="38"/>
      <c r="X26" s="38"/>
      <c r="Y26" s="38"/>
      <c r="Z26" s="38"/>
      <c r="AA26" s="39"/>
      <c r="AC26" s="150" t="s">
        <v>215</v>
      </c>
      <c r="AD26" s="151">
        <f>MAX(K31:R31)</f>
        <v>1</v>
      </c>
      <c r="AE26" s="152" t="s">
        <v>213</v>
      </c>
      <c r="AF26" s="151">
        <f>IF($AH$26=R30,R6,IF($AH$26=Q30,Q6,IF($AH$26=P30,P6,IF($AH$26=O30,O6,IF($AH$26=N30,N6,IF($AH$26=M30,M6,IF($AH$26=L30,L6,IF($AH$26=K30,K6))))))))</f>
        <v>10</v>
      </c>
      <c r="AG26" s="153" t="s">
        <v>219</v>
      </c>
      <c r="AH26" s="3">
        <f>MAX(K30:R30)</f>
        <v>0.75</v>
      </c>
      <c r="AI26" s="352">
        <f>MAX(K9:R9)</f>
        <v>0.25569999999999998</v>
      </c>
      <c r="AK26" s="69" t="s">
        <v>254</v>
      </c>
      <c r="AL26" s="62">
        <f>ROUND(AL23*AL21*'환기량 산정'!C1057*10^-6*1.25*1000,4)</f>
        <v>1.3128</v>
      </c>
      <c r="AM26" s="63">
        <f>ROUND(AM23*AM21*'환기량 산정'!D1057*10^-6*1.25*1000,4)</f>
        <v>1.1375</v>
      </c>
      <c r="AN26" s="63">
        <f>ROUND(AN23*AN21*'환기량 산정'!E1057*10^-6*1.25*1000,4)</f>
        <v>0.78769999999999996</v>
      </c>
      <c r="AO26" s="63">
        <f>ROUND(AO23*AO21*'환기량 산정'!F1057*10^-6*1.25*1000,4)</f>
        <v>0.70050000000000001</v>
      </c>
      <c r="AP26" s="63">
        <f>ROUND(AP23*AP21*'환기량 산정'!G1057*10^-6*1.25*1000,4)</f>
        <v>0.61209999999999998</v>
      </c>
      <c r="AQ26" s="63">
        <f>ROUND(AQ23*AQ21*'환기량 산정'!H1057*10^-6*1.25*1000,4)</f>
        <v>0.52459999999999996</v>
      </c>
      <c r="AR26" s="63">
        <f>ROUND(AR23*AR21*'환기량 산정'!I1057*10^-6*1.25*1000,4)</f>
        <v>0.61280000000000001</v>
      </c>
      <c r="AS26" s="64">
        <f>ROUND(AS23*AS21*'환기량 산정'!J1057*10^-6*1.25*1000,4)</f>
        <v>0.61240000000000006</v>
      </c>
      <c r="AT26" s="36" t="s">
        <v>158</v>
      </c>
      <c r="AU26" s="327"/>
      <c r="AV26" s="328"/>
      <c r="AW26" s="328"/>
      <c r="AX26" s="328"/>
      <c r="AY26" s="328"/>
      <c r="AZ26" s="328"/>
      <c r="BA26" s="328"/>
      <c r="BB26" s="329"/>
      <c r="BC26" s="36" t="s">
        <v>158</v>
      </c>
      <c r="BD26" s="327"/>
      <c r="BE26" s="328"/>
      <c r="BF26" s="328"/>
      <c r="BG26" s="328"/>
      <c r="BH26" s="328"/>
      <c r="BI26" s="328"/>
      <c r="BJ26" s="328"/>
      <c r="BK26" s="329"/>
    </row>
    <row r="27" spans="1:63">
      <c r="A27" s="36" t="s">
        <v>157</v>
      </c>
      <c r="B27" s="183">
        <f t="shared" ref="B27:I27" si="79">B23+B24-B25</f>
        <v>9.5492000000000008</v>
      </c>
      <c r="C27" s="45">
        <f t="shared" si="79"/>
        <v>-6.8034999999999997</v>
      </c>
      <c r="D27" s="45">
        <f t="shared" si="79"/>
        <v>-26.1601</v>
      </c>
      <c r="E27" s="45">
        <f t="shared" si="79"/>
        <v>-43.881600000000006</v>
      </c>
      <c r="F27" s="45">
        <f t="shared" si="79"/>
        <v>-61.869299999999996</v>
      </c>
      <c r="G27" s="45">
        <f t="shared" si="79"/>
        <v>-76.949600000000004</v>
      </c>
      <c r="H27" s="138">
        <f t="shared" si="79"/>
        <v>-95.460899999999995</v>
      </c>
      <c r="I27" s="46">
        <f t="shared" si="79"/>
        <v>-114.76819999999999</v>
      </c>
      <c r="J27" s="36" t="s">
        <v>157</v>
      </c>
      <c r="K27" s="189">
        <f>IF('환기량 산정'!K1509=1,K23+K24-K25,K23+K25-K24)</f>
        <v>10.6363</v>
      </c>
      <c r="L27" s="45">
        <f t="shared" ref="L27:R27" si="80">L23+L24-L25</f>
        <v>-6.1101000000000028</v>
      </c>
      <c r="M27" s="45">
        <f t="shared" si="80"/>
        <v>-26.1601</v>
      </c>
      <c r="N27" s="45">
        <f t="shared" si="80"/>
        <v>-44.296399999999998</v>
      </c>
      <c r="O27" s="45">
        <f t="shared" si="80"/>
        <v>-63.394100000000009</v>
      </c>
      <c r="P27" s="45">
        <f t="shared" si="80"/>
        <v>-78.664899999999989</v>
      </c>
      <c r="Q27" s="45">
        <f t="shared" si="80"/>
        <v>-96.997700000000009</v>
      </c>
      <c r="R27" s="46">
        <f t="shared" si="80"/>
        <v>-116.33580000000001</v>
      </c>
      <c r="S27" s="181" t="s">
        <v>157</v>
      </c>
      <c r="T27" s="183">
        <f>IF('환기량 산정'!K1509=1,T23+T24-T25,T23+T25-T24)</f>
        <v>9.2042000000000002</v>
      </c>
      <c r="U27" s="45">
        <f t="shared" ref="U27:AA27" si="81">U23+U24-U25</f>
        <v>-7.971700000000002</v>
      </c>
      <c r="V27" s="45">
        <f t="shared" si="81"/>
        <v>-27.520400000000002</v>
      </c>
      <c r="W27" s="45">
        <f t="shared" si="81"/>
        <v>-45.511900000000004</v>
      </c>
      <c r="X27" s="45">
        <f t="shared" si="81"/>
        <v>-64.646600000000007</v>
      </c>
      <c r="Y27" s="45">
        <f t="shared" si="81"/>
        <v>-79.690899999999999</v>
      </c>
      <c r="Z27" s="45">
        <f t="shared" si="81"/>
        <v>-98.2577</v>
      </c>
      <c r="AA27" s="46">
        <f t="shared" si="81"/>
        <v>-117.62139999999999</v>
      </c>
      <c r="AC27" s="150" t="s">
        <v>216</v>
      </c>
      <c r="AD27" s="151">
        <f>MAX(T31:AA31)</f>
        <v>1</v>
      </c>
      <c r="AE27" s="152" t="s">
        <v>213</v>
      </c>
      <c r="AF27" s="151">
        <f>IF($AH$27=AA30,AA6,IF($AH$27=Z30,Z6,IF($AH$27=Y30,Y6,IF($AH$27=X30,X6,IF($AH$27=W30,W6,IF($AH$27=V30,V6,IF($AH$27=U30,U6,IF($AH$27=T30,T6))))))))</f>
        <v>10</v>
      </c>
      <c r="AG27" s="153" t="s">
        <v>219</v>
      </c>
      <c r="AH27" s="7">
        <f>MAX(T30:AA30)</f>
        <v>0.64</v>
      </c>
      <c r="AI27" s="352">
        <f>MAX(T9:AA9)</f>
        <v>5.11E-2</v>
      </c>
      <c r="AK27" s="69" t="s">
        <v>263</v>
      </c>
      <c r="AL27" s="62">
        <f>ROUND(AL24*AL21*'환기량 산정'!C1432*10^-6*1.554*1000,4)</f>
        <v>9.3399999999999997E-2</v>
      </c>
      <c r="AM27" s="63">
        <f>ROUND(AM24*AM21*'환기량 산정'!D1432*10^-6*1.554*1000,4)</f>
        <v>6.2300000000000001E-2</v>
      </c>
      <c r="AN27" s="63">
        <f>ROUND(AN24*AN21*'환기량 산정'!E1432*10^-6*1.554*1000,4)</f>
        <v>6.2E-2</v>
      </c>
      <c r="AO27" s="63">
        <f>ROUND(AO24*AO21*'환기량 산정'!F1432*10^-6*1.554*1000,4)</f>
        <v>6.2300000000000001E-2</v>
      </c>
      <c r="AP27" s="63">
        <f>ROUND(AP24*AP21*'환기량 산정'!G1432*10^-6*1.554*1000,4)</f>
        <v>3.1E-2</v>
      </c>
      <c r="AQ27" s="63">
        <f>ROUND(AQ24*AQ21*'환기량 산정'!H1432*10^-6*1.554*1000,4)</f>
        <v>3.09E-2</v>
      </c>
      <c r="AR27" s="63">
        <f>ROUND(AR24*AR21*'환기량 산정'!I1432*10^-6*1.554*1000,4)</f>
        <v>3.1300000000000001E-2</v>
      </c>
      <c r="AS27" s="64">
        <f>ROUND(AS24*AS21*'환기량 산정'!J1432*10^-6*1.554*1000,4)</f>
        <v>3.1399999999999997E-2</v>
      </c>
      <c r="AT27" s="36" t="s">
        <v>157</v>
      </c>
      <c r="AU27" s="334">
        <f>IF('환기량 산정'!$K$1509=1,AU23+AU24-AU25,AU23+AU25-AU24)</f>
        <v>33.238099999999996</v>
      </c>
      <c r="AV27" s="335">
        <f>IF('환기량 산정'!$K$1509=1,AV23+AV24-AV25,AV23+AV25-AV24)</f>
        <v>24.664099999999998</v>
      </c>
      <c r="AW27" s="335">
        <f>IF('환기량 산정'!$K$1509=1,AW23+AW24-AW25,AW23+AW25-AW24)</f>
        <v>9.7607999999999961</v>
      </c>
      <c r="AX27" s="335">
        <f>IF('환기량 산정'!$K$1509=1,AX23+AX24-AX25,AX23+AX25-AX24)</f>
        <v>-6.3198000000000008</v>
      </c>
      <c r="AY27" s="335">
        <f>IF('환기량 산정'!$K$1509=1,AY23+AY24-AY25,AY23+AY25-AY24)</f>
        <v>-23.780700000000003</v>
      </c>
      <c r="AZ27" s="335">
        <f>IF('환기량 산정'!$K$1509=1,AZ23+AZ24-AZ25,AZ23+AZ25-AZ24)</f>
        <v>-38.827000000000005</v>
      </c>
      <c r="BA27" s="335">
        <f>IF('환기량 산정'!$K$1509=1,BA23+BA24-BA25,BA23+BA25-BA24)</f>
        <v>-56.599499999999999</v>
      </c>
      <c r="BB27" s="344">
        <f>IF('환기량 산정'!$K$1509=1,BB23+BB24-BB25,BB23+BB25-BB24)</f>
        <v>-75.21350000000001</v>
      </c>
      <c r="BC27" s="36" t="s">
        <v>157</v>
      </c>
      <c r="BD27" s="334">
        <f>IF('환기량 산정'!$K$1509=1,BD23+BD24-BD25,BD23+BD25-BD24)</f>
        <v>22.596899999999998</v>
      </c>
      <c r="BE27" s="335">
        <f>IF('환기량 산정'!$K$1509=1,BE23+BE24-BE25,BE23+BE25-BE24)</f>
        <v>10.617699999999999</v>
      </c>
      <c r="BF27" s="335">
        <f>IF('환기량 산정'!$K$1509=1,BF23+BF24-BF25,BF23+BF25-BF24)</f>
        <v>-6.1641000000000012</v>
      </c>
      <c r="BG27" s="335">
        <f>IF('환기량 산정'!$K$1509=1,BG23+BG24-BG25,BG23+BG25-BG24)</f>
        <v>-23.097400000000004</v>
      </c>
      <c r="BH27" s="335">
        <f>IF('환기량 산정'!$K$1509=1,BH23+BH24-BH25,BH23+BH25-BH24)</f>
        <v>-41.186999999999998</v>
      </c>
      <c r="BI27" s="335">
        <f>IF('환기량 산정'!$K$1509=1,BI23+BI24-BI25,BI23+BI25-BI24)</f>
        <v>-56.326999999999998</v>
      </c>
      <c r="BJ27" s="335">
        <f>IF('환기량 산정'!$K$1509=1,BJ23+BJ24-BJ25,BJ23+BJ25-BJ24)</f>
        <v>-74.433800000000005</v>
      </c>
      <c r="BK27" s="344">
        <f>IF('환기량 산정'!$K$1509=1,BK23+BK24-BK25,BK23+BK25-BK24)</f>
        <v>-93.352900000000005</v>
      </c>
    </row>
    <row r="28" spans="1:63">
      <c r="A28" s="36" t="s">
        <v>191</v>
      </c>
      <c r="B28" s="182">
        <v>0.95</v>
      </c>
      <c r="C28" s="47">
        <f t="shared" ref="C28:I28" si="82">B28</f>
        <v>0.95</v>
      </c>
      <c r="D28" s="47">
        <f t="shared" si="82"/>
        <v>0.95</v>
      </c>
      <c r="E28" s="47">
        <f t="shared" si="82"/>
        <v>0.95</v>
      </c>
      <c r="F28" s="47">
        <f t="shared" si="82"/>
        <v>0.95</v>
      </c>
      <c r="G28" s="47">
        <f t="shared" si="82"/>
        <v>0.95</v>
      </c>
      <c r="H28" s="140">
        <f t="shared" si="82"/>
        <v>0.95</v>
      </c>
      <c r="I28" s="48">
        <f t="shared" si="82"/>
        <v>0.95</v>
      </c>
      <c r="J28" s="36" t="s">
        <v>191</v>
      </c>
      <c r="K28" s="190">
        <f>B28</f>
        <v>0.95</v>
      </c>
      <c r="L28" s="47">
        <f t="shared" ref="L28:R28" si="83">K28</f>
        <v>0.95</v>
      </c>
      <c r="M28" s="47">
        <f t="shared" si="83"/>
        <v>0.95</v>
      </c>
      <c r="N28" s="47">
        <f t="shared" si="83"/>
        <v>0.95</v>
      </c>
      <c r="O28" s="47">
        <f t="shared" si="83"/>
        <v>0.95</v>
      </c>
      <c r="P28" s="47">
        <f t="shared" si="83"/>
        <v>0.95</v>
      </c>
      <c r="Q28" s="47">
        <f t="shared" si="83"/>
        <v>0.95</v>
      </c>
      <c r="R28" s="48">
        <f t="shared" si="83"/>
        <v>0.95</v>
      </c>
      <c r="S28" s="181" t="s">
        <v>191</v>
      </c>
      <c r="T28" s="196">
        <f>B28</f>
        <v>0.95</v>
      </c>
      <c r="U28" s="47">
        <f t="shared" ref="U28:AA28" si="84">T28</f>
        <v>0.95</v>
      </c>
      <c r="V28" s="47">
        <f t="shared" si="84"/>
        <v>0.95</v>
      </c>
      <c r="W28" s="47">
        <f t="shared" si="84"/>
        <v>0.95</v>
      </c>
      <c r="X28" s="47">
        <f t="shared" si="84"/>
        <v>0.95</v>
      </c>
      <c r="Y28" s="47">
        <f t="shared" si="84"/>
        <v>0.95</v>
      </c>
      <c r="Z28" s="47">
        <f t="shared" si="84"/>
        <v>0.95</v>
      </c>
      <c r="AA28" s="48">
        <f t="shared" si="84"/>
        <v>0.95</v>
      </c>
      <c r="AC28" s="150" t="s">
        <v>422</v>
      </c>
      <c r="AD28" s="351">
        <f>MAX(AU31:BB31)</f>
        <v>3</v>
      </c>
      <c r="AE28" s="152" t="s">
        <v>213</v>
      </c>
      <c r="AF28" s="151">
        <f>IF($AH$28=BB30,BB6,IF($AH$28=BA30,BA6,IF($AH$28=AZ30,AZ6,IF($AH$28=AY30,AY6,IF($AH$28=AX30,AX6,IF($AH$28=AW30,AW6,IF($AH$28=AV30,AV6,IF($AH$28=AU30,AU6))))))))</f>
        <v>10</v>
      </c>
      <c r="AG28" s="153" t="s">
        <v>219</v>
      </c>
      <c r="AH28" s="7">
        <f>MAX(AU30:BB30)</f>
        <v>2.5099999999999998</v>
      </c>
      <c r="AI28" s="353">
        <f>AU9</f>
        <v>2.335</v>
      </c>
      <c r="AJ28" s="7"/>
      <c r="AK28" s="69" t="s">
        <v>264</v>
      </c>
      <c r="AL28" s="176">
        <f>'환기량 산정'!B1511</f>
        <v>6</v>
      </c>
      <c r="AM28" s="177">
        <f>'환기량 산정'!C1511</f>
        <v>9</v>
      </c>
      <c r="AN28" s="177">
        <f>'환기량 산정'!D1511</f>
        <v>9</v>
      </c>
      <c r="AO28" s="177">
        <f>'환기량 산정'!E1511</f>
        <v>10</v>
      </c>
      <c r="AP28" s="177">
        <f>'환기량 산정'!F1511</f>
        <v>14</v>
      </c>
      <c r="AQ28" s="177">
        <f>'환기량 산정'!G1511</f>
        <v>14</v>
      </c>
      <c r="AR28" s="177">
        <f>'환기량 산정'!H1511</f>
        <v>14</v>
      </c>
      <c r="AS28" s="178">
        <f>'환기량 산정'!I1511</f>
        <v>14</v>
      </c>
      <c r="AT28" s="36" t="s">
        <v>191</v>
      </c>
      <c r="AU28" s="336">
        <f t="shared" ref="AU28:BB28" si="85">B28</f>
        <v>0.95</v>
      </c>
      <c r="AV28" s="337">
        <f t="shared" si="85"/>
        <v>0.95</v>
      </c>
      <c r="AW28" s="337">
        <f t="shared" si="85"/>
        <v>0.95</v>
      </c>
      <c r="AX28" s="337">
        <f t="shared" si="85"/>
        <v>0.95</v>
      </c>
      <c r="AY28" s="337">
        <f t="shared" si="85"/>
        <v>0.95</v>
      </c>
      <c r="AZ28" s="337">
        <f t="shared" si="85"/>
        <v>0.95</v>
      </c>
      <c r="BA28" s="337">
        <f t="shared" si="85"/>
        <v>0.95</v>
      </c>
      <c r="BB28" s="345">
        <f t="shared" si="85"/>
        <v>0.95</v>
      </c>
      <c r="BC28" s="36" t="s">
        <v>191</v>
      </c>
      <c r="BD28" s="336">
        <f t="shared" ref="BD28:BK28" si="86">K28</f>
        <v>0.95</v>
      </c>
      <c r="BE28" s="337">
        <f t="shared" si="86"/>
        <v>0.95</v>
      </c>
      <c r="BF28" s="337">
        <f t="shared" si="86"/>
        <v>0.95</v>
      </c>
      <c r="BG28" s="337">
        <f t="shared" si="86"/>
        <v>0.95</v>
      </c>
      <c r="BH28" s="337">
        <f t="shared" si="86"/>
        <v>0.95</v>
      </c>
      <c r="BI28" s="337">
        <f t="shared" si="86"/>
        <v>0.95</v>
      </c>
      <c r="BJ28" s="337">
        <f t="shared" si="86"/>
        <v>0.95</v>
      </c>
      <c r="BK28" s="345">
        <f t="shared" si="86"/>
        <v>0.95</v>
      </c>
    </row>
    <row r="29" spans="1:63" ht="15.75">
      <c r="A29" s="36" t="s">
        <v>342</v>
      </c>
      <c r="B29" s="44">
        <f>ROUND(B22*B14*B20^2*B19/B12*(1-B9/B20)*B28,4)</f>
        <v>14.3201</v>
      </c>
      <c r="C29" s="38">
        <f t="shared" ref="C29:I29" si="87">ROUND(C22*C14*C20^2*C19/C12*(1-C9/C20)*C28,4)</f>
        <v>14.2956</v>
      </c>
      <c r="D29" s="38">
        <f t="shared" si="87"/>
        <v>14.2956</v>
      </c>
      <c r="E29" s="38">
        <f t="shared" si="87"/>
        <v>14.2875</v>
      </c>
      <c r="F29" s="38">
        <f t="shared" si="87"/>
        <v>14.254799999999999</v>
      </c>
      <c r="G29" s="38">
        <f t="shared" si="87"/>
        <v>14.254799999999999</v>
      </c>
      <c r="H29" s="38">
        <f t="shared" si="87"/>
        <v>14.254799999999999</v>
      </c>
      <c r="I29" s="39">
        <f t="shared" si="87"/>
        <v>14.254799999999999</v>
      </c>
      <c r="J29" s="36" t="s">
        <v>342</v>
      </c>
      <c r="K29" s="62">
        <f>ROUND(K22*K14*K20^2*K19/K12*(1-K9/K20)*K28,4)</f>
        <v>14.246600000000001</v>
      </c>
      <c r="L29" s="63">
        <f t="shared" ref="L29:R29" si="88">ROUND(L22*L14*L20^2*L19/L12*(1-L9/L20)*L28,4)</f>
        <v>14.2629</v>
      </c>
      <c r="M29" s="63">
        <f t="shared" si="88"/>
        <v>14.2956</v>
      </c>
      <c r="N29" s="63">
        <f t="shared" si="88"/>
        <v>14.303699999999999</v>
      </c>
      <c r="O29" s="63">
        <f t="shared" si="88"/>
        <v>14.3119</v>
      </c>
      <c r="P29" s="63">
        <f t="shared" si="88"/>
        <v>14.3201</v>
      </c>
      <c r="Q29" s="63">
        <f t="shared" si="88"/>
        <v>14.3119</v>
      </c>
      <c r="R29" s="64">
        <f t="shared" si="88"/>
        <v>14.3119</v>
      </c>
      <c r="S29" s="181" t="s">
        <v>342</v>
      </c>
      <c r="T29" s="44">
        <f>ROUND(T22*T14*T20^2*T19/T12*(1-T9/T20)*T28,4)</f>
        <v>14.3446</v>
      </c>
      <c r="U29" s="38">
        <f t="shared" ref="U29:AA29" si="89">ROUND(U22*U14*U20^2*U19/U12*(1-U9/U20)*U28,4)</f>
        <v>14.3527</v>
      </c>
      <c r="V29" s="38">
        <f t="shared" si="89"/>
        <v>14.3527</v>
      </c>
      <c r="W29" s="38">
        <f t="shared" si="89"/>
        <v>14.3527</v>
      </c>
      <c r="X29" s="38">
        <f t="shared" si="89"/>
        <v>14.360900000000001</v>
      </c>
      <c r="Y29" s="38">
        <f t="shared" si="89"/>
        <v>14.360900000000001</v>
      </c>
      <c r="Z29" s="38">
        <f t="shared" si="89"/>
        <v>14.360900000000001</v>
      </c>
      <c r="AA29" s="39">
        <f t="shared" si="89"/>
        <v>14.360900000000001</v>
      </c>
      <c r="AB29" s="7"/>
      <c r="AC29" s="150" t="s">
        <v>217</v>
      </c>
      <c r="AD29" s="151">
        <f>MAX(AC18:AJ18)</f>
        <v>7</v>
      </c>
      <c r="AE29" s="152" t="s">
        <v>408</v>
      </c>
      <c r="AF29" s="151">
        <f>IF($AH$29=AJ16,AJ6,IF($AH$29=AI16,AI6,IF($AH$29=AH16,AH6,IF($AH$29=AG16,AG6,IF($AH$29=AF16,AF6,IF($AH$29=AE16,AE6,IF($AH$29=AD16,AD6,IF($AH$29=AC16,AC6))))))))</f>
        <v>10</v>
      </c>
      <c r="AG29" s="153" t="s">
        <v>409</v>
      </c>
      <c r="AH29" s="7">
        <f>MAX(AC16:AJ16)</f>
        <v>4.1500000000000004</v>
      </c>
      <c r="AI29" s="7"/>
      <c r="AJ29" s="7"/>
      <c r="AK29" s="69" t="s">
        <v>255</v>
      </c>
      <c r="AL29" s="176">
        <f>'환기량 산정'!B1513</f>
        <v>15</v>
      </c>
      <c r="AM29" s="177">
        <f>'환기량 산정'!C1513</f>
        <v>13</v>
      </c>
      <c r="AN29" s="177">
        <f>'환기량 산정'!D1513</f>
        <v>9</v>
      </c>
      <c r="AO29" s="177">
        <f>'환기량 산정'!E1513</f>
        <v>8</v>
      </c>
      <c r="AP29" s="177">
        <f>'환기량 산정'!F1513</f>
        <v>7</v>
      </c>
      <c r="AQ29" s="177">
        <f>'환기량 산정'!G1513</f>
        <v>6</v>
      </c>
      <c r="AR29" s="177">
        <f>'환기량 산정'!H1513</f>
        <v>7</v>
      </c>
      <c r="AS29" s="178">
        <f>'환기량 산정'!I1513</f>
        <v>7</v>
      </c>
      <c r="AT29" s="36" t="s">
        <v>342</v>
      </c>
      <c r="AU29" s="327">
        <f t="shared" ref="AU29:BB29" si="90">ROUND(AU22*AU14*AU20^2*AU19/AU12*(1-AU9/AU20)*AU28,4)</f>
        <v>13.2507</v>
      </c>
      <c r="AV29" s="332">
        <f t="shared" si="90"/>
        <v>13.2507</v>
      </c>
      <c r="AW29" s="332">
        <f t="shared" si="90"/>
        <v>13.2507</v>
      </c>
      <c r="AX29" s="332">
        <f t="shared" si="90"/>
        <v>13.2507</v>
      </c>
      <c r="AY29" s="332">
        <f t="shared" si="90"/>
        <v>13.2507</v>
      </c>
      <c r="AZ29" s="332">
        <f t="shared" si="90"/>
        <v>13.2507</v>
      </c>
      <c r="BA29" s="332">
        <f t="shared" si="90"/>
        <v>13.2507</v>
      </c>
      <c r="BB29" s="338">
        <f t="shared" si="90"/>
        <v>13.2507</v>
      </c>
      <c r="BC29" s="36" t="s">
        <v>342</v>
      </c>
      <c r="BD29" s="327">
        <f t="shared" ref="BD29:BK29" si="91">ROUND(BD22*BD14*BD20^2*BD19/BD12*(1-BD9/BD20)*BD28,4)</f>
        <v>13.6425</v>
      </c>
      <c r="BE29" s="332">
        <f t="shared" si="91"/>
        <v>13.6425</v>
      </c>
      <c r="BF29" s="332">
        <f t="shared" si="91"/>
        <v>13.6425</v>
      </c>
      <c r="BG29" s="332">
        <f t="shared" si="91"/>
        <v>13.6425</v>
      </c>
      <c r="BH29" s="332">
        <f t="shared" si="91"/>
        <v>13.6425</v>
      </c>
      <c r="BI29" s="332">
        <f t="shared" si="91"/>
        <v>13.6425</v>
      </c>
      <c r="BJ29" s="332">
        <f t="shared" si="91"/>
        <v>13.6425</v>
      </c>
      <c r="BK29" s="338">
        <f t="shared" si="91"/>
        <v>13.6425</v>
      </c>
    </row>
    <row r="30" spans="1:63" ht="14.25" thickBot="1">
      <c r="A30" s="36" t="s">
        <v>172</v>
      </c>
      <c r="B30" s="44">
        <f t="shared" ref="B30:I30" si="92">ROUND(B27/B29,2)</f>
        <v>0.67</v>
      </c>
      <c r="C30" s="38">
        <f t="shared" si="92"/>
        <v>-0.48</v>
      </c>
      <c r="D30" s="38">
        <f t="shared" si="92"/>
        <v>-1.83</v>
      </c>
      <c r="E30" s="38">
        <f t="shared" si="92"/>
        <v>-3.07</v>
      </c>
      <c r="F30" s="38">
        <f t="shared" si="92"/>
        <v>-4.34</v>
      </c>
      <c r="G30" s="38">
        <f t="shared" si="92"/>
        <v>-5.4</v>
      </c>
      <c r="H30" s="63">
        <f t="shared" si="92"/>
        <v>-6.7</v>
      </c>
      <c r="I30" s="39">
        <f t="shared" si="92"/>
        <v>-8.0500000000000007</v>
      </c>
      <c r="J30" s="36" t="s">
        <v>172</v>
      </c>
      <c r="K30" s="364">
        <f t="shared" ref="K30:R30" si="93">ROUND(K27/K29,2)</f>
        <v>0.75</v>
      </c>
      <c r="L30" s="38">
        <f t="shared" si="93"/>
        <v>-0.43</v>
      </c>
      <c r="M30" s="38">
        <f t="shared" si="93"/>
        <v>-1.83</v>
      </c>
      <c r="N30" s="38">
        <f t="shared" si="93"/>
        <v>-3.1</v>
      </c>
      <c r="O30" s="38">
        <f t="shared" si="93"/>
        <v>-4.43</v>
      </c>
      <c r="P30" s="38">
        <f t="shared" si="93"/>
        <v>-5.49</v>
      </c>
      <c r="Q30" s="38">
        <f t="shared" si="93"/>
        <v>-6.78</v>
      </c>
      <c r="R30" s="39">
        <f t="shared" si="93"/>
        <v>-8.1300000000000008</v>
      </c>
      <c r="S30" s="181" t="s">
        <v>172</v>
      </c>
      <c r="T30" s="44">
        <f t="shared" ref="T30:AA30" si="94">ROUND(T27/T29,2)</f>
        <v>0.64</v>
      </c>
      <c r="U30" s="38">
        <f t="shared" si="94"/>
        <v>-0.56000000000000005</v>
      </c>
      <c r="V30" s="38">
        <f t="shared" si="94"/>
        <v>-1.92</v>
      </c>
      <c r="W30" s="38">
        <f t="shared" si="94"/>
        <v>-3.17</v>
      </c>
      <c r="X30" s="38">
        <f t="shared" si="94"/>
        <v>-4.5</v>
      </c>
      <c r="Y30" s="38">
        <f t="shared" si="94"/>
        <v>-5.55</v>
      </c>
      <c r="Z30" s="38">
        <f t="shared" si="94"/>
        <v>-6.84</v>
      </c>
      <c r="AA30" s="39">
        <f t="shared" si="94"/>
        <v>-8.19</v>
      </c>
      <c r="AB30" s="7"/>
      <c r="AC30" s="154" t="s">
        <v>410</v>
      </c>
      <c r="AD30" s="155">
        <f>MAX(AD25:AD29)</f>
        <v>7</v>
      </c>
      <c r="AE30" s="156" t="s">
        <v>411</v>
      </c>
      <c r="AF30" s="157" t="str">
        <f>IF(AD30=AD29,IF(AD30=MAX(AD25:AD28),"환기 방재","방재"),"환기")</f>
        <v>방재</v>
      </c>
      <c r="AG30" s="158"/>
      <c r="AH30" s="7"/>
      <c r="AI30" s="7"/>
      <c r="AJ30" s="7"/>
      <c r="AK30" s="69" t="s">
        <v>256</v>
      </c>
      <c r="AL30" s="62">
        <f>'환기량 산정'!B1515</f>
        <v>3</v>
      </c>
      <c r="AM30" s="63">
        <f>'환기량 산정'!C1515</f>
        <v>2</v>
      </c>
      <c r="AN30" s="63">
        <f>'환기량 산정'!D1515</f>
        <v>2</v>
      </c>
      <c r="AO30" s="63">
        <f>'환기량 산정'!E1515</f>
        <v>2</v>
      </c>
      <c r="AP30" s="63">
        <f>'환기량 산정'!F1515</f>
        <v>1</v>
      </c>
      <c r="AQ30" s="63">
        <f>'환기량 산정'!G1515</f>
        <v>1</v>
      </c>
      <c r="AR30" s="63">
        <f>'환기량 산정'!H1515</f>
        <v>1</v>
      </c>
      <c r="AS30" s="64">
        <f>'환기량 산정'!I1515</f>
        <v>1</v>
      </c>
      <c r="AT30" s="36" t="s">
        <v>172</v>
      </c>
      <c r="AU30" s="327">
        <f t="shared" ref="AU30:BB30" si="95">ROUND(AU27/AU29,2)</f>
        <v>2.5099999999999998</v>
      </c>
      <c r="AV30" s="328">
        <f t="shared" si="95"/>
        <v>1.86</v>
      </c>
      <c r="AW30" s="328">
        <f t="shared" si="95"/>
        <v>0.74</v>
      </c>
      <c r="AX30" s="328">
        <f t="shared" si="95"/>
        <v>-0.48</v>
      </c>
      <c r="AY30" s="328">
        <f t="shared" si="95"/>
        <v>-1.79</v>
      </c>
      <c r="AZ30" s="328">
        <f t="shared" si="95"/>
        <v>-2.93</v>
      </c>
      <c r="BA30" s="328">
        <f t="shared" si="95"/>
        <v>-4.2699999999999996</v>
      </c>
      <c r="BB30" s="329">
        <f t="shared" si="95"/>
        <v>-5.68</v>
      </c>
      <c r="BC30" s="36" t="s">
        <v>172</v>
      </c>
      <c r="BD30" s="327">
        <f t="shared" ref="BD30:BK30" si="96">ROUND(BD27/BD29,2)</f>
        <v>1.66</v>
      </c>
      <c r="BE30" s="328">
        <f t="shared" si="96"/>
        <v>0.78</v>
      </c>
      <c r="BF30" s="328">
        <f t="shared" si="96"/>
        <v>-0.45</v>
      </c>
      <c r="BG30" s="328">
        <f t="shared" si="96"/>
        <v>-1.69</v>
      </c>
      <c r="BH30" s="328">
        <f t="shared" si="96"/>
        <v>-3.02</v>
      </c>
      <c r="BI30" s="328">
        <f t="shared" si="96"/>
        <v>-4.13</v>
      </c>
      <c r="BJ30" s="328">
        <f t="shared" si="96"/>
        <v>-5.46</v>
      </c>
      <c r="BK30" s="329">
        <f t="shared" si="96"/>
        <v>-6.84</v>
      </c>
    </row>
    <row r="31" spans="1:63" ht="14.25" thickBot="1">
      <c r="A31" s="49" t="s">
        <v>173</v>
      </c>
      <c r="B31" s="185">
        <f t="shared" ref="B31:I31" si="97">IF(B30&lt;0,0,IF(B30&gt;0,ROUNDUP(B30,0)))</f>
        <v>1</v>
      </c>
      <c r="C31" s="51">
        <f t="shared" si="97"/>
        <v>0</v>
      </c>
      <c r="D31" s="51">
        <f t="shared" si="97"/>
        <v>0</v>
      </c>
      <c r="E31" s="51">
        <f t="shared" si="97"/>
        <v>0</v>
      </c>
      <c r="F31" s="51">
        <f t="shared" si="97"/>
        <v>0</v>
      </c>
      <c r="G31" s="51">
        <f t="shared" si="97"/>
        <v>0</v>
      </c>
      <c r="H31" s="51">
        <f t="shared" si="97"/>
        <v>0</v>
      </c>
      <c r="I31" s="52">
        <f t="shared" si="97"/>
        <v>0</v>
      </c>
      <c r="J31" s="49" t="s">
        <v>173</v>
      </c>
      <c r="K31" s="185">
        <f t="shared" ref="K31:R31" si="98">IF(K30&lt;0,0,IF(K30&gt;0,ROUNDUP(K30,0)))</f>
        <v>1</v>
      </c>
      <c r="L31" s="51">
        <f t="shared" si="98"/>
        <v>0</v>
      </c>
      <c r="M31" s="51">
        <f t="shared" si="98"/>
        <v>0</v>
      </c>
      <c r="N31" s="51">
        <f t="shared" si="98"/>
        <v>0</v>
      </c>
      <c r="O31" s="51">
        <f t="shared" si="98"/>
        <v>0</v>
      </c>
      <c r="P31" s="51">
        <f t="shared" si="98"/>
        <v>0</v>
      </c>
      <c r="Q31" s="51">
        <f t="shared" si="98"/>
        <v>0</v>
      </c>
      <c r="R31" s="52">
        <f t="shared" si="98"/>
        <v>0</v>
      </c>
      <c r="S31" s="194" t="s">
        <v>173</v>
      </c>
      <c r="T31" s="185">
        <f t="shared" ref="T31:AA31" si="99">IF(T30&lt;0,0,IF(T30&gt;0,ROUNDUP(T30,0)))</f>
        <v>1</v>
      </c>
      <c r="U31" s="51">
        <f t="shared" si="99"/>
        <v>0</v>
      </c>
      <c r="V31" s="51">
        <f t="shared" si="99"/>
        <v>0</v>
      </c>
      <c r="W31" s="51">
        <f t="shared" si="99"/>
        <v>0</v>
      </c>
      <c r="X31" s="51">
        <f t="shared" si="99"/>
        <v>0</v>
      </c>
      <c r="Y31" s="51">
        <f t="shared" si="99"/>
        <v>0</v>
      </c>
      <c r="Z31" s="51">
        <f t="shared" si="99"/>
        <v>0</v>
      </c>
      <c r="AA31" s="52">
        <f t="shared" si="99"/>
        <v>0</v>
      </c>
      <c r="AB31" s="7"/>
      <c r="AC31" s="136"/>
      <c r="AD31" s="7"/>
      <c r="AE31" s="7"/>
      <c r="AF31" s="7"/>
      <c r="AG31" s="7"/>
      <c r="AH31" s="7"/>
      <c r="AI31" s="7"/>
      <c r="AJ31" s="7"/>
      <c r="AK31" s="169" t="s">
        <v>257</v>
      </c>
      <c r="AL31" s="175">
        <f>MAX(AL28:AL30)</f>
        <v>15</v>
      </c>
      <c r="AM31" s="162">
        <f t="shared" ref="AM31:AS31" si="100">MAX(AM28:AM30)</f>
        <v>13</v>
      </c>
      <c r="AN31" s="162">
        <f t="shared" si="100"/>
        <v>9</v>
      </c>
      <c r="AO31" s="162">
        <f t="shared" si="100"/>
        <v>10</v>
      </c>
      <c r="AP31" s="162">
        <f t="shared" si="100"/>
        <v>14</v>
      </c>
      <c r="AQ31" s="162">
        <f t="shared" si="100"/>
        <v>14</v>
      </c>
      <c r="AR31" s="162">
        <f t="shared" si="100"/>
        <v>14</v>
      </c>
      <c r="AS31" s="163">
        <f t="shared" si="100"/>
        <v>14</v>
      </c>
      <c r="AT31" s="49" t="s">
        <v>173</v>
      </c>
      <c r="AU31" s="339">
        <f t="shared" ref="AU31:BB31" si="101">IF(AU30&lt;0,0,IF(AU30&gt;0,ROUNDUP(AU30,0)))</f>
        <v>3</v>
      </c>
      <c r="AV31" s="340">
        <f t="shared" si="101"/>
        <v>2</v>
      </c>
      <c r="AW31" s="340">
        <f t="shared" si="101"/>
        <v>1</v>
      </c>
      <c r="AX31" s="340">
        <f t="shared" si="101"/>
        <v>0</v>
      </c>
      <c r="AY31" s="340">
        <f t="shared" si="101"/>
        <v>0</v>
      </c>
      <c r="AZ31" s="340">
        <f t="shared" si="101"/>
        <v>0</v>
      </c>
      <c r="BA31" s="340">
        <f t="shared" si="101"/>
        <v>0</v>
      </c>
      <c r="BB31" s="341">
        <f t="shared" si="101"/>
        <v>0</v>
      </c>
      <c r="BC31" s="49" t="s">
        <v>173</v>
      </c>
      <c r="BD31" s="339">
        <f t="shared" ref="BD31:BK31" si="102">IF(BD30&lt;0,0,IF(BD30&gt;0,ROUNDUP(BD30,0)))</f>
        <v>2</v>
      </c>
      <c r="BE31" s="340">
        <f t="shared" si="102"/>
        <v>1</v>
      </c>
      <c r="BF31" s="340">
        <f t="shared" si="102"/>
        <v>0</v>
      </c>
      <c r="BG31" s="340">
        <f t="shared" si="102"/>
        <v>0</v>
      </c>
      <c r="BH31" s="340">
        <f t="shared" si="102"/>
        <v>0</v>
      </c>
      <c r="BI31" s="340">
        <f t="shared" si="102"/>
        <v>0</v>
      </c>
      <c r="BJ31" s="340">
        <f t="shared" si="102"/>
        <v>0</v>
      </c>
      <c r="BK31" s="341">
        <f t="shared" si="102"/>
        <v>0</v>
      </c>
    </row>
    <row r="32" spans="1:63" ht="14.2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255"/>
      <c r="S32" s="7"/>
      <c r="T32" s="7"/>
      <c r="U32" s="7"/>
      <c r="V32" s="7"/>
      <c r="W32" s="7"/>
      <c r="X32" s="7"/>
      <c r="Y32" s="7"/>
      <c r="Z32" s="7"/>
      <c r="AA32" s="7"/>
      <c r="AB32" s="7"/>
      <c r="AC32" s="144" t="s">
        <v>218</v>
      </c>
      <c r="AD32" s="145" t="str">
        <f>IF(AF32&gt;10,"불가",IF(ROUNDDOWN(('환기량 산정'!C17/F3-1),0)*AC20&gt;=AD30,"가능","불가"))</f>
        <v>가능</v>
      </c>
      <c r="AE32" s="131" t="s">
        <v>222</v>
      </c>
      <c r="AF32" s="354">
        <f>ROUND(MAX(AI25:AI28),2)</f>
        <v>2.34</v>
      </c>
      <c r="AG32" s="160" t="str">
        <f>CONCATENATE(," m/s")</f>
        <v xml:space="preserve"> m/s</v>
      </c>
      <c r="AH32" s="7"/>
      <c r="AI32" s="7"/>
      <c r="AJ32" s="7"/>
      <c r="AL32" s="197" t="str">
        <f>IF(AL14&lt;0,IF(AL16&gt;2.78,"OK","AL13 수식 양수로 변경하세요"),IF(AL16&lt;=2.78,"OK","AL13 수식을 음수로 변경하세요"))</f>
        <v>AL13 수식 양수로 변경하세요</v>
      </c>
      <c r="AM32" s="197"/>
      <c r="AT32" s="7"/>
      <c r="AU32" s="7"/>
      <c r="AV32" s="7"/>
      <c r="AW32" s="7"/>
      <c r="AX32" s="7"/>
      <c r="AY32" s="7"/>
      <c r="AZ32" s="7"/>
      <c r="BA32" s="7"/>
      <c r="BB32" s="255"/>
      <c r="BC32" s="7"/>
      <c r="BD32" s="7"/>
      <c r="BE32" s="7"/>
      <c r="BF32" s="7"/>
      <c r="BG32" s="7"/>
      <c r="BH32" s="7"/>
      <c r="BI32" s="7"/>
      <c r="BJ32" s="7"/>
      <c r="BK32" s="255"/>
    </row>
    <row r="33" spans="1:6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255"/>
      <c r="S33" s="7"/>
      <c r="T33" s="7"/>
      <c r="U33" s="7"/>
      <c r="V33" s="7"/>
      <c r="W33" s="7"/>
      <c r="X33" s="7"/>
      <c r="Y33" s="7"/>
      <c r="Z33" s="7"/>
      <c r="AA33" s="7"/>
      <c r="AB33" s="7"/>
      <c r="AH33" s="7"/>
      <c r="AI33" s="7"/>
      <c r="AJ33" s="7"/>
      <c r="AK33" s="3">
        <v>20</v>
      </c>
      <c r="AL33" s="3">
        <f>$AK$33*AL24</f>
        <v>0.372</v>
      </c>
      <c r="AM33" s="3">
        <f t="shared" ref="AM33:AS33" si="103">$AK$33*AM24</f>
        <v>0.28000000000000003</v>
      </c>
      <c r="AN33" s="3">
        <f t="shared" si="103"/>
        <v>0.27199999999999996</v>
      </c>
      <c r="AO33" s="3">
        <f t="shared" si="103"/>
        <v>0.26200000000000001</v>
      </c>
      <c r="AP33" s="3">
        <f t="shared" si="103"/>
        <v>0.104</v>
      </c>
      <c r="AQ33" s="3">
        <f t="shared" si="103"/>
        <v>0.09</v>
      </c>
      <c r="AR33" s="3">
        <f t="shared" si="103"/>
        <v>0.08</v>
      </c>
      <c r="AS33" s="3">
        <f t="shared" si="103"/>
        <v>7.1999999999999995E-2</v>
      </c>
      <c r="AT33" s="7"/>
      <c r="AU33" s="7"/>
      <c r="AV33" s="7"/>
      <c r="AW33" s="7"/>
      <c r="AX33" s="7"/>
      <c r="AY33" s="7"/>
      <c r="AZ33" s="7"/>
      <c r="BA33" s="7"/>
      <c r="BB33" s="255"/>
      <c r="BC33" s="7"/>
      <c r="BD33" s="7"/>
      <c r="BE33" s="7"/>
      <c r="BF33" s="7"/>
      <c r="BG33" s="7"/>
      <c r="BH33" s="7"/>
      <c r="BI33" s="7"/>
      <c r="BJ33" s="7"/>
      <c r="BK33" s="255"/>
    </row>
    <row r="34" spans="1:63">
      <c r="R34" s="72"/>
      <c r="AK34" s="3">
        <v>8.9999999999999993E-3</v>
      </c>
      <c r="AL34" s="1228">
        <f>$AK$34*AL22</f>
        <v>3.3479999999999995E-4</v>
      </c>
      <c r="AM34" s="1228">
        <f>$AK$35*AM22</f>
        <v>4.4029999999999997E-4</v>
      </c>
      <c r="AN34" s="1228">
        <f t="shared" ref="AN34:AO34" si="104">$AK$35*AN22</f>
        <v>4.2980000000000004E-4</v>
      </c>
      <c r="AO34" s="1228">
        <f t="shared" si="104"/>
        <v>4.571E-4</v>
      </c>
      <c r="AP34" s="1228">
        <f>$AK$36*AP22</f>
        <v>3.6499999999999998E-4</v>
      </c>
      <c r="AQ34" s="1228">
        <f t="shared" ref="AQ34:AS34" si="105">$AK$36*AQ22</f>
        <v>3.165E-4</v>
      </c>
      <c r="AR34" s="1228">
        <f t="shared" si="105"/>
        <v>2.7799999999999998E-4</v>
      </c>
      <c r="AS34" s="1228">
        <f t="shared" si="105"/>
        <v>2.4899999999999998E-4</v>
      </c>
      <c r="BB34" s="72"/>
      <c r="BK34" s="72"/>
    </row>
    <row r="35" spans="1:63">
      <c r="R35" s="72"/>
      <c r="AK35" s="3">
        <v>7.0000000000000001E-3</v>
      </c>
      <c r="BB35" s="72"/>
      <c r="BK35" s="72"/>
    </row>
    <row r="36" spans="1:63">
      <c r="R36" s="72"/>
      <c r="AK36" s="3">
        <v>5.0000000000000001E-3</v>
      </c>
      <c r="BB36" s="72"/>
      <c r="BK36" s="72"/>
    </row>
    <row r="37" spans="1:63" ht="14.25" thickBot="1">
      <c r="A37" s="4" t="s">
        <v>223</v>
      </c>
      <c r="B37" s="10" t="s">
        <v>160</v>
      </c>
      <c r="C37" s="14">
        <f>C3</f>
        <v>1030</v>
      </c>
      <c r="E37" s="12" t="s">
        <v>177</v>
      </c>
      <c r="F37" s="13">
        <f>F3</f>
        <v>140</v>
      </c>
      <c r="G37" s="3" t="s">
        <v>178</v>
      </c>
      <c r="H37" s="7"/>
      <c r="I37" s="7"/>
      <c r="J37" s="4" t="s">
        <v>174</v>
      </c>
      <c r="K37" s="10" t="s">
        <v>175</v>
      </c>
      <c r="L37" s="14">
        <f>L3</f>
        <v>1030</v>
      </c>
      <c r="M37" s="9"/>
      <c r="N37" s="9"/>
      <c r="O37" s="9"/>
      <c r="P37" s="9"/>
      <c r="Q37" s="7"/>
      <c r="R37" s="255"/>
      <c r="S37" s="4" t="s">
        <v>166</v>
      </c>
      <c r="T37" s="10" t="s">
        <v>175</v>
      </c>
      <c r="U37" s="14">
        <f>C3</f>
        <v>1030</v>
      </c>
      <c r="V37" s="9"/>
      <c r="W37" s="9"/>
      <c r="X37" s="9"/>
      <c r="Y37" s="9"/>
      <c r="Z37" s="7"/>
      <c r="AA37" s="7"/>
      <c r="AB37" s="4" t="s">
        <v>120</v>
      </c>
      <c r="AC37" s="54" t="s">
        <v>10</v>
      </c>
      <c r="AD37" s="5">
        <f>$B$1</f>
        <v>2222</v>
      </c>
      <c r="AE37" s="6" t="s">
        <v>148</v>
      </c>
      <c r="AF37" s="8" t="s">
        <v>211</v>
      </c>
      <c r="AG37" s="7"/>
      <c r="AH37" s="7"/>
      <c r="AI37" s="7"/>
      <c r="AJ37" s="7"/>
      <c r="AK37" s="4" t="s">
        <v>227</v>
      </c>
      <c r="AL37" s="10"/>
      <c r="AM37" s="174"/>
      <c r="AO37" s="12"/>
      <c r="AP37" s="13"/>
      <c r="AS37" s="9"/>
      <c r="AT37" s="4" t="s">
        <v>424</v>
      </c>
      <c r="AU37" s="10" t="s">
        <v>175</v>
      </c>
      <c r="AV37" s="14">
        <f>AV3</f>
        <v>1030</v>
      </c>
      <c r="AW37" s="9"/>
      <c r="AX37" s="9"/>
      <c r="AY37" s="9"/>
      <c r="AZ37" s="9"/>
      <c r="BA37" s="7"/>
      <c r="BB37" s="255"/>
      <c r="BC37" s="4" t="s">
        <v>424</v>
      </c>
      <c r="BD37" s="10" t="s">
        <v>175</v>
      </c>
      <c r="BE37" s="14">
        <f>BE3</f>
        <v>1030</v>
      </c>
      <c r="BF37" s="9"/>
      <c r="BG37" s="9"/>
      <c r="BH37" s="9"/>
      <c r="BI37" s="9"/>
      <c r="BJ37" s="7"/>
      <c r="BK37" s="255"/>
    </row>
    <row r="38" spans="1:63">
      <c r="A38" s="1523" t="s">
        <v>167</v>
      </c>
      <c r="B38" s="16"/>
      <c r="C38" s="17"/>
      <c r="D38" s="18" t="str">
        <f>'환기량 산정'!G6</f>
        <v>진주</v>
      </c>
      <c r="E38" s="19" t="str">
        <f>'환기량 산정'!I6</f>
        <v>⇒</v>
      </c>
      <c r="F38" s="18" t="str">
        <f>'환기량 산정'!J6</f>
        <v>마산</v>
      </c>
      <c r="G38" s="19" t="s">
        <v>9</v>
      </c>
      <c r="H38" s="17"/>
      <c r="I38" s="20"/>
      <c r="J38" s="128" t="s">
        <v>167</v>
      </c>
      <c r="K38" s="16"/>
      <c r="L38" s="17"/>
      <c r="M38" s="18" t="str">
        <f>D38</f>
        <v>진주</v>
      </c>
      <c r="N38" s="19" t="str">
        <f>E38</f>
        <v>⇒</v>
      </c>
      <c r="O38" s="18" t="str">
        <f>F38</f>
        <v>마산</v>
      </c>
      <c r="P38" s="19" t="s">
        <v>9</v>
      </c>
      <c r="Q38" s="17"/>
      <c r="R38" s="20"/>
      <c r="S38" s="191" t="s">
        <v>167</v>
      </c>
      <c r="T38" s="16"/>
      <c r="U38" s="17"/>
      <c r="V38" s="18" t="str">
        <f>M38</f>
        <v>진주</v>
      </c>
      <c r="W38" s="19" t="str">
        <f>N38</f>
        <v>⇒</v>
      </c>
      <c r="X38" s="18" t="str">
        <f>O38</f>
        <v>마산</v>
      </c>
      <c r="Y38" s="19" t="s">
        <v>9</v>
      </c>
      <c r="Z38" s="17"/>
      <c r="AA38" s="20"/>
      <c r="AB38" s="191" t="s">
        <v>167</v>
      </c>
      <c r="AC38" s="55"/>
      <c r="AD38" s="19"/>
      <c r="AE38" s="18" t="str">
        <f>D38</f>
        <v>진주</v>
      </c>
      <c r="AF38" s="19" t="str">
        <f>E38</f>
        <v>⇒</v>
      </c>
      <c r="AG38" s="18" t="str">
        <f>F38</f>
        <v>마산</v>
      </c>
      <c r="AH38" s="19" t="str">
        <f>G38</f>
        <v>구 간</v>
      </c>
      <c r="AI38" s="19"/>
      <c r="AJ38" s="56"/>
      <c r="AK38" s="1523" t="s">
        <v>167</v>
      </c>
      <c r="AL38" s="16"/>
      <c r="AM38" s="17"/>
      <c r="AN38" s="18" t="str">
        <f>D38</f>
        <v>진주</v>
      </c>
      <c r="AO38" s="173" t="str">
        <f>E38</f>
        <v>⇒</v>
      </c>
      <c r="AP38" s="18" t="str">
        <f>F38</f>
        <v>마산</v>
      </c>
      <c r="AQ38" s="19" t="s">
        <v>9</v>
      </c>
      <c r="AR38" s="17"/>
      <c r="AS38" s="20"/>
      <c r="AT38" s="128" t="s">
        <v>167</v>
      </c>
      <c r="AU38" s="16"/>
      <c r="AV38" s="17"/>
      <c r="AW38" s="18" t="str">
        <f>AN38</f>
        <v>진주</v>
      </c>
      <c r="AX38" s="19" t="str">
        <f>AO38</f>
        <v>⇒</v>
      </c>
      <c r="AY38" s="18" t="str">
        <f>AP38</f>
        <v>마산</v>
      </c>
      <c r="AZ38" s="19" t="s">
        <v>9</v>
      </c>
      <c r="BA38" s="17"/>
      <c r="BB38" s="20"/>
      <c r="BC38" s="128" t="s">
        <v>167</v>
      </c>
      <c r="BD38" s="16"/>
      <c r="BE38" s="17"/>
      <c r="BF38" s="18" t="str">
        <f>AW38</f>
        <v>진주</v>
      </c>
      <c r="BG38" s="19" t="str">
        <f>AX38</f>
        <v>⇒</v>
      </c>
      <c r="BH38" s="18" t="str">
        <f>AY38</f>
        <v>마산</v>
      </c>
      <c r="BI38" s="19" t="s">
        <v>9</v>
      </c>
      <c r="BJ38" s="17"/>
      <c r="BK38" s="20"/>
    </row>
    <row r="39" spans="1:63">
      <c r="A39" s="1524"/>
      <c r="B39" s="21" t="s">
        <v>168</v>
      </c>
      <c r="C39" s="22"/>
      <c r="D39" s="22"/>
      <c r="E39" s="27" t="s">
        <v>169</v>
      </c>
      <c r="F39" s="25"/>
      <c r="G39" s="22"/>
      <c r="H39" s="28"/>
      <c r="I39" s="29"/>
      <c r="J39" s="129"/>
      <c r="K39" s="21" t="s">
        <v>168</v>
      </c>
      <c r="L39" s="22"/>
      <c r="M39" s="23"/>
      <c r="N39" s="24" t="str">
        <f>N5</f>
        <v>일산화탄소 (CO)</v>
      </c>
      <c r="O39" s="25"/>
      <c r="P39" s="23"/>
      <c r="Q39" s="25"/>
      <c r="R39" s="26"/>
      <c r="S39" s="192"/>
      <c r="T39" s="21" t="s">
        <v>168</v>
      </c>
      <c r="U39" s="22"/>
      <c r="V39" s="23"/>
      <c r="W39" s="24" t="str">
        <f>W5</f>
        <v>질소산화물 (NOx)</v>
      </c>
      <c r="Y39" s="23"/>
      <c r="Z39" s="25"/>
      <c r="AA39" s="26"/>
      <c r="AB39" s="192"/>
      <c r="AC39" s="1529" t="str">
        <f>AC5</f>
        <v>방재</v>
      </c>
      <c r="AD39" s="1530"/>
      <c r="AE39" s="1530"/>
      <c r="AF39" s="1530"/>
      <c r="AG39" s="1530"/>
      <c r="AH39" s="1530"/>
      <c r="AI39" s="1530"/>
      <c r="AJ39" s="1531"/>
      <c r="AK39" s="1524"/>
      <c r="AL39" s="21" t="s">
        <v>168</v>
      </c>
      <c r="AM39" s="22"/>
      <c r="AN39" s="23"/>
      <c r="AO39" s="23"/>
      <c r="AP39" s="24"/>
      <c r="AQ39" s="23"/>
      <c r="AR39" s="25"/>
      <c r="AS39" s="26"/>
      <c r="AT39" s="129"/>
      <c r="AU39" s="1526" t="s">
        <v>518</v>
      </c>
      <c r="AV39" s="1527"/>
      <c r="AW39" s="1527"/>
      <c r="AX39" s="1527"/>
      <c r="AY39" s="1527"/>
      <c r="AZ39" s="1527"/>
      <c r="BA39" s="1527"/>
      <c r="BB39" s="1528"/>
      <c r="BC39" s="129"/>
      <c r="BD39" s="1526" t="str">
        <f>BD5</f>
        <v>최소풍속</v>
      </c>
      <c r="BE39" s="1527"/>
      <c r="BF39" s="1527"/>
      <c r="BG39" s="1527"/>
      <c r="BH39" s="1527"/>
      <c r="BI39" s="1527"/>
      <c r="BJ39" s="1527"/>
      <c r="BK39" s="1528"/>
    </row>
    <row r="40" spans="1:63">
      <c r="A40" s="30" t="s">
        <v>106</v>
      </c>
      <c r="B40" s="184">
        <v>10</v>
      </c>
      <c r="C40" s="34">
        <v>20</v>
      </c>
      <c r="D40" s="34">
        <v>30</v>
      </c>
      <c r="E40" s="34">
        <v>40</v>
      </c>
      <c r="F40" s="34">
        <v>50</v>
      </c>
      <c r="G40" s="34">
        <v>60</v>
      </c>
      <c r="H40" s="34">
        <v>70</v>
      </c>
      <c r="I40" s="35">
        <v>80</v>
      </c>
      <c r="J40" s="30" t="s">
        <v>106</v>
      </c>
      <c r="K40" s="186">
        <v>10</v>
      </c>
      <c r="L40" s="32">
        <v>20</v>
      </c>
      <c r="M40" s="32">
        <v>30</v>
      </c>
      <c r="N40" s="32">
        <v>40</v>
      </c>
      <c r="O40" s="32">
        <v>50</v>
      </c>
      <c r="P40" s="32">
        <v>60</v>
      </c>
      <c r="Q40" s="32">
        <v>70</v>
      </c>
      <c r="R40" s="33">
        <v>80</v>
      </c>
      <c r="S40" s="254" t="s">
        <v>106</v>
      </c>
      <c r="T40" s="184">
        <v>10</v>
      </c>
      <c r="U40" s="32">
        <v>20</v>
      </c>
      <c r="V40" s="32">
        <v>30</v>
      </c>
      <c r="W40" s="32">
        <v>40</v>
      </c>
      <c r="X40" s="32">
        <v>50</v>
      </c>
      <c r="Y40" s="32">
        <v>60</v>
      </c>
      <c r="Z40" s="32">
        <v>70</v>
      </c>
      <c r="AA40" s="33">
        <v>80</v>
      </c>
      <c r="AB40" s="193" t="s">
        <v>106</v>
      </c>
      <c r="AC40" s="58">
        <f t="shared" ref="AC40:AJ40" si="106">B$40</f>
        <v>10</v>
      </c>
      <c r="AD40" s="59">
        <f t="shared" si="106"/>
        <v>20</v>
      </c>
      <c r="AE40" s="59">
        <f t="shared" si="106"/>
        <v>30</v>
      </c>
      <c r="AF40" s="59">
        <f t="shared" si="106"/>
        <v>40</v>
      </c>
      <c r="AG40" s="59">
        <f t="shared" si="106"/>
        <v>50</v>
      </c>
      <c r="AH40" s="137">
        <f t="shared" si="106"/>
        <v>60</v>
      </c>
      <c r="AI40" s="59">
        <f t="shared" si="106"/>
        <v>70</v>
      </c>
      <c r="AJ40" s="60">
        <f t="shared" si="106"/>
        <v>80</v>
      </c>
      <c r="AK40" s="30" t="s">
        <v>106</v>
      </c>
      <c r="AL40" s="184">
        <v>10</v>
      </c>
      <c r="AM40" s="32">
        <v>20</v>
      </c>
      <c r="AN40" s="32">
        <v>30</v>
      </c>
      <c r="AO40" s="32">
        <v>40</v>
      </c>
      <c r="AP40" s="32">
        <v>50</v>
      </c>
      <c r="AQ40" s="32">
        <v>60</v>
      </c>
      <c r="AR40" s="32">
        <v>70</v>
      </c>
      <c r="AS40" s="33">
        <v>80</v>
      </c>
      <c r="AT40" s="30" t="s">
        <v>106</v>
      </c>
      <c r="AU40" s="324">
        <v>10</v>
      </c>
      <c r="AV40" s="325">
        <v>20</v>
      </c>
      <c r="AW40" s="325">
        <v>30</v>
      </c>
      <c r="AX40" s="325">
        <v>40</v>
      </c>
      <c r="AY40" s="325">
        <v>50</v>
      </c>
      <c r="AZ40" s="325">
        <v>60</v>
      </c>
      <c r="BA40" s="325">
        <v>70</v>
      </c>
      <c r="BB40" s="326">
        <v>80</v>
      </c>
      <c r="BC40" s="30" t="s">
        <v>106</v>
      </c>
      <c r="BD40" s="324">
        <v>10</v>
      </c>
      <c r="BE40" s="325">
        <v>20</v>
      </c>
      <c r="BF40" s="325">
        <v>30</v>
      </c>
      <c r="BG40" s="325">
        <v>40</v>
      </c>
      <c r="BH40" s="325">
        <v>50</v>
      </c>
      <c r="BI40" s="325">
        <v>60</v>
      </c>
      <c r="BJ40" s="325">
        <v>70</v>
      </c>
      <c r="BK40" s="326">
        <v>80</v>
      </c>
    </row>
    <row r="41" spans="1:63">
      <c r="A41" s="36" t="s">
        <v>107</v>
      </c>
      <c r="B41" s="44">
        <f t="shared" ref="B41:I41" si="107">ROUND(B40/3.6,2)</f>
        <v>2.78</v>
      </c>
      <c r="C41" s="40">
        <f t="shared" si="107"/>
        <v>5.56</v>
      </c>
      <c r="D41" s="40">
        <f t="shared" si="107"/>
        <v>8.33</v>
      </c>
      <c r="E41" s="40">
        <f t="shared" si="107"/>
        <v>11.11</v>
      </c>
      <c r="F41" s="40">
        <f t="shared" si="107"/>
        <v>13.89</v>
      </c>
      <c r="G41" s="139">
        <f t="shared" si="107"/>
        <v>16.670000000000002</v>
      </c>
      <c r="H41" s="40">
        <f t="shared" si="107"/>
        <v>19.440000000000001</v>
      </c>
      <c r="I41" s="41">
        <f t="shared" si="107"/>
        <v>22.22</v>
      </c>
      <c r="J41" s="36" t="s">
        <v>107</v>
      </c>
      <c r="K41" s="62">
        <f t="shared" ref="K41:R41" si="108">ROUND(K40/3.6,2)</f>
        <v>2.78</v>
      </c>
      <c r="L41" s="38">
        <f t="shared" si="108"/>
        <v>5.56</v>
      </c>
      <c r="M41" s="38">
        <f t="shared" si="108"/>
        <v>8.33</v>
      </c>
      <c r="N41" s="38">
        <f t="shared" si="108"/>
        <v>11.11</v>
      </c>
      <c r="O41" s="38">
        <f t="shared" si="108"/>
        <v>13.89</v>
      </c>
      <c r="P41" s="38">
        <f t="shared" si="108"/>
        <v>16.670000000000002</v>
      </c>
      <c r="Q41" s="38">
        <f t="shared" si="108"/>
        <v>19.440000000000001</v>
      </c>
      <c r="R41" s="39">
        <f t="shared" si="108"/>
        <v>22.22</v>
      </c>
      <c r="S41" s="181" t="s">
        <v>107</v>
      </c>
      <c r="T41" s="44">
        <f t="shared" ref="T41:AA41" si="109">ROUND(T40/3.6,2)</f>
        <v>2.78</v>
      </c>
      <c r="U41" s="38">
        <f t="shared" si="109"/>
        <v>5.56</v>
      </c>
      <c r="V41" s="38">
        <f t="shared" si="109"/>
        <v>8.33</v>
      </c>
      <c r="W41" s="38">
        <f t="shared" si="109"/>
        <v>11.11</v>
      </c>
      <c r="X41" s="38">
        <f t="shared" si="109"/>
        <v>13.89</v>
      </c>
      <c r="Y41" s="38">
        <f t="shared" si="109"/>
        <v>16.670000000000002</v>
      </c>
      <c r="Z41" s="38">
        <f t="shared" si="109"/>
        <v>19.440000000000001</v>
      </c>
      <c r="AA41" s="39">
        <f t="shared" si="109"/>
        <v>22.22</v>
      </c>
      <c r="AB41" s="181" t="s">
        <v>121</v>
      </c>
      <c r="AC41" s="893">
        <f>AC7</f>
        <v>2.8</v>
      </c>
      <c r="AD41" s="38">
        <f t="shared" ref="AD41:AJ41" si="110">AC41</f>
        <v>2.8</v>
      </c>
      <c r="AE41" s="38">
        <f t="shared" si="110"/>
        <v>2.8</v>
      </c>
      <c r="AF41" s="38">
        <f t="shared" si="110"/>
        <v>2.8</v>
      </c>
      <c r="AG41" s="38">
        <f t="shared" si="110"/>
        <v>2.8</v>
      </c>
      <c r="AH41" s="63">
        <f t="shared" si="110"/>
        <v>2.8</v>
      </c>
      <c r="AI41" s="38">
        <f t="shared" si="110"/>
        <v>2.8</v>
      </c>
      <c r="AJ41" s="39">
        <f t="shared" si="110"/>
        <v>2.8</v>
      </c>
      <c r="AK41" s="164" t="s">
        <v>246</v>
      </c>
      <c r="AL41" s="40">
        <f t="shared" ref="AL41:AS41" si="111">B65</f>
        <v>1</v>
      </c>
      <c r="AM41" s="40">
        <f t="shared" si="111"/>
        <v>0</v>
      </c>
      <c r="AN41" s="40">
        <f t="shared" si="111"/>
        <v>0</v>
      </c>
      <c r="AO41" s="40">
        <f t="shared" si="111"/>
        <v>0</v>
      </c>
      <c r="AP41" s="40">
        <f t="shared" si="111"/>
        <v>0</v>
      </c>
      <c r="AQ41" s="40">
        <f t="shared" si="111"/>
        <v>0</v>
      </c>
      <c r="AR41" s="139">
        <f t="shared" si="111"/>
        <v>0</v>
      </c>
      <c r="AS41" s="41">
        <f t="shared" si="111"/>
        <v>0</v>
      </c>
      <c r="AT41" s="36" t="s">
        <v>107</v>
      </c>
      <c r="AU41" s="327">
        <f t="shared" ref="AU41:BB41" si="112">ROUND(AU40/3.6,2)</f>
        <v>2.78</v>
      </c>
      <c r="AV41" s="328">
        <f t="shared" si="112"/>
        <v>5.56</v>
      </c>
      <c r="AW41" s="328">
        <f t="shared" si="112"/>
        <v>8.33</v>
      </c>
      <c r="AX41" s="328">
        <f t="shared" si="112"/>
        <v>11.11</v>
      </c>
      <c r="AY41" s="328">
        <f t="shared" si="112"/>
        <v>13.89</v>
      </c>
      <c r="AZ41" s="328">
        <f t="shared" si="112"/>
        <v>16.670000000000002</v>
      </c>
      <c r="BA41" s="328">
        <f t="shared" si="112"/>
        <v>19.440000000000001</v>
      </c>
      <c r="BB41" s="329">
        <f t="shared" si="112"/>
        <v>22.22</v>
      </c>
      <c r="BC41" s="36" t="s">
        <v>107</v>
      </c>
      <c r="BD41" s="327">
        <f t="shared" ref="BD41:BK41" si="113">ROUND(BD40/3.6,2)</f>
        <v>2.78</v>
      </c>
      <c r="BE41" s="328">
        <f t="shared" si="113"/>
        <v>5.56</v>
      </c>
      <c r="BF41" s="328">
        <f t="shared" si="113"/>
        <v>8.33</v>
      </c>
      <c r="BG41" s="328">
        <f t="shared" si="113"/>
        <v>11.11</v>
      </c>
      <c r="BH41" s="328">
        <f t="shared" si="113"/>
        <v>13.89</v>
      </c>
      <c r="BI41" s="328">
        <f t="shared" si="113"/>
        <v>16.670000000000002</v>
      </c>
      <c r="BJ41" s="328">
        <f t="shared" si="113"/>
        <v>19.440000000000001</v>
      </c>
      <c r="BK41" s="329">
        <f t="shared" si="113"/>
        <v>22.22</v>
      </c>
    </row>
    <row r="42" spans="1:63">
      <c r="A42" s="36" t="s">
        <v>108</v>
      </c>
      <c r="B42" s="180">
        <f>'환기량 산정'!B1528</f>
        <v>10</v>
      </c>
      <c r="C42" s="42">
        <f>'환기량 산정'!C1528</f>
        <v>16</v>
      </c>
      <c r="D42" s="42">
        <f>'환기량 산정'!D1528</f>
        <v>17</v>
      </c>
      <c r="E42" s="42">
        <f>'환기량 산정'!E1528</f>
        <v>18</v>
      </c>
      <c r="F42" s="42">
        <f>'환기량 산정'!F1528</f>
        <v>25</v>
      </c>
      <c r="G42" s="61">
        <f>'환기량 산정'!G1528</f>
        <v>25</v>
      </c>
      <c r="H42" s="42">
        <f>'환기량 산정'!H1528</f>
        <v>25</v>
      </c>
      <c r="I42" s="43">
        <f>'환기량 산정'!I1528</f>
        <v>26</v>
      </c>
      <c r="J42" s="36" t="s">
        <v>108</v>
      </c>
      <c r="K42" s="187">
        <f>'환기량 산정'!B1530</f>
        <v>29</v>
      </c>
      <c r="L42" s="42">
        <f>'환기량 산정'!C1530</f>
        <v>28</v>
      </c>
      <c r="M42" s="42">
        <f>'환기량 산정'!D1530</f>
        <v>21</v>
      </c>
      <c r="N42" s="42">
        <f>'환기량 산정'!E1530</f>
        <v>19</v>
      </c>
      <c r="O42" s="42">
        <f>'환기량 산정'!F1530</f>
        <v>18</v>
      </c>
      <c r="P42" s="42">
        <f>'환기량 산정'!G1530</f>
        <v>17</v>
      </c>
      <c r="Q42" s="42">
        <f>'환기량 산정'!H1530</f>
        <v>17</v>
      </c>
      <c r="R42" s="43">
        <f>'환기량 산정'!I1530</f>
        <v>19</v>
      </c>
      <c r="S42" s="181" t="s">
        <v>108</v>
      </c>
      <c r="T42" s="180">
        <f>'환기량 산정'!B1532</f>
        <v>5</v>
      </c>
      <c r="U42" s="42">
        <f>'환기량 산정'!C1532</f>
        <v>4</v>
      </c>
      <c r="V42" s="42">
        <f>'환기량 산정'!D1532</f>
        <v>4</v>
      </c>
      <c r="W42" s="42">
        <f>'환기량 산정'!E1532</f>
        <v>3</v>
      </c>
      <c r="X42" s="42">
        <f>'환기량 산정'!F1532</f>
        <v>3</v>
      </c>
      <c r="Y42" s="42">
        <f>'환기량 산정'!G1532</f>
        <v>3</v>
      </c>
      <c r="Z42" s="42">
        <f>'환기량 산정'!H1532</f>
        <v>4</v>
      </c>
      <c r="AA42" s="43">
        <f>'환기량 산정'!I1532</f>
        <v>4</v>
      </c>
      <c r="AB42" s="181" t="s">
        <v>111</v>
      </c>
      <c r="AC42" s="44">
        <f>'환기량 산정'!B1521</f>
        <v>2119</v>
      </c>
      <c r="AD42" s="38">
        <f>'환기량 산정'!C1521</f>
        <v>3072</v>
      </c>
      <c r="AE42" s="38">
        <f>'환기량 산정'!D1521</f>
        <v>3558</v>
      </c>
      <c r="AF42" s="38">
        <f>'환기량 산정'!E1521</f>
        <v>3733</v>
      </c>
      <c r="AG42" s="38">
        <f>'환기량 산정'!F1521</f>
        <v>3888</v>
      </c>
      <c r="AH42" s="38">
        <f>'환기량 산정'!G1521</f>
        <v>3850</v>
      </c>
      <c r="AI42" s="38">
        <f>'환기량 산정'!H1521</f>
        <v>3811</v>
      </c>
      <c r="AJ42" s="39">
        <f>'환기량 산정'!I1521</f>
        <v>3888</v>
      </c>
      <c r="AK42" s="69" t="s">
        <v>247</v>
      </c>
      <c r="AL42" s="44">
        <f t="shared" ref="AL42:AS42" si="114">K65</f>
        <v>1</v>
      </c>
      <c r="AM42" s="38">
        <f t="shared" si="114"/>
        <v>0</v>
      </c>
      <c r="AN42" s="38">
        <f t="shared" si="114"/>
        <v>0</v>
      </c>
      <c r="AO42" s="38">
        <f t="shared" si="114"/>
        <v>0</v>
      </c>
      <c r="AP42" s="38">
        <f t="shared" si="114"/>
        <v>0</v>
      </c>
      <c r="AQ42" s="38">
        <f t="shared" si="114"/>
        <v>0</v>
      </c>
      <c r="AR42" s="63">
        <f t="shared" si="114"/>
        <v>0</v>
      </c>
      <c r="AS42" s="39">
        <f t="shared" si="114"/>
        <v>0</v>
      </c>
      <c r="AT42" s="36" t="s">
        <v>108</v>
      </c>
      <c r="AU42" s="330">
        <f>'환기량 산정'!H1541</f>
        <v>45</v>
      </c>
      <c r="AV42" s="331">
        <f t="shared" ref="AV42:BB42" si="115">AU42</f>
        <v>45</v>
      </c>
      <c r="AW42" s="331">
        <f t="shared" si="115"/>
        <v>45</v>
      </c>
      <c r="AX42" s="331">
        <f t="shared" si="115"/>
        <v>45</v>
      </c>
      <c r="AY42" s="331">
        <f t="shared" si="115"/>
        <v>45</v>
      </c>
      <c r="AZ42" s="331">
        <f t="shared" si="115"/>
        <v>45</v>
      </c>
      <c r="BA42" s="331">
        <f t="shared" si="115"/>
        <v>45</v>
      </c>
      <c r="BB42" s="343">
        <f t="shared" si="115"/>
        <v>45</v>
      </c>
      <c r="BC42" s="36" t="s">
        <v>108</v>
      </c>
      <c r="BD42" s="330">
        <f>'환기량 산정'!H1546</f>
        <v>0</v>
      </c>
      <c r="BE42" s="331">
        <f t="shared" ref="BE42:BK42" si="116">BD42</f>
        <v>0</v>
      </c>
      <c r="BF42" s="331">
        <f t="shared" si="116"/>
        <v>0</v>
      </c>
      <c r="BG42" s="331">
        <f t="shared" si="116"/>
        <v>0</v>
      </c>
      <c r="BH42" s="331">
        <f t="shared" si="116"/>
        <v>0</v>
      </c>
      <c r="BI42" s="331">
        <f t="shared" si="116"/>
        <v>0</v>
      </c>
      <c r="BJ42" s="331">
        <f t="shared" si="116"/>
        <v>0</v>
      </c>
      <c r="BK42" s="343">
        <f t="shared" si="116"/>
        <v>0</v>
      </c>
    </row>
    <row r="43" spans="1:63">
      <c r="A43" s="36" t="s">
        <v>109</v>
      </c>
      <c r="B43" s="44">
        <f t="shared" ref="B43:I43" si="117">ROUND(B42/B46,4)</f>
        <v>0.1704</v>
      </c>
      <c r="C43" s="38">
        <f t="shared" si="117"/>
        <v>0.2727</v>
      </c>
      <c r="D43" s="38">
        <f t="shared" si="117"/>
        <v>0.28970000000000001</v>
      </c>
      <c r="E43" s="38">
        <f t="shared" si="117"/>
        <v>0.30680000000000002</v>
      </c>
      <c r="F43" s="38">
        <f t="shared" si="117"/>
        <v>0.42609999999999998</v>
      </c>
      <c r="G43" s="63">
        <f t="shared" si="117"/>
        <v>0.42609999999999998</v>
      </c>
      <c r="H43" s="38">
        <f t="shared" si="117"/>
        <v>0.42609999999999998</v>
      </c>
      <c r="I43" s="39">
        <f t="shared" si="117"/>
        <v>0.44309999999999999</v>
      </c>
      <c r="J43" s="36" t="s">
        <v>109</v>
      </c>
      <c r="K43" s="62">
        <f t="shared" ref="K43:R43" si="118">ROUND(K42/K46,4)</f>
        <v>0.49430000000000002</v>
      </c>
      <c r="L43" s="38">
        <f t="shared" si="118"/>
        <v>0.47720000000000001</v>
      </c>
      <c r="M43" s="38">
        <f t="shared" si="118"/>
        <v>0.3579</v>
      </c>
      <c r="N43" s="38">
        <f t="shared" si="118"/>
        <v>0.32379999999999998</v>
      </c>
      <c r="O43" s="38">
        <f t="shared" si="118"/>
        <v>0.30680000000000002</v>
      </c>
      <c r="P43" s="38">
        <f t="shared" si="118"/>
        <v>0.28970000000000001</v>
      </c>
      <c r="Q43" s="38">
        <f t="shared" si="118"/>
        <v>0.28970000000000001</v>
      </c>
      <c r="R43" s="39">
        <f t="shared" si="118"/>
        <v>0.32379999999999998</v>
      </c>
      <c r="S43" s="181" t="s">
        <v>109</v>
      </c>
      <c r="T43" s="44">
        <f t="shared" ref="T43:AA43" si="119">ROUND(T42/T46,4)</f>
        <v>8.5199999999999998E-2</v>
      </c>
      <c r="U43" s="38">
        <f t="shared" si="119"/>
        <v>6.8199999999999997E-2</v>
      </c>
      <c r="V43" s="38">
        <f t="shared" si="119"/>
        <v>6.8199999999999997E-2</v>
      </c>
      <c r="W43" s="38">
        <f t="shared" si="119"/>
        <v>5.11E-2</v>
      </c>
      <c r="X43" s="38">
        <f t="shared" si="119"/>
        <v>5.11E-2</v>
      </c>
      <c r="Y43" s="38">
        <f t="shared" si="119"/>
        <v>5.11E-2</v>
      </c>
      <c r="Z43" s="38">
        <f t="shared" si="119"/>
        <v>6.8199999999999997E-2</v>
      </c>
      <c r="AA43" s="39">
        <f t="shared" si="119"/>
        <v>6.8199999999999997E-2</v>
      </c>
      <c r="AB43" s="181" t="s">
        <v>122</v>
      </c>
      <c r="AC43" s="37">
        <f t="shared" ref="AC43:AJ43" si="120">ROUND(AC42*B47/(AC40*1000)+AC42*3/60+0.4,0)</f>
        <v>298</v>
      </c>
      <c r="AD43" s="38">
        <f t="shared" si="120"/>
        <v>293</v>
      </c>
      <c r="AE43" s="38">
        <f t="shared" si="120"/>
        <v>286</v>
      </c>
      <c r="AF43" s="38">
        <f t="shared" si="120"/>
        <v>271</v>
      </c>
      <c r="AG43" s="38">
        <f t="shared" si="120"/>
        <v>265</v>
      </c>
      <c r="AH43" s="63">
        <f t="shared" si="120"/>
        <v>251</v>
      </c>
      <c r="AI43" s="38">
        <f t="shared" si="120"/>
        <v>240</v>
      </c>
      <c r="AJ43" s="39">
        <f t="shared" si="120"/>
        <v>239</v>
      </c>
      <c r="AK43" s="69" t="s">
        <v>248</v>
      </c>
      <c r="AL43" s="44">
        <f t="shared" ref="AL43:AS43" si="121">T65</f>
        <v>1</v>
      </c>
      <c r="AM43" s="38">
        <f t="shared" si="121"/>
        <v>0</v>
      </c>
      <c r="AN43" s="38">
        <f t="shared" si="121"/>
        <v>0</v>
      </c>
      <c r="AO43" s="38">
        <f t="shared" si="121"/>
        <v>0</v>
      </c>
      <c r="AP43" s="38">
        <f t="shared" si="121"/>
        <v>0</v>
      </c>
      <c r="AQ43" s="38">
        <f t="shared" si="121"/>
        <v>0</v>
      </c>
      <c r="AR43" s="63">
        <f t="shared" si="121"/>
        <v>0</v>
      </c>
      <c r="AS43" s="39">
        <f t="shared" si="121"/>
        <v>0</v>
      </c>
      <c r="AT43" s="36" t="s">
        <v>109</v>
      </c>
      <c r="AU43" s="327">
        <f t="shared" ref="AU43:BB43" si="122">ROUND(AU42/AU46,4)</f>
        <v>0.76700000000000002</v>
      </c>
      <c r="AV43" s="328">
        <f t="shared" si="122"/>
        <v>0.76700000000000002</v>
      </c>
      <c r="AW43" s="328">
        <f t="shared" si="122"/>
        <v>0.76700000000000002</v>
      </c>
      <c r="AX43" s="328">
        <f t="shared" si="122"/>
        <v>0.76700000000000002</v>
      </c>
      <c r="AY43" s="328">
        <f t="shared" si="122"/>
        <v>0.76700000000000002</v>
      </c>
      <c r="AZ43" s="328">
        <f t="shared" si="122"/>
        <v>0.76700000000000002</v>
      </c>
      <c r="BA43" s="328">
        <f t="shared" si="122"/>
        <v>0.76700000000000002</v>
      </c>
      <c r="BB43" s="329">
        <f t="shared" si="122"/>
        <v>0.76700000000000002</v>
      </c>
      <c r="BC43" s="36" t="s">
        <v>109</v>
      </c>
      <c r="BD43" s="327">
        <f t="shared" ref="BD43:BK43" si="123">ROUND(BD42/BD46,4)</f>
        <v>0</v>
      </c>
      <c r="BE43" s="328">
        <f t="shared" si="123"/>
        <v>0</v>
      </c>
      <c r="BF43" s="328">
        <f t="shared" si="123"/>
        <v>0</v>
      </c>
      <c r="BG43" s="328">
        <f t="shared" si="123"/>
        <v>0</v>
      </c>
      <c r="BH43" s="328">
        <f t="shared" si="123"/>
        <v>0</v>
      </c>
      <c r="BI43" s="328">
        <f t="shared" si="123"/>
        <v>0</v>
      </c>
      <c r="BJ43" s="328">
        <f t="shared" si="123"/>
        <v>0</v>
      </c>
      <c r="BK43" s="329">
        <f t="shared" si="123"/>
        <v>0</v>
      </c>
    </row>
    <row r="44" spans="1:63" ht="13.5" customHeight="1">
      <c r="A44" s="36" t="s">
        <v>110</v>
      </c>
      <c r="B44" s="360">
        <f>'환기량 산정'!I1490</f>
        <v>2.5</v>
      </c>
      <c r="C44" s="361">
        <f t="shared" ref="C44:I44" si="124">B44</f>
        <v>2.5</v>
      </c>
      <c r="D44" s="361">
        <f t="shared" si="124"/>
        <v>2.5</v>
      </c>
      <c r="E44" s="361">
        <f t="shared" si="124"/>
        <v>2.5</v>
      </c>
      <c r="F44" s="361">
        <f t="shared" si="124"/>
        <v>2.5</v>
      </c>
      <c r="G44" s="362">
        <f t="shared" si="124"/>
        <v>2.5</v>
      </c>
      <c r="H44" s="361">
        <f t="shared" si="124"/>
        <v>2.5</v>
      </c>
      <c r="I44" s="363">
        <f t="shared" si="124"/>
        <v>2.5</v>
      </c>
      <c r="J44" s="36" t="s">
        <v>110</v>
      </c>
      <c r="K44" s="364">
        <f>K10</f>
        <v>2.5</v>
      </c>
      <c r="L44" s="361">
        <f t="shared" ref="L44:R44" si="125">K44</f>
        <v>2.5</v>
      </c>
      <c r="M44" s="361">
        <f t="shared" si="125"/>
        <v>2.5</v>
      </c>
      <c r="N44" s="361">
        <f t="shared" si="125"/>
        <v>2.5</v>
      </c>
      <c r="O44" s="361">
        <f t="shared" si="125"/>
        <v>2.5</v>
      </c>
      <c r="P44" s="361">
        <f t="shared" si="125"/>
        <v>2.5</v>
      </c>
      <c r="Q44" s="361">
        <f t="shared" si="125"/>
        <v>2.5</v>
      </c>
      <c r="R44" s="363">
        <f t="shared" si="125"/>
        <v>2.5</v>
      </c>
      <c r="S44" s="181" t="s">
        <v>110</v>
      </c>
      <c r="T44" s="360">
        <f>T10</f>
        <v>2.5</v>
      </c>
      <c r="U44" s="361">
        <f t="shared" ref="U44:AA44" si="126">T44</f>
        <v>2.5</v>
      </c>
      <c r="V44" s="361">
        <f t="shared" si="126"/>
        <v>2.5</v>
      </c>
      <c r="W44" s="361">
        <f t="shared" si="126"/>
        <v>2.5</v>
      </c>
      <c r="X44" s="361">
        <f t="shared" si="126"/>
        <v>2.5</v>
      </c>
      <c r="Y44" s="361">
        <f t="shared" si="126"/>
        <v>2.5</v>
      </c>
      <c r="Z44" s="361">
        <f t="shared" si="126"/>
        <v>2.5</v>
      </c>
      <c r="AA44" s="363">
        <f t="shared" si="126"/>
        <v>2.5</v>
      </c>
      <c r="AB44" s="181" t="s">
        <v>161</v>
      </c>
      <c r="AC44" s="37"/>
      <c r="AD44" s="38"/>
      <c r="AE44" s="38"/>
      <c r="AF44" s="38"/>
      <c r="AG44" s="38"/>
      <c r="AH44" s="63"/>
      <c r="AI44" s="38"/>
      <c r="AJ44" s="39"/>
      <c r="AK44" s="166" t="s">
        <v>425</v>
      </c>
      <c r="AL44" s="355">
        <f t="shared" ref="AL44:AS44" si="127">AU65</f>
        <v>1</v>
      </c>
      <c r="AM44" s="65">
        <f t="shared" si="127"/>
        <v>0</v>
      </c>
      <c r="AN44" s="65">
        <f t="shared" si="127"/>
        <v>0</v>
      </c>
      <c r="AO44" s="65">
        <f t="shared" si="127"/>
        <v>0</v>
      </c>
      <c r="AP44" s="65">
        <f t="shared" si="127"/>
        <v>0</v>
      </c>
      <c r="AQ44" s="65">
        <f t="shared" si="127"/>
        <v>0</v>
      </c>
      <c r="AR44" s="65">
        <f t="shared" si="127"/>
        <v>0</v>
      </c>
      <c r="AS44" s="66">
        <f t="shared" si="127"/>
        <v>0</v>
      </c>
      <c r="AT44" s="36" t="s">
        <v>110</v>
      </c>
      <c r="AU44" s="357">
        <f>AU10</f>
        <v>2.5</v>
      </c>
      <c r="AV44" s="358">
        <f t="shared" ref="AV44:BB44" si="128">AU44</f>
        <v>2.5</v>
      </c>
      <c r="AW44" s="358">
        <f t="shared" si="128"/>
        <v>2.5</v>
      </c>
      <c r="AX44" s="358">
        <f t="shared" si="128"/>
        <v>2.5</v>
      </c>
      <c r="AY44" s="358">
        <f t="shared" si="128"/>
        <v>2.5</v>
      </c>
      <c r="AZ44" s="358">
        <f t="shared" si="128"/>
        <v>2.5</v>
      </c>
      <c r="BA44" s="358">
        <f t="shared" si="128"/>
        <v>2.5</v>
      </c>
      <c r="BB44" s="359">
        <f t="shared" si="128"/>
        <v>2.5</v>
      </c>
      <c r="BC44" s="36" t="s">
        <v>110</v>
      </c>
      <c r="BD44" s="357">
        <f>BD10</f>
        <v>2.5</v>
      </c>
      <c r="BE44" s="358">
        <f t="shared" ref="BE44:BK44" si="129">BD44</f>
        <v>2.5</v>
      </c>
      <c r="BF44" s="358">
        <f t="shared" si="129"/>
        <v>2.5</v>
      </c>
      <c r="BG44" s="358">
        <f t="shared" si="129"/>
        <v>2.5</v>
      </c>
      <c r="BH44" s="358">
        <f t="shared" si="129"/>
        <v>2.5</v>
      </c>
      <c r="BI44" s="358">
        <f t="shared" si="129"/>
        <v>2.5</v>
      </c>
      <c r="BJ44" s="358">
        <f t="shared" si="129"/>
        <v>2.5</v>
      </c>
      <c r="BK44" s="359">
        <f t="shared" si="129"/>
        <v>2.5</v>
      </c>
    </row>
    <row r="45" spans="1:63" ht="15.75">
      <c r="A45" s="36" t="s">
        <v>111</v>
      </c>
      <c r="B45" s="44">
        <f>'환기량 산정'!B1521</f>
        <v>2119</v>
      </c>
      <c r="C45" s="38">
        <f>'환기량 산정'!C1521</f>
        <v>3072</v>
      </c>
      <c r="D45" s="38">
        <f>'환기량 산정'!D1521</f>
        <v>3558</v>
      </c>
      <c r="E45" s="38">
        <f>'환기량 산정'!E1521</f>
        <v>3733</v>
      </c>
      <c r="F45" s="38">
        <f>'환기량 산정'!F1521</f>
        <v>3888</v>
      </c>
      <c r="G45" s="63">
        <f>'환기량 산정'!G1521</f>
        <v>3850</v>
      </c>
      <c r="H45" s="38">
        <f>'환기량 산정'!H1521</f>
        <v>3811</v>
      </c>
      <c r="I45" s="39">
        <f>'환기량 산정'!I1521</f>
        <v>3888</v>
      </c>
      <c r="J45" s="36" t="s">
        <v>111</v>
      </c>
      <c r="K45" s="62">
        <f t="shared" ref="K45:R45" si="130">B45</f>
        <v>2119</v>
      </c>
      <c r="L45" s="38">
        <f t="shared" si="130"/>
        <v>3072</v>
      </c>
      <c r="M45" s="38">
        <f t="shared" si="130"/>
        <v>3558</v>
      </c>
      <c r="N45" s="38">
        <f t="shared" si="130"/>
        <v>3733</v>
      </c>
      <c r="O45" s="38">
        <f t="shared" si="130"/>
        <v>3888</v>
      </c>
      <c r="P45" s="38">
        <f t="shared" si="130"/>
        <v>3850</v>
      </c>
      <c r="Q45" s="38">
        <f t="shared" si="130"/>
        <v>3811</v>
      </c>
      <c r="R45" s="39">
        <f t="shared" si="130"/>
        <v>3888</v>
      </c>
      <c r="S45" s="181" t="s">
        <v>111</v>
      </c>
      <c r="T45" s="44">
        <f t="shared" ref="T45:AA45" si="131">K45</f>
        <v>2119</v>
      </c>
      <c r="U45" s="38">
        <f t="shared" si="131"/>
        <v>3072</v>
      </c>
      <c r="V45" s="38">
        <f t="shared" si="131"/>
        <v>3558</v>
      </c>
      <c r="W45" s="38">
        <f t="shared" si="131"/>
        <v>3733</v>
      </c>
      <c r="X45" s="38">
        <f t="shared" si="131"/>
        <v>3888</v>
      </c>
      <c r="Y45" s="38">
        <f t="shared" si="131"/>
        <v>3850</v>
      </c>
      <c r="Z45" s="38">
        <f t="shared" si="131"/>
        <v>3811</v>
      </c>
      <c r="AA45" s="39">
        <f t="shared" si="131"/>
        <v>3888</v>
      </c>
      <c r="AB45" s="181" t="s">
        <v>154</v>
      </c>
      <c r="AC45" s="37">
        <f t="shared" ref="AC45:AJ45" si="132">ROUND((1+B49+B50*B47/B51)*B48/2*AC41^2,4)</f>
        <v>21.000299999999999</v>
      </c>
      <c r="AD45" s="38">
        <f t="shared" si="132"/>
        <v>21.000299999999999</v>
      </c>
      <c r="AE45" s="38">
        <f t="shared" si="132"/>
        <v>21.000299999999999</v>
      </c>
      <c r="AF45" s="38">
        <f t="shared" si="132"/>
        <v>21.000299999999999</v>
      </c>
      <c r="AG45" s="38">
        <f t="shared" si="132"/>
        <v>21.000299999999999</v>
      </c>
      <c r="AH45" s="63">
        <f t="shared" si="132"/>
        <v>21.000299999999999</v>
      </c>
      <c r="AI45" s="38">
        <f t="shared" si="132"/>
        <v>21.000299999999999</v>
      </c>
      <c r="AJ45" s="39">
        <f t="shared" si="132"/>
        <v>21.000299999999999</v>
      </c>
      <c r="AK45" s="166" t="s">
        <v>249</v>
      </c>
      <c r="AL45" s="67">
        <f t="shared" ref="AL45:AS45" si="133">AC52</f>
        <v>7</v>
      </c>
      <c r="AM45" s="65">
        <f t="shared" si="133"/>
        <v>7</v>
      </c>
      <c r="AN45" s="65">
        <f t="shared" si="133"/>
        <v>7</v>
      </c>
      <c r="AO45" s="65">
        <f t="shared" si="133"/>
        <v>7</v>
      </c>
      <c r="AP45" s="65">
        <f t="shared" si="133"/>
        <v>7</v>
      </c>
      <c r="AQ45" s="65">
        <f t="shared" si="133"/>
        <v>7</v>
      </c>
      <c r="AR45" s="65">
        <f t="shared" si="133"/>
        <v>7</v>
      </c>
      <c r="AS45" s="66">
        <f t="shared" si="133"/>
        <v>7</v>
      </c>
      <c r="AT45" s="36" t="s">
        <v>111</v>
      </c>
      <c r="AU45" s="327">
        <f t="shared" ref="AU45:BB45" si="134">B45</f>
        <v>2119</v>
      </c>
      <c r="AV45" s="332">
        <f t="shared" si="134"/>
        <v>3072</v>
      </c>
      <c r="AW45" s="332">
        <f t="shared" si="134"/>
        <v>3558</v>
      </c>
      <c r="AX45" s="332">
        <f t="shared" si="134"/>
        <v>3733</v>
      </c>
      <c r="AY45" s="332">
        <f t="shared" si="134"/>
        <v>3888</v>
      </c>
      <c r="AZ45" s="332">
        <f t="shared" si="134"/>
        <v>3850</v>
      </c>
      <c r="BA45" s="332">
        <f t="shared" si="134"/>
        <v>3811</v>
      </c>
      <c r="BB45" s="338">
        <f t="shared" si="134"/>
        <v>3888</v>
      </c>
      <c r="BC45" s="36" t="s">
        <v>111</v>
      </c>
      <c r="BD45" s="327">
        <f t="shared" ref="BD45:BK45" si="135">K45</f>
        <v>2119</v>
      </c>
      <c r="BE45" s="332">
        <f t="shared" si="135"/>
        <v>3072</v>
      </c>
      <c r="BF45" s="332">
        <f t="shared" si="135"/>
        <v>3558</v>
      </c>
      <c r="BG45" s="332">
        <f t="shared" si="135"/>
        <v>3733</v>
      </c>
      <c r="BH45" s="332">
        <f t="shared" si="135"/>
        <v>3888</v>
      </c>
      <c r="BI45" s="332">
        <f t="shared" si="135"/>
        <v>3850</v>
      </c>
      <c r="BJ45" s="332">
        <f t="shared" si="135"/>
        <v>3811</v>
      </c>
      <c r="BK45" s="338">
        <f t="shared" si="135"/>
        <v>3888</v>
      </c>
    </row>
    <row r="46" spans="1:63" ht="15.75">
      <c r="A46" s="36" t="s">
        <v>90</v>
      </c>
      <c r="B46" s="44">
        <f>'환기량 산정'!I1488</f>
        <v>58.672159999999998</v>
      </c>
      <c r="C46" s="38">
        <f t="shared" ref="C46:I46" si="136">B46</f>
        <v>58.672159999999998</v>
      </c>
      <c r="D46" s="38">
        <f t="shared" si="136"/>
        <v>58.672159999999998</v>
      </c>
      <c r="E46" s="38">
        <f t="shared" si="136"/>
        <v>58.672159999999998</v>
      </c>
      <c r="F46" s="38">
        <f t="shared" si="136"/>
        <v>58.672159999999998</v>
      </c>
      <c r="G46" s="63">
        <f t="shared" si="136"/>
        <v>58.672159999999998</v>
      </c>
      <c r="H46" s="38">
        <f t="shared" si="136"/>
        <v>58.672159999999998</v>
      </c>
      <c r="I46" s="39">
        <f t="shared" si="136"/>
        <v>58.672159999999998</v>
      </c>
      <c r="J46" s="36" t="s">
        <v>90</v>
      </c>
      <c r="K46" s="62">
        <f>B46</f>
        <v>58.672159999999998</v>
      </c>
      <c r="L46" s="38">
        <f t="shared" ref="L46:R46" si="137">K46</f>
        <v>58.672159999999998</v>
      </c>
      <c r="M46" s="38">
        <f t="shared" si="137"/>
        <v>58.672159999999998</v>
      </c>
      <c r="N46" s="38">
        <f t="shared" si="137"/>
        <v>58.672159999999998</v>
      </c>
      <c r="O46" s="38">
        <f t="shared" si="137"/>
        <v>58.672159999999998</v>
      </c>
      <c r="P46" s="38">
        <f t="shared" si="137"/>
        <v>58.672159999999998</v>
      </c>
      <c r="Q46" s="38">
        <f t="shared" si="137"/>
        <v>58.672159999999998</v>
      </c>
      <c r="R46" s="39">
        <f t="shared" si="137"/>
        <v>58.672159999999998</v>
      </c>
      <c r="S46" s="181" t="s">
        <v>90</v>
      </c>
      <c r="T46" s="44">
        <f>K46</f>
        <v>58.672159999999998</v>
      </c>
      <c r="U46" s="38">
        <f t="shared" ref="U46:AA46" si="138">T46</f>
        <v>58.672159999999998</v>
      </c>
      <c r="V46" s="38">
        <f t="shared" si="138"/>
        <v>58.672159999999998</v>
      </c>
      <c r="W46" s="38">
        <f t="shared" si="138"/>
        <v>58.672159999999998</v>
      </c>
      <c r="X46" s="38">
        <f t="shared" si="138"/>
        <v>58.672159999999998</v>
      </c>
      <c r="Y46" s="38">
        <f t="shared" si="138"/>
        <v>58.672159999999998</v>
      </c>
      <c r="Z46" s="38">
        <f t="shared" si="138"/>
        <v>58.672159999999998</v>
      </c>
      <c r="AA46" s="39">
        <f t="shared" si="138"/>
        <v>58.672159999999998</v>
      </c>
      <c r="AB46" s="181" t="s">
        <v>155</v>
      </c>
      <c r="AC46" s="37">
        <f t="shared" ref="AC46:AJ46" si="139">B58</f>
        <v>16.741299999999999</v>
      </c>
      <c r="AD46" s="38">
        <f t="shared" si="139"/>
        <v>16.741299999999999</v>
      </c>
      <c r="AE46" s="38">
        <f t="shared" si="139"/>
        <v>16.741299999999999</v>
      </c>
      <c r="AF46" s="38">
        <f t="shared" si="139"/>
        <v>16.741299999999999</v>
      </c>
      <c r="AG46" s="38">
        <f t="shared" si="139"/>
        <v>16.741299999999999</v>
      </c>
      <c r="AH46" s="63">
        <f t="shared" si="139"/>
        <v>16.741299999999999</v>
      </c>
      <c r="AI46" s="38">
        <f t="shared" si="139"/>
        <v>16.741299999999999</v>
      </c>
      <c r="AJ46" s="39">
        <f t="shared" si="139"/>
        <v>16.741299999999999</v>
      </c>
      <c r="AK46" s="356" t="s">
        <v>262</v>
      </c>
      <c r="AL46" s="170">
        <f t="shared" ref="AL46:AS46" si="140">IF(MAX(AL62:AL64)&gt;AU42,MAX(AL41:AL43),AL44)</f>
        <v>1</v>
      </c>
      <c r="AM46" s="171">
        <f t="shared" si="140"/>
        <v>0</v>
      </c>
      <c r="AN46" s="171">
        <f t="shared" si="140"/>
        <v>0</v>
      </c>
      <c r="AO46" s="171">
        <f t="shared" si="140"/>
        <v>0</v>
      </c>
      <c r="AP46" s="171">
        <f t="shared" si="140"/>
        <v>0</v>
      </c>
      <c r="AQ46" s="171">
        <f t="shared" si="140"/>
        <v>0</v>
      </c>
      <c r="AR46" s="171">
        <f t="shared" si="140"/>
        <v>0</v>
      </c>
      <c r="AS46" s="172">
        <f t="shared" si="140"/>
        <v>0</v>
      </c>
      <c r="AT46" s="36" t="s">
        <v>90</v>
      </c>
      <c r="AU46" s="327">
        <f>B46</f>
        <v>58.672159999999998</v>
      </c>
      <c r="AV46" s="328">
        <f t="shared" ref="AV46:BB46" si="141">AU46</f>
        <v>58.672159999999998</v>
      </c>
      <c r="AW46" s="328">
        <f t="shared" si="141"/>
        <v>58.672159999999998</v>
      </c>
      <c r="AX46" s="328">
        <f t="shared" si="141"/>
        <v>58.672159999999998</v>
      </c>
      <c r="AY46" s="328">
        <f t="shared" si="141"/>
        <v>58.672159999999998</v>
      </c>
      <c r="AZ46" s="328">
        <f t="shared" si="141"/>
        <v>58.672159999999998</v>
      </c>
      <c r="BA46" s="328">
        <f t="shared" si="141"/>
        <v>58.672159999999998</v>
      </c>
      <c r="BB46" s="329">
        <f t="shared" si="141"/>
        <v>58.672159999999998</v>
      </c>
      <c r="BC46" s="36" t="s">
        <v>90</v>
      </c>
      <c r="BD46" s="327">
        <f>K46</f>
        <v>58.672159999999998</v>
      </c>
      <c r="BE46" s="328">
        <f t="shared" ref="BE46:BK46" si="142">BD46</f>
        <v>58.672159999999998</v>
      </c>
      <c r="BF46" s="328">
        <f t="shared" si="142"/>
        <v>58.672159999999998</v>
      </c>
      <c r="BG46" s="328">
        <f t="shared" si="142"/>
        <v>58.672159999999998</v>
      </c>
      <c r="BH46" s="328">
        <f t="shared" si="142"/>
        <v>58.672159999999998</v>
      </c>
      <c r="BI46" s="328">
        <f t="shared" si="142"/>
        <v>58.672159999999998</v>
      </c>
      <c r="BJ46" s="328">
        <f t="shared" si="142"/>
        <v>58.672159999999998</v>
      </c>
      <c r="BK46" s="329">
        <f t="shared" si="142"/>
        <v>58.672159999999998</v>
      </c>
    </row>
    <row r="47" spans="1:63" ht="15.75">
      <c r="A47" s="36" t="s">
        <v>112</v>
      </c>
      <c r="B47" s="44">
        <f>'환기량 산정'!$I1494</f>
        <v>904.56</v>
      </c>
      <c r="C47" s="38">
        <f>'환기량 산정'!$I1494</f>
        <v>904.56</v>
      </c>
      <c r="D47" s="38">
        <f>'환기량 산정'!$I1494</f>
        <v>904.56</v>
      </c>
      <c r="E47" s="38">
        <f>'환기량 산정'!$I1494</f>
        <v>904.56</v>
      </c>
      <c r="F47" s="38">
        <f>'환기량 산정'!$I1494</f>
        <v>904.56</v>
      </c>
      <c r="G47" s="63">
        <f>'환기량 산정'!$I1494</f>
        <v>904.56</v>
      </c>
      <c r="H47" s="38">
        <f>'환기량 산정'!$I1494</f>
        <v>904.56</v>
      </c>
      <c r="I47" s="39">
        <f>'환기량 산정'!$I1494</f>
        <v>904.56</v>
      </c>
      <c r="J47" s="36" t="s">
        <v>112</v>
      </c>
      <c r="K47" s="62">
        <f>'환기량 산정'!$I1494</f>
        <v>904.56</v>
      </c>
      <c r="L47" s="38">
        <f>'환기량 산정'!$I1494</f>
        <v>904.56</v>
      </c>
      <c r="M47" s="38">
        <f>'환기량 산정'!$I1494</f>
        <v>904.56</v>
      </c>
      <c r="N47" s="38">
        <f>'환기량 산정'!$I1494</f>
        <v>904.56</v>
      </c>
      <c r="O47" s="38">
        <f>'환기량 산정'!$I1494</f>
        <v>904.56</v>
      </c>
      <c r="P47" s="38">
        <f>'환기량 산정'!$I1494</f>
        <v>904.56</v>
      </c>
      <c r="Q47" s="38">
        <f>'환기량 산정'!$I1494</f>
        <v>904.56</v>
      </c>
      <c r="R47" s="39">
        <f>'환기량 산정'!$I1494</f>
        <v>904.56</v>
      </c>
      <c r="S47" s="181" t="s">
        <v>112</v>
      </c>
      <c r="T47" s="44">
        <f>'환기량 산정'!$I1494</f>
        <v>904.56</v>
      </c>
      <c r="U47" s="38">
        <f>'환기량 산정'!$I1494</f>
        <v>904.56</v>
      </c>
      <c r="V47" s="38">
        <f>'환기량 산정'!$I1494</f>
        <v>904.56</v>
      </c>
      <c r="W47" s="38">
        <f>'환기량 산정'!$I1494</f>
        <v>904.56</v>
      </c>
      <c r="X47" s="38">
        <f>'환기량 산정'!$I1494</f>
        <v>904.56</v>
      </c>
      <c r="Y47" s="38">
        <f>'환기량 산정'!$I1494</f>
        <v>904.56</v>
      </c>
      <c r="Z47" s="38">
        <f>'환기량 산정'!$I1494</f>
        <v>904.56</v>
      </c>
      <c r="AA47" s="39">
        <f>'환기량 산정'!$I1494</f>
        <v>904.56</v>
      </c>
      <c r="AB47" s="181" t="s">
        <v>159</v>
      </c>
      <c r="AC47" s="37">
        <f t="shared" ref="AC47:AJ47" si="143">ROUND(-B52/B46*B48/2*AC43*AC41^2,4)</f>
        <v>-25.686199999999999</v>
      </c>
      <c r="AD47" s="38">
        <f t="shared" si="143"/>
        <v>-25.255299999999998</v>
      </c>
      <c r="AE47" s="38">
        <f t="shared" si="143"/>
        <v>-24.651900000000001</v>
      </c>
      <c r="AF47" s="38">
        <f t="shared" si="143"/>
        <v>-23.359000000000002</v>
      </c>
      <c r="AG47" s="38">
        <f t="shared" si="143"/>
        <v>-22.841799999999999</v>
      </c>
      <c r="AH47" s="63">
        <f t="shared" si="143"/>
        <v>-21.635000000000002</v>
      </c>
      <c r="AI47" s="38">
        <f t="shared" si="143"/>
        <v>-20.686900000000001</v>
      </c>
      <c r="AJ47" s="39">
        <f t="shared" si="143"/>
        <v>-20.6007</v>
      </c>
      <c r="AK47" s="69" t="s">
        <v>123</v>
      </c>
      <c r="AL47" s="44">
        <f t="shared" ref="AL47:AS47" si="144">ROUND((1+B49+B50*B47/B51)*B48/2,4)</f>
        <v>2.6785999999999999</v>
      </c>
      <c r="AM47" s="38">
        <f t="shared" si="144"/>
        <v>2.6785999999999999</v>
      </c>
      <c r="AN47" s="38">
        <f t="shared" si="144"/>
        <v>2.6785999999999999</v>
      </c>
      <c r="AO47" s="38">
        <f t="shared" si="144"/>
        <v>2.6785999999999999</v>
      </c>
      <c r="AP47" s="38">
        <f t="shared" si="144"/>
        <v>2.6785999999999999</v>
      </c>
      <c r="AQ47" s="38">
        <f t="shared" si="144"/>
        <v>2.6785999999999999</v>
      </c>
      <c r="AR47" s="38">
        <f t="shared" si="144"/>
        <v>2.6785999999999999</v>
      </c>
      <c r="AS47" s="39">
        <f t="shared" si="144"/>
        <v>2.6785999999999999</v>
      </c>
      <c r="AT47" s="36" t="s">
        <v>112</v>
      </c>
      <c r="AU47" s="327">
        <f>'환기량 산정'!$I1494</f>
        <v>904.56</v>
      </c>
      <c r="AV47" s="328">
        <f>'환기량 산정'!$I1494</f>
        <v>904.56</v>
      </c>
      <c r="AW47" s="328">
        <f>'환기량 산정'!$I1494</f>
        <v>904.56</v>
      </c>
      <c r="AX47" s="328">
        <f>'환기량 산정'!$I1494</f>
        <v>904.56</v>
      </c>
      <c r="AY47" s="328">
        <f>'환기량 산정'!$I1494</f>
        <v>904.56</v>
      </c>
      <c r="AZ47" s="328">
        <f>'환기량 산정'!$I1494</f>
        <v>904.56</v>
      </c>
      <c r="BA47" s="328">
        <f>'환기량 산정'!$I1494</f>
        <v>904.56</v>
      </c>
      <c r="BB47" s="329">
        <f>'환기량 산정'!$I1494</f>
        <v>904.56</v>
      </c>
      <c r="BC47" s="36" t="s">
        <v>112</v>
      </c>
      <c r="BD47" s="327">
        <f>'환기량 산정'!$I1494</f>
        <v>904.56</v>
      </c>
      <c r="BE47" s="328">
        <f>'환기량 산정'!$I1494</f>
        <v>904.56</v>
      </c>
      <c r="BF47" s="328">
        <f>'환기량 산정'!$I1494</f>
        <v>904.56</v>
      </c>
      <c r="BG47" s="328">
        <f>'환기량 산정'!$I1494</f>
        <v>904.56</v>
      </c>
      <c r="BH47" s="328">
        <f>'환기량 산정'!$I1494</f>
        <v>904.56</v>
      </c>
      <c r="BI47" s="328">
        <f>'환기량 산정'!$I1494</f>
        <v>904.56</v>
      </c>
      <c r="BJ47" s="328">
        <f>'환기량 산정'!$I1494</f>
        <v>904.56</v>
      </c>
      <c r="BK47" s="329">
        <f>'환기량 산정'!$I1494</f>
        <v>904.56</v>
      </c>
    </row>
    <row r="48" spans="1:63">
      <c r="A48" s="36" t="s">
        <v>113</v>
      </c>
      <c r="B48" s="44">
        <f>'환기량 산정'!I1493</f>
        <v>1.2</v>
      </c>
      <c r="C48" s="38">
        <f t="shared" ref="C48:I52" si="145">B48</f>
        <v>1.2</v>
      </c>
      <c r="D48" s="38">
        <f t="shared" si="145"/>
        <v>1.2</v>
      </c>
      <c r="E48" s="38">
        <f t="shared" si="145"/>
        <v>1.2</v>
      </c>
      <c r="F48" s="38">
        <f t="shared" si="145"/>
        <v>1.2</v>
      </c>
      <c r="G48" s="63">
        <f t="shared" si="145"/>
        <v>1.2</v>
      </c>
      <c r="H48" s="38">
        <f t="shared" si="145"/>
        <v>1.2</v>
      </c>
      <c r="I48" s="39">
        <f t="shared" si="145"/>
        <v>1.2</v>
      </c>
      <c r="J48" s="36" t="s">
        <v>113</v>
      </c>
      <c r="K48" s="62">
        <f>B48</f>
        <v>1.2</v>
      </c>
      <c r="L48" s="38">
        <f t="shared" ref="L48:R52" si="146">K48</f>
        <v>1.2</v>
      </c>
      <c r="M48" s="38">
        <f t="shared" si="146"/>
        <v>1.2</v>
      </c>
      <c r="N48" s="38">
        <f t="shared" si="146"/>
        <v>1.2</v>
      </c>
      <c r="O48" s="38">
        <f t="shared" si="146"/>
        <v>1.2</v>
      </c>
      <c r="P48" s="38">
        <f t="shared" si="146"/>
        <v>1.2</v>
      </c>
      <c r="Q48" s="38">
        <f t="shared" si="146"/>
        <v>1.2</v>
      </c>
      <c r="R48" s="39">
        <f t="shared" si="146"/>
        <v>1.2</v>
      </c>
      <c r="S48" s="181" t="s">
        <v>113</v>
      </c>
      <c r="T48" s="44">
        <f>K48</f>
        <v>1.2</v>
      </c>
      <c r="U48" s="38">
        <f t="shared" ref="U48:AA52" si="147">T48</f>
        <v>1.2</v>
      </c>
      <c r="V48" s="38">
        <f t="shared" si="147"/>
        <v>1.2</v>
      </c>
      <c r="W48" s="38">
        <f t="shared" si="147"/>
        <v>1.2</v>
      </c>
      <c r="X48" s="38">
        <f t="shared" si="147"/>
        <v>1.2</v>
      </c>
      <c r="Y48" s="38">
        <f t="shared" si="147"/>
        <v>1.2</v>
      </c>
      <c r="Z48" s="38">
        <f t="shared" si="147"/>
        <v>1.2</v>
      </c>
      <c r="AA48" s="39">
        <f t="shared" si="147"/>
        <v>1.2</v>
      </c>
      <c r="AB48" s="181" t="s">
        <v>157</v>
      </c>
      <c r="AC48" s="183">
        <f t="shared" ref="AC48:AJ48" si="148">AC45+AC46-AC47</f>
        <v>63.427799999999998</v>
      </c>
      <c r="AD48" s="45">
        <f t="shared" si="148"/>
        <v>62.996899999999997</v>
      </c>
      <c r="AE48" s="45">
        <f t="shared" si="148"/>
        <v>62.393500000000003</v>
      </c>
      <c r="AF48" s="45">
        <f t="shared" si="148"/>
        <v>61.1006</v>
      </c>
      <c r="AG48" s="45">
        <f t="shared" si="148"/>
        <v>60.583399999999997</v>
      </c>
      <c r="AH48" s="138">
        <f t="shared" si="148"/>
        <v>59.376599999999996</v>
      </c>
      <c r="AI48" s="45">
        <f t="shared" si="148"/>
        <v>58.4285</v>
      </c>
      <c r="AJ48" s="46">
        <f t="shared" si="148"/>
        <v>58.342299999999994</v>
      </c>
      <c r="AK48" s="69" t="s">
        <v>124</v>
      </c>
      <c r="AL48" s="188">
        <f>ROUND(-B48/2*B52/B46*B55,4)</f>
        <v>-2.1109</v>
      </c>
      <c r="AM48" s="38">
        <f t="shared" ref="AM48:AS48" si="149">IF(C41&gt;=C43,ROUND(C48/2*C52/C46*C55,4),IF(C41&lt;C43,ROUND(-C48/2*C52/C46*C55,4)))</f>
        <v>1.5282</v>
      </c>
      <c r="AN48" s="38">
        <f t="shared" si="149"/>
        <v>1.1874</v>
      </c>
      <c r="AO48" s="38">
        <f t="shared" si="149"/>
        <v>0.9345</v>
      </c>
      <c r="AP48" s="38">
        <f t="shared" si="149"/>
        <v>0.78059999999999996</v>
      </c>
      <c r="AQ48" s="38">
        <f t="shared" si="149"/>
        <v>0.63770000000000004</v>
      </c>
      <c r="AR48" s="38">
        <f t="shared" si="149"/>
        <v>0.54969999999999997</v>
      </c>
      <c r="AS48" s="39">
        <f t="shared" si="149"/>
        <v>0.48370000000000002</v>
      </c>
      <c r="AT48" s="36" t="s">
        <v>113</v>
      </c>
      <c r="AU48" s="327">
        <f t="shared" ref="AU48:AU55" si="150">B48</f>
        <v>1.2</v>
      </c>
      <c r="AV48" s="328">
        <f t="shared" ref="AV48:BB52" si="151">AU48</f>
        <v>1.2</v>
      </c>
      <c r="AW48" s="328">
        <f t="shared" si="151"/>
        <v>1.2</v>
      </c>
      <c r="AX48" s="328">
        <f t="shared" si="151"/>
        <v>1.2</v>
      </c>
      <c r="AY48" s="328">
        <f t="shared" si="151"/>
        <v>1.2</v>
      </c>
      <c r="AZ48" s="328">
        <f t="shared" si="151"/>
        <v>1.2</v>
      </c>
      <c r="BA48" s="328">
        <f t="shared" si="151"/>
        <v>1.2</v>
      </c>
      <c r="BB48" s="329">
        <f t="shared" si="151"/>
        <v>1.2</v>
      </c>
      <c r="BC48" s="36" t="s">
        <v>113</v>
      </c>
      <c r="BD48" s="327">
        <f t="shared" ref="BD48:BD55" si="152">K48</f>
        <v>1.2</v>
      </c>
      <c r="BE48" s="328">
        <f t="shared" ref="BE48:BK52" si="153">BD48</f>
        <v>1.2</v>
      </c>
      <c r="BF48" s="328">
        <f t="shared" si="153"/>
        <v>1.2</v>
      </c>
      <c r="BG48" s="328">
        <f t="shared" si="153"/>
        <v>1.2</v>
      </c>
      <c r="BH48" s="328">
        <f t="shared" si="153"/>
        <v>1.2</v>
      </c>
      <c r="BI48" s="328">
        <f t="shared" si="153"/>
        <v>1.2</v>
      </c>
      <c r="BJ48" s="328">
        <f t="shared" si="153"/>
        <v>1.2</v>
      </c>
      <c r="BK48" s="329">
        <f t="shared" si="153"/>
        <v>1.2</v>
      </c>
    </row>
    <row r="49" spans="1:63" ht="15.75">
      <c r="A49" s="36" t="s">
        <v>114</v>
      </c>
      <c r="B49" s="44">
        <f>'환기량 산정'!I1491</f>
        <v>0.6</v>
      </c>
      <c r="C49" s="38">
        <f t="shared" si="145"/>
        <v>0.6</v>
      </c>
      <c r="D49" s="38">
        <f t="shared" si="145"/>
        <v>0.6</v>
      </c>
      <c r="E49" s="38">
        <f t="shared" si="145"/>
        <v>0.6</v>
      </c>
      <c r="F49" s="38">
        <f t="shared" si="145"/>
        <v>0.6</v>
      </c>
      <c r="G49" s="63">
        <f t="shared" si="145"/>
        <v>0.6</v>
      </c>
      <c r="H49" s="38">
        <f t="shared" si="145"/>
        <v>0.6</v>
      </c>
      <c r="I49" s="39">
        <f t="shared" si="145"/>
        <v>0.6</v>
      </c>
      <c r="J49" s="36" t="s">
        <v>114</v>
      </c>
      <c r="K49" s="62">
        <f>B49</f>
        <v>0.6</v>
      </c>
      <c r="L49" s="38">
        <f t="shared" si="146"/>
        <v>0.6</v>
      </c>
      <c r="M49" s="38">
        <f t="shared" si="146"/>
        <v>0.6</v>
      </c>
      <c r="N49" s="38">
        <f t="shared" si="146"/>
        <v>0.6</v>
      </c>
      <c r="O49" s="38">
        <f t="shared" si="146"/>
        <v>0.6</v>
      </c>
      <c r="P49" s="38">
        <f t="shared" si="146"/>
        <v>0.6</v>
      </c>
      <c r="Q49" s="38">
        <f t="shared" si="146"/>
        <v>0.6</v>
      </c>
      <c r="R49" s="39">
        <f t="shared" si="146"/>
        <v>0.6</v>
      </c>
      <c r="S49" s="181" t="s">
        <v>114</v>
      </c>
      <c r="T49" s="44">
        <f>K49</f>
        <v>0.6</v>
      </c>
      <c r="U49" s="38">
        <f t="shared" si="147"/>
        <v>0.6</v>
      </c>
      <c r="V49" s="38">
        <f t="shared" si="147"/>
        <v>0.6</v>
      </c>
      <c r="W49" s="38">
        <f t="shared" si="147"/>
        <v>0.6</v>
      </c>
      <c r="X49" s="38">
        <f t="shared" si="147"/>
        <v>0.6</v>
      </c>
      <c r="Y49" s="38">
        <f t="shared" si="147"/>
        <v>0.6</v>
      </c>
      <c r="Z49" s="38">
        <f t="shared" si="147"/>
        <v>0.6</v>
      </c>
      <c r="AA49" s="39">
        <f t="shared" si="147"/>
        <v>0.6</v>
      </c>
      <c r="AB49" s="36" t="s">
        <v>407</v>
      </c>
      <c r="AC49" s="44">
        <f t="shared" ref="AC49:AJ49" si="154">ROUND(B56*B48*B54^2*B53/B46*(1-AC41/B54)*B62,4)</f>
        <v>13.028</v>
      </c>
      <c r="AD49" s="38">
        <f t="shared" si="154"/>
        <v>13.028</v>
      </c>
      <c r="AE49" s="38">
        <f t="shared" si="154"/>
        <v>13.028</v>
      </c>
      <c r="AF49" s="38">
        <f t="shared" si="154"/>
        <v>13.028</v>
      </c>
      <c r="AG49" s="38">
        <f t="shared" si="154"/>
        <v>13.028</v>
      </c>
      <c r="AH49" s="38">
        <f t="shared" si="154"/>
        <v>13.028</v>
      </c>
      <c r="AI49" s="38">
        <f t="shared" si="154"/>
        <v>13.028</v>
      </c>
      <c r="AJ49" s="39">
        <f t="shared" si="154"/>
        <v>13.028</v>
      </c>
      <c r="AK49" s="69" t="s">
        <v>250</v>
      </c>
      <c r="AL49" s="44">
        <f t="shared" ref="AL49:AS49" si="155">ROUND(B48/2*B54*2*B53/B46*B62,4)</f>
        <v>0.48380000000000001</v>
      </c>
      <c r="AM49" s="38">
        <f t="shared" si="155"/>
        <v>0.48380000000000001</v>
      </c>
      <c r="AN49" s="38">
        <f t="shared" si="155"/>
        <v>0.48380000000000001</v>
      </c>
      <c r="AO49" s="38">
        <f t="shared" si="155"/>
        <v>0.48380000000000001</v>
      </c>
      <c r="AP49" s="38">
        <f t="shared" si="155"/>
        <v>0.48380000000000001</v>
      </c>
      <c r="AQ49" s="38">
        <f t="shared" si="155"/>
        <v>0.48380000000000001</v>
      </c>
      <c r="AR49" s="38">
        <f t="shared" si="155"/>
        <v>0.48380000000000001</v>
      </c>
      <c r="AS49" s="39">
        <f t="shared" si="155"/>
        <v>0.48380000000000001</v>
      </c>
      <c r="AT49" s="36" t="s">
        <v>114</v>
      </c>
      <c r="AU49" s="327">
        <f t="shared" si="150"/>
        <v>0.6</v>
      </c>
      <c r="AV49" s="328">
        <f t="shared" si="151"/>
        <v>0.6</v>
      </c>
      <c r="AW49" s="328">
        <f t="shared" si="151"/>
        <v>0.6</v>
      </c>
      <c r="AX49" s="328">
        <f t="shared" si="151"/>
        <v>0.6</v>
      </c>
      <c r="AY49" s="328">
        <f t="shared" si="151"/>
        <v>0.6</v>
      </c>
      <c r="AZ49" s="328">
        <f t="shared" si="151"/>
        <v>0.6</v>
      </c>
      <c r="BA49" s="328">
        <f t="shared" si="151"/>
        <v>0.6</v>
      </c>
      <c r="BB49" s="329">
        <f t="shared" si="151"/>
        <v>0.6</v>
      </c>
      <c r="BC49" s="36" t="s">
        <v>114</v>
      </c>
      <c r="BD49" s="327">
        <f t="shared" si="152"/>
        <v>0.6</v>
      </c>
      <c r="BE49" s="328">
        <f t="shared" si="153"/>
        <v>0.6</v>
      </c>
      <c r="BF49" s="328">
        <f t="shared" si="153"/>
        <v>0.6</v>
      </c>
      <c r="BG49" s="328">
        <f t="shared" si="153"/>
        <v>0.6</v>
      </c>
      <c r="BH49" s="328">
        <f t="shared" si="153"/>
        <v>0.6</v>
      </c>
      <c r="BI49" s="328">
        <f t="shared" si="153"/>
        <v>0.6</v>
      </c>
      <c r="BJ49" s="328">
        <f t="shared" si="153"/>
        <v>0.6</v>
      </c>
      <c r="BK49" s="329">
        <f t="shared" si="153"/>
        <v>0.6</v>
      </c>
    </row>
    <row r="50" spans="1:63" ht="15.75">
      <c r="A50" s="36" t="s">
        <v>115</v>
      </c>
      <c r="B50" s="44">
        <f>'환기량 산정'!I1492</f>
        <v>2.5000000000000001E-2</v>
      </c>
      <c r="C50" s="38">
        <f t="shared" si="145"/>
        <v>2.5000000000000001E-2</v>
      </c>
      <c r="D50" s="38">
        <f t="shared" si="145"/>
        <v>2.5000000000000001E-2</v>
      </c>
      <c r="E50" s="38">
        <f t="shared" si="145"/>
        <v>2.5000000000000001E-2</v>
      </c>
      <c r="F50" s="38">
        <f t="shared" si="145"/>
        <v>2.5000000000000001E-2</v>
      </c>
      <c r="G50" s="63">
        <f t="shared" si="145"/>
        <v>2.5000000000000001E-2</v>
      </c>
      <c r="H50" s="38">
        <f t="shared" si="145"/>
        <v>2.5000000000000001E-2</v>
      </c>
      <c r="I50" s="39">
        <f t="shared" si="145"/>
        <v>2.5000000000000001E-2</v>
      </c>
      <c r="J50" s="36" t="s">
        <v>115</v>
      </c>
      <c r="K50" s="62">
        <f>B50</f>
        <v>2.5000000000000001E-2</v>
      </c>
      <c r="L50" s="38">
        <f t="shared" si="146"/>
        <v>2.5000000000000001E-2</v>
      </c>
      <c r="M50" s="38">
        <f t="shared" si="146"/>
        <v>2.5000000000000001E-2</v>
      </c>
      <c r="N50" s="38">
        <f t="shared" si="146"/>
        <v>2.5000000000000001E-2</v>
      </c>
      <c r="O50" s="38">
        <f t="shared" si="146"/>
        <v>2.5000000000000001E-2</v>
      </c>
      <c r="P50" s="38">
        <f t="shared" si="146"/>
        <v>2.5000000000000001E-2</v>
      </c>
      <c r="Q50" s="38">
        <f t="shared" si="146"/>
        <v>2.5000000000000001E-2</v>
      </c>
      <c r="R50" s="39">
        <f t="shared" si="146"/>
        <v>2.5000000000000001E-2</v>
      </c>
      <c r="S50" s="181" t="s">
        <v>115</v>
      </c>
      <c r="T50" s="44">
        <f>K50</f>
        <v>2.5000000000000001E-2</v>
      </c>
      <c r="U50" s="38">
        <f t="shared" si="147"/>
        <v>2.5000000000000001E-2</v>
      </c>
      <c r="V50" s="38">
        <f t="shared" si="147"/>
        <v>2.5000000000000001E-2</v>
      </c>
      <c r="W50" s="38">
        <f t="shared" si="147"/>
        <v>2.5000000000000001E-2</v>
      </c>
      <c r="X50" s="38">
        <f t="shared" si="147"/>
        <v>2.5000000000000001E-2</v>
      </c>
      <c r="Y50" s="38">
        <f t="shared" si="147"/>
        <v>2.5000000000000001E-2</v>
      </c>
      <c r="Z50" s="38">
        <f t="shared" si="147"/>
        <v>2.5000000000000001E-2</v>
      </c>
      <c r="AA50" s="39">
        <f t="shared" si="147"/>
        <v>2.5000000000000001E-2</v>
      </c>
      <c r="AB50" s="181" t="s">
        <v>172</v>
      </c>
      <c r="AC50" s="37">
        <f t="shared" ref="AC50:AJ50" si="156">ROUND(AC48/AC49,2)</f>
        <v>4.87</v>
      </c>
      <c r="AD50" s="38">
        <f t="shared" si="156"/>
        <v>4.84</v>
      </c>
      <c r="AE50" s="38">
        <f t="shared" si="156"/>
        <v>4.79</v>
      </c>
      <c r="AF50" s="38">
        <f t="shared" si="156"/>
        <v>4.6900000000000004</v>
      </c>
      <c r="AG50" s="38">
        <f t="shared" si="156"/>
        <v>4.6500000000000004</v>
      </c>
      <c r="AH50" s="63">
        <f t="shared" si="156"/>
        <v>4.5599999999999996</v>
      </c>
      <c r="AI50" s="38">
        <f t="shared" si="156"/>
        <v>4.4800000000000004</v>
      </c>
      <c r="AJ50" s="39">
        <f t="shared" si="156"/>
        <v>4.4800000000000004</v>
      </c>
      <c r="AK50" s="165" t="s">
        <v>152</v>
      </c>
      <c r="AL50" s="170" t="b">
        <f t="shared" ref="AL50:AS50" si="157">IF(AL51&gt;0,ROUND((-AL53+SQRT(AL53^2-4*AL52*AL54))/(2*AL52),4))</f>
        <v>0</v>
      </c>
      <c r="AM50" s="171">
        <f t="shared" si="157"/>
        <v>1.6176999999999999</v>
      </c>
      <c r="AN50" s="171">
        <f t="shared" si="157"/>
        <v>2.7490000000000001</v>
      </c>
      <c r="AO50" s="171">
        <f t="shared" si="157"/>
        <v>3.6374</v>
      </c>
      <c r="AP50" s="171">
        <f t="shared" si="157"/>
        <v>4.4442000000000004</v>
      </c>
      <c r="AQ50" s="171">
        <f t="shared" si="157"/>
        <v>5.0750999999999999</v>
      </c>
      <c r="AR50" s="171">
        <f t="shared" si="157"/>
        <v>5.7001999999999997</v>
      </c>
      <c r="AS50" s="172">
        <f t="shared" si="157"/>
        <v>6.2906000000000004</v>
      </c>
      <c r="AT50" s="36" t="s">
        <v>115</v>
      </c>
      <c r="AU50" s="327">
        <f t="shared" si="150"/>
        <v>2.5000000000000001E-2</v>
      </c>
      <c r="AV50" s="328">
        <f t="shared" si="151"/>
        <v>2.5000000000000001E-2</v>
      </c>
      <c r="AW50" s="328">
        <f t="shared" si="151"/>
        <v>2.5000000000000001E-2</v>
      </c>
      <c r="AX50" s="328">
        <f t="shared" si="151"/>
        <v>2.5000000000000001E-2</v>
      </c>
      <c r="AY50" s="328">
        <f t="shared" si="151"/>
        <v>2.5000000000000001E-2</v>
      </c>
      <c r="AZ50" s="328">
        <f t="shared" si="151"/>
        <v>2.5000000000000001E-2</v>
      </c>
      <c r="BA50" s="328">
        <f t="shared" si="151"/>
        <v>2.5000000000000001E-2</v>
      </c>
      <c r="BB50" s="329">
        <f t="shared" si="151"/>
        <v>2.5000000000000001E-2</v>
      </c>
      <c r="BC50" s="36" t="s">
        <v>115</v>
      </c>
      <c r="BD50" s="327">
        <f t="shared" si="152"/>
        <v>2.5000000000000001E-2</v>
      </c>
      <c r="BE50" s="328">
        <f t="shared" si="153"/>
        <v>2.5000000000000001E-2</v>
      </c>
      <c r="BF50" s="328">
        <f t="shared" si="153"/>
        <v>2.5000000000000001E-2</v>
      </c>
      <c r="BG50" s="328">
        <f t="shared" si="153"/>
        <v>2.5000000000000001E-2</v>
      </c>
      <c r="BH50" s="328">
        <f t="shared" si="153"/>
        <v>2.5000000000000001E-2</v>
      </c>
      <c r="BI50" s="328">
        <f t="shared" si="153"/>
        <v>2.5000000000000001E-2</v>
      </c>
      <c r="BJ50" s="328">
        <f t="shared" si="153"/>
        <v>2.5000000000000001E-2</v>
      </c>
      <c r="BK50" s="329">
        <f t="shared" si="153"/>
        <v>2.5000000000000001E-2</v>
      </c>
    </row>
    <row r="51" spans="1:63" ht="16.5" thickBot="1">
      <c r="A51" s="36" t="s">
        <v>91</v>
      </c>
      <c r="B51" s="44">
        <f>'환기량 산정'!I1489</f>
        <v>7.8949999999999996</v>
      </c>
      <c r="C51" s="38">
        <f t="shared" si="145"/>
        <v>7.8949999999999996</v>
      </c>
      <c r="D51" s="38">
        <f t="shared" si="145"/>
        <v>7.8949999999999996</v>
      </c>
      <c r="E51" s="38">
        <f t="shared" si="145"/>
        <v>7.8949999999999996</v>
      </c>
      <c r="F51" s="38">
        <f t="shared" si="145"/>
        <v>7.8949999999999996</v>
      </c>
      <c r="G51" s="63">
        <f t="shared" si="145"/>
        <v>7.8949999999999996</v>
      </c>
      <c r="H51" s="38">
        <f t="shared" si="145"/>
        <v>7.8949999999999996</v>
      </c>
      <c r="I51" s="39">
        <f t="shared" si="145"/>
        <v>7.8949999999999996</v>
      </c>
      <c r="J51" s="36" t="s">
        <v>91</v>
      </c>
      <c r="K51" s="62">
        <f>B51</f>
        <v>7.8949999999999996</v>
      </c>
      <c r="L51" s="38">
        <f t="shared" si="146"/>
        <v>7.8949999999999996</v>
      </c>
      <c r="M51" s="38">
        <f t="shared" si="146"/>
        <v>7.8949999999999996</v>
      </c>
      <c r="N51" s="38">
        <f t="shared" si="146"/>
        <v>7.8949999999999996</v>
      </c>
      <c r="O51" s="38">
        <f t="shared" si="146"/>
        <v>7.8949999999999996</v>
      </c>
      <c r="P51" s="38">
        <f t="shared" si="146"/>
        <v>7.8949999999999996</v>
      </c>
      <c r="Q51" s="38">
        <f t="shared" si="146"/>
        <v>7.8949999999999996</v>
      </c>
      <c r="R51" s="39">
        <f t="shared" si="146"/>
        <v>7.8949999999999996</v>
      </c>
      <c r="S51" s="181" t="s">
        <v>91</v>
      </c>
      <c r="T51" s="44">
        <f>K51</f>
        <v>7.8949999999999996</v>
      </c>
      <c r="U51" s="38">
        <f t="shared" si="147"/>
        <v>7.8949999999999996</v>
      </c>
      <c r="V51" s="38">
        <f t="shared" si="147"/>
        <v>7.8949999999999996</v>
      </c>
      <c r="W51" s="38">
        <f t="shared" si="147"/>
        <v>7.8949999999999996</v>
      </c>
      <c r="X51" s="38">
        <f t="shared" si="147"/>
        <v>7.8949999999999996</v>
      </c>
      <c r="Y51" s="38">
        <f t="shared" si="147"/>
        <v>7.8949999999999996</v>
      </c>
      <c r="Z51" s="38">
        <f t="shared" si="147"/>
        <v>7.8949999999999996</v>
      </c>
      <c r="AA51" s="39">
        <f t="shared" si="147"/>
        <v>7.8949999999999996</v>
      </c>
      <c r="AB51" s="194" t="s">
        <v>173</v>
      </c>
      <c r="AC51" s="50">
        <f t="shared" ref="AC51:AJ51" si="158">IF(AC50&lt;0,0,IF(AC50&gt;0,ROUNDUP(AC50,0)))</f>
        <v>5</v>
      </c>
      <c r="AD51" s="51">
        <f t="shared" si="158"/>
        <v>5</v>
      </c>
      <c r="AE51" s="51">
        <f t="shared" si="158"/>
        <v>5</v>
      </c>
      <c r="AF51" s="51">
        <f t="shared" si="158"/>
        <v>5</v>
      </c>
      <c r="AG51" s="51">
        <f t="shared" si="158"/>
        <v>5</v>
      </c>
      <c r="AH51" s="51">
        <f t="shared" si="158"/>
        <v>5</v>
      </c>
      <c r="AI51" s="51">
        <f t="shared" si="158"/>
        <v>5</v>
      </c>
      <c r="AJ51" s="52">
        <f t="shared" si="158"/>
        <v>5</v>
      </c>
      <c r="AK51" s="166" t="s">
        <v>153</v>
      </c>
      <c r="AL51" s="44">
        <f t="shared" ref="AL51:AS51" si="159">ROUND(AL53^2-4*AL52*AL54,4)</f>
        <v>-228.5849</v>
      </c>
      <c r="AM51" s="38">
        <f t="shared" si="159"/>
        <v>429.1354</v>
      </c>
      <c r="AN51" s="38">
        <f t="shared" si="159"/>
        <v>782.92719999999997</v>
      </c>
      <c r="AO51" s="38">
        <f t="shared" si="159"/>
        <v>1119.0835</v>
      </c>
      <c r="AP51" s="38">
        <f t="shared" si="159"/>
        <v>1486.5201</v>
      </c>
      <c r="AQ51" s="38">
        <f t="shared" si="159"/>
        <v>1762.0264999999999</v>
      </c>
      <c r="AR51" s="38">
        <f t="shared" si="159"/>
        <v>2083.2368999999999</v>
      </c>
      <c r="AS51" s="39">
        <f t="shared" si="159"/>
        <v>2411.7921999999999</v>
      </c>
      <c r="AT51" s="36" t="s">
        <v>91</v>
      </c>
      <c r="AU51" s="327">
        <f t="shared" si="150"/>
        <v>7.8949999999999996</v>
      </c>
      <c r="AV51" s="328">
        <f t="shared" si="151"/>
        <v>7.8949999999999996</v>
      </c>
      <c r="AW51" s="328">
        <f t="shared" si="151"/>
        <v>7.8949999999999996</v>
      </c>
      <c r="AX51" s="328">
        <f t="shared" si="151"/>
        <v>7.8949999999999996</v>
      </c>
      <c r="AY51" s="328">
        <f t="shared" si="151"/>
        <v>7.8949999999999996</v>
      </c>
      <c r="AZ51" s="328">
        <f t="shared" si="151"/>
        <v>7.8949999999999996</v>
      </c>
      <c r="BA51" s="328">
        <f t="shared" si="151"/>
        <v>7.8949999999999996</v>
      </c>
      <c r="BB51" s="329">
        <f t="shared" si="151"/>
        <v>7.8949999999999996</v>
      </c>
      <c r="BC51" s="36" t="s">
        <v>91</v>
      </c>
      <c r="BD51" s="327">
        <f t="shared" si="152"/>
        <v>7.8949999999999996</v>
      </c>
      <c r="BE51" s="328">
        <f t="shared" si="153"/>
        <v>7.8949999999999996</v>
      </c>
      <c r="BF51" s="328">
        <f t="shared" si="153"/>
        <v>7.8949999999999996</v>
      </c>
      <c r="BG51" s="328">
        <f t="shared" si="153"/>
        <v>7.8949999999999996</v>
      </c>
      <c r="BH51" s="328">
        <f t="shared" si="153"/>
        <v>7.8949999999999996</v>
      </c>
      <c r="BI51" s="328">
        <f t="shared" si="153"/>
        <v>7.8949999999999996</v>
      </c>
      <c r="BJ51" s="328">
        <f t="shared" si="153"/>
        <v>7.8949999999999996</v>
      </c>
      <c r="BK51" s="329">
        <f t="shared" si="153"/>
        <v>7.8949999999999996</v>
      </c>
    </row>
    <row r="52" spans="1:63" ht="14.25" thickBot="1">
      <c r="A52" s="36" t="s">
        <v>116</v>
      </c>
      <c r="B52" s="44">
        <f>'환기량 산정'!I1486</f>
        <v>1.0750999999999999</v>
      </c>
      <c r="C52" s="38">
        <f t="shared" si="145"/>
        <v>1.0750999999999999</v>
      </c>
      <c r="D52" s="38">
        <f t="shared" si="145"/>
        <v>1.0750999999999999</v>
      </c>
      <c r="E52" s="38">
        <f t="shared" si="145"/>
        <v>1.0750999999999999</v>
      </c>
      <c r="F52" s="38">
        <f t="shared" si="145"/>
        <v>1.0750999999999999</v>
      </c>
      <c r="G52" s="63">
        <f t="shared" si="145"/>
        <v>1.0750999999999999</v>
      </c>
      <c r="H52" s="38">
        <f t="shared" si="145"/>
        <v>1.0750999999999999</v>
      </c>
      <c r="I52" s="39">
        <f t="shared" si="145"/>
        <v>1.0750999999999999</v>
      </c>
      <c r="J52" s="36" t="s">
        <v>116</v>
      </c>
      <c r="K52" s="62">
        <f>B52</f>
        <v>1.0750999999999999</v>
      </c>
      <c r="L52" s="38">
        <f t="shared" si="146"/>
        <v>1.0750999999999999</v>
      </c>
      <c r="M52" s="38">
        <f t="shared" si="146"/>
        <v>1.0750999999999999</v>
      </c>
      <c r="N52" s="38">
        <f t="shared" si="146"/>
        <v>1.0750999999999999</v>
      </c>
      <c r="O52" s="38">
        <f t="shared" si="146"/>
        <v>1.0750999999999999</v>
      </c>
      <c r="P52" s="38">
        <f t="shared" si="146"/>
        <v>1.0750999999999999</v>
      </c>
      <c r="Q52" s="38">
        <f t="shared" si="146"/>
        <v>1.0750999999999999</v>
      </c>
      <c r="R52" s="39">
        <f t="shared" si="146"/>
        <v>1.0750999999999999</v>
      </c>
      <c r="S52" s="181" t="s">
        <v>116</v>
      </c>
      <c r="T52" s="44">
        <f>K52</f>
        <v>1.0750999999999999</v>
      </c>
      <c r="U52" s="38">
        <f t="shared" si="147"/>
        <v>1.0750999999999999</v>
      </c>
      <c r="V52" s="38">
        <f t="shared" si="147"/>
        <v>1.0750999999999999</v>
      </c>
      <c r="W52" s="38">
        <f t="shared" si="147"/>
        <v>1.0750999999999999</v>
      </c>
      <c r="X52" s="38">
        <f t="shared" si="147"/>
        <v>1.0750999999999999</v>
      </c>
      <c r="Y52" s="38">
        <f t="shared" si="147"/>
        <v>1.0750999999999999</v>
      </c>
      <c r="Z52" s="38">
        <f t="shared" si="147"/>
        <v>1.0750999999999999</v>
      </c>
      <c r="AA52" s="39">
        <f t="shared" si="147"/>
        <v>1.0750999999999999</v>
      </c>
      <c r="AB52" s="195" t="str">
        <f>CONCATENATE("예비용 ",AC54," 포함")</f>
        <v>예비용 2 포함</v>
      </c>
      <c r="AC52" s="132">
        <f t="shared" ref="AC52:AJ52" si="160">AC51+$AC$54</f>
        <v>7</v>
      </c>
      <c r="AD52" s="133">
        <f t="shared" si="160"/>
        <v>7</v>
      </c>
      <c r="AE52" s="133">
        <f t="shared" si="160"/>
        <v>7</v>
      </c>
      <c r="AF52" s="133">
        <f t="shared" si="160"/>
        <v>7</v>
      </c>
      <c r="AG52" s="133">
        <f t="shared" si="160"/>
        <v>7</v>
      </c>
      <c r="AH52" s="133">
        <f t="shared" si="160"/>
        <v>7</v>
      </c>
      <c r="AI52" s="133">
        <f t="shared" si="160"/>
        <v>7</v>
      </c>
      <c r="AJ52" s="134">
        <f t="shared" si="160"/>
        <v>7</v>
      </c>
      <c r="AK52" s="166" t="s">
        <v>125</v>
      </c>
      <c r="AL52" s="44">
        <f>ROUND(AL47-AL48,4)</f>
        <v>4.7895000000000003</v>
      </c>
      <c r="AM52" s="38">
        <f t="shared" ref="AM52:AS52" si="161">ROUND(AM47-AM48,4)</f>
        <v>1.1504000000000001</v>
      </c>
      <c r="AN52" s="38">
        <f t="shared" si="161"/>
        <v>1.4912000000000001</v>
      </c>
      <c r="AO52" s="38">
        <f t="shared" si="161"/>
        <v>1.7441</v>
      </c>
      <c r="AP52" s="38">
        <f t="shared" si="161"/>
        <v>1.8979999999999999</v>
      </c>
      <c r="AQ52" s="38">
        <f t="shared" si="161"/>
        <v>2.0409000000000002</v>
      </c>
      <c r="AR52" s="38">
        <f t="shared" si="161"/>
        <v>2.1288999999999998</v>
      </c>
      <c r="AS52" s="39">
        <f t="shared" si="161"/>
        <v>2.1949000000000001</v>
      </c>
      <c r="AT52" s="36" t="s">
        <v>116</v>
      </c>
      <c r="AU52" s="327">
        <f t="shared" si="150"/>
        <v>1.0750999999999999</v>
      </c>
      <c r="AV52" s="328">
        <f t="shared" si="151"/>
        <v>1.0750999999999999</v>
      </c>
      <c r="AW52" s="328">
        <f t="shared" si="151"/>
        <v>1.0750999999999999</v>
      </c>
      <c r="AX52" s="328">
        <f t="shared" si="151"/>
        <v>1.0750999999999999</v>
      </c>
      <c r="AY52" s="328">
        <f t="shared" si="151"/>
        <v>1.0750999999999999</v>
      </c>
      <c r="AZ52" s="328">
        <f t="shared" si="151"/>
        <v>1.0750999999999999</v>
      </c>
      <c r="BA52" s="328">
        <f t="shared" si="151"/>
        <v>1.0750999999999999</v>
      </c>
      <c r="BB52" s="329">
        <f t="shared" si="151"/>
        <v>1.0750999999999999</v>
      </c>
      <c r="BC52" s="36" t="s">
        <v>116</v>
      </c>
      <c r="BD52" s="327">
        <f t="shared" si="152"/>
        <v>1.0750999999999999</v>
      </c>
      <c r="BE52" s="328">
        <f t="shared" si="153"/>
        <v>1.0750999999999999</v>
      </c>
      <c r="BF52" s="328">
        <f t="shared" si="153"/>
        <v>1.0750999999999999</v>
      </c>
      <c r="BG52" s="328">
        <f t="shared" si="153"/>
        <v>1.0750999999999999</v>
      </c>
      <c r="BH52" s="328">
        <f t="shared" si="153"/>
        <v>1.0750999999999999</v>
      </c>
      <c r="BI52" s="328">
        <f t="shared" si="153"/>
        <v>1.0750999999999999</v>
      </c>
      <c r="BJ52" s="328">
        <f t="shared" si="153"/>
        <v>1.0750999999999999</v>
      </c>
      <c r="BK52" s="329">
        <f t="shared" si="153"/>
        <v>1.0750999999999999</v>
      </c>
    </row>
    <row r="53" spans="1:63">
      <c r="A53" s="36" t="s">
        <v>117</v>
      </c>
      <c r="B53" s="44">
        <f t="shared" ref="B53:I53" si="162">IF($C$3=630,0.27,IF($C$3=710,0.396,IF($C$3=1030,0.83,IF($C$3=1250,1.227,IF($C$3=1530,1.83)))))</f>
        <v>0.83</v>
      </c>
      <c r="C53" s="38">
        <f t="shared" si="162"/>
        <v>0.83</v>
      </c>
      <c r="D53" s="38">
        <f t="shared" si="162"/>
        <v>0.83</v>
      </c>
      <c r="E53" s="38">
        <f t="shared" si="162"/>
        <v>0.83</v>
      </c>
      <c r="F53" s="38">
        <f t="shared" si="162"/>
        <v>0.83</v>
      </c>
      <c r="G53" s="63">
        <f t="shared" si="162"/>
        <v>0.83</v>
      </c>
      <c r="H53" s="38">
        <f t="shared" si="162"/>
        <v>0.83</v>
      </c>
      <c r="I53" s="39">
        <f t="shared" si="162"/>
        <v>0.83</v>
      </c>
      <c r="J53" s="36" t="s">
        <v>117</v>
      </c>
      <c r="K53" s="62">
        <f t="shared" ref="K53:R53" si="163">IF($C$3=630,0.27,IF($C$3=710,0.396,IF($C$3=1030,0.83,IF($C$3=1250,1.227,IF($C$3=1530,1.83)))))</f>
        <v>0.83</v>
      </c>
      <c r="L53" s="38">
        <f t="shared" si="163"/>
        <v>0.83</v>
      </c>
      <c r="M53" s="38">
        <f t="shared" si="163"/>
        <v>0.83</v>
      </c>
      <c r="N53" s="38">
        <f t="shared" si="163"/>
        <v>0.83</v>
      </c>
      <c r="O53" s="38">
        <f t="shared" si="163"/>
        <v>0.83</v>
      </c>
      <c r="P53" s="38">
        <f t="shared" si="163"/>
        <v>0.83</v>
      </c>
      <c r="Q53" s="38">
        <f t="shared" si="163"/>
        <v>0.83</v>
      </c>
      <c r="R53" s="39">
        <f t="shared" si="163"/>
        <v>0.83</v>
      </c>
      <c r="S53" s="181" t="s">
        <v>117</v>
      </c>
      <c r="T53" s="44">
        <f t="shared" ref="T53:AA53" si="164">IF($C$3=630,0.27,IF($C$3=710,0.396,IF($C$3=1030,0.83,IF($C$3=1250,1.227,IF($C$3=1530,1.83)))))</f>
        <v>0.83</v>
      </c>
      <c r="U53" s="38">
        <f t="shared" si="164"/>
        <v>0.83</v>
      </c>
      <c r="V53" s="38">
        <f t="shared" si="164"/>
        <v>0.83</v>
      </c>
      <c r="W53" s="38">
        <f t="shared" si="164"/>
        <v>0.83</v>
      </c>
      <c r="X53" s="38">
        <f t="shared" si="164"/>
        <v>0.83</v>
      </c>
      <c r="Y53" s="38">
        <f t="shared" si="164"/>
        <v>0.83</v>
      </c>
      <c r="Z53" s="38">
        <f t="shared" si="164"/>
        <v>0.83</v>
      </c>
      <c r="AA53" s="39">
        <f t="shared" si="164"/>
        <v>0.83</v>
      </c>
      <c r="AJ53" s="72"/>
      <c r="AK53" s="166" t="s">
        <v>265</v>
      </c>
      <c r="AL53" s="44">
        <f t="shared" ref="AL53:AS53" si="165">ROUND(2*AL48*B41+AL49*AL46,4)</f>
        <v>-11.252800000000001</v>
      </c>
      <c r="AM53" s="38">
        <f t="shared" si="165"/>
        <v>16.993600000000001</v>
      </c>
      <c r="AN53" s="38">
        <f t="shared" si="165"/>
        <v>19.7821</v>
      </c>
      <c r="AO53" s="38">
        <f t="shared" si="165"/>
        <v>20.764600000000002</v>
      </c>
      <c r="AP53" s="38">
        <f t="shared" si="165"/>
        <v>21.685099999999998</v>
      </c>
      <c r="AQ53" s="38">
        <f t="shared" si="165"/>
        <v>21.260899999999999</v>
      </c>
      <c r="AR53" s="38">
        <f t="shared" si="165"/>
        <v>21.372299999999999</v>
      </c>
      <c r="AS53" s="39">
        <f t="shared" si="165"/>
        <v>21.4956</v>
      </c>
      <c r="AT53" s="36" t="s">
        <v>117</v>
      </c>
      <c r="AU53" s="327">
        <f t="shared" si="150"/>
        <v>0.83</v>
      </c>
      <c r="AV53" s="328">
        <f t="shared" ref="AV53:BB53" si="166">IF($C$3=630,0.27,IF($C$3=710,0.396,IF($C$3=1030,0.83,IF($C$3=1250,1.227,IF($C$3=1530,1.83)))))</f>
        <v>0.83</v>
      </c>
      <c r="AW53" s="328">
        <f t="shared" si="166"/>
        <v>0.83</v>
      </c>
      <c r="AX53" s="328">
        <f t="shared" si="166"/>
        <v>0.83</v>
      </c>
      <c r="AY53" s="328">
        <f t="shared" si="166"/>
        <v>0.83</v>
      </c>
      <c r="AZ53" s="328">
        <f t="shared" si="166"/>
        <v>0.83</v>
      </c>
      <c r="BA53" s="328">
        <f t="shared" si="166"/>
        <v>0.83</v>
      </c>
      <c r="BB53" s="329">
        <f t="shared" si="166"/>
        <v>0.83</v>
      </c>
      <c r="BC53" s="36" t="s">
        <v>117</v>
      </c>
      <c r="BD53" s="327">
        <f t="shared" si="152"/>
        <v>0.83</v>
      </c>
      <c r="BE53" s="328">
        <f t="shared" ref="BE53:BK53" si="167">IF($C$3=630,0.27,IF($C$3=710,0.396,IF($C$3=1030,0.83,IF($C$3=1250,1.227,IF($C$3=1530,1.83)))))</f>
        <v>0.83</v>
      </c>
      <c r="BF53" s="328">
        <f t="shared" si="167"/>
        <v>0.83</v>
      </c>
      <c r="BG53" s="328">
        <f t="shared" si="167"/>
        <v>0.83</v>
      </c>
      <c r="BH53" s="328">
        <f t="shared" si="167"/>
        <v>0.83</v>
      </c>
      <c r="BI53" s="328">
        <f t="shared" si="167"/>
        <v>0.83</v>
      </c>
      <c r="BJ53" s="328">
        <f t="shared" si="167"/>
        <v>0.83</v>
      </c>
      <c r="BK53" s="329">
        <f t="shared" si="167"/>
        <v>0.83</v>
      </c>
    </row>
    <row r="54" spans="1:63" ht="15.75">
      <c r="A54" s="36" t="s">
        <v>118</v>
      </c>
      <c r="B54" s="62">
        <f>B20</f>
        <v>30</v>
      </c>
      <c r="C54" s="38">
        <f t="shared" ref="C54:I54" si="168">B54</f>
        <v>30</v>
      </c>
      <c r="D54" s="38">
        <f t="shared" si="168"/>
        <v>30</v>
      </c>
      <c r="E54" s="38">
        <f t="shared" si="168"/>
        <v>30</v>
      </c>
      <c r="F54" s="38">
        <f t="shared" si="168"/>
        <v>30</v>
      </c>
      <c r="G54" s="63">
        <f t="shared" si="168"/>
        <v>30</v>
      </c>
      <c r="H54" s="38">
        <f t="shared" si="168"/>
        <v>30</v>
      </c>
      <c r="I54" s="39">
        <f t="shared" si="168"/>
        <v>30</v>
      </c>
      <c r="J54" s="36" t="s">
        <v>118</v>
      </c>
      <c r="K54" s="62">
        <f>B54</f>
        <v>30</v>
      </c>
      <c r="L54" s="38">
        <f t="shared" ref="L54:R54" si="169">K54</f>
        <v>30</v>
      </c>
      <c r="M54" s="38">
        <f t="shared" si="169"/>
        <v>30</v>
      </c>
      <c r="N54" s="38">
        <f t="shared" si="169"/>
        <v>30</v>
      </c>
      <c r="O54" s="38">
        <f t="shared" si="169"/>
        <v>30</v>
      </c>
      <c r="P54" s="38">
        <f t="shared" si="169"/>
        <v>30</v>
      </c>
      <c r="Q54" s="38">
        <f t="shared" si="169"/>
        <v>30</v>
      </c>
      <c r="R54" s="39">
        <f t="shared" si="169"/>
        <v>30</v>
      </c>
      <c r="S54" s="181" t="s">
        <v>118</v>
      </c>
      <c r="T54" s="62">
        <f>K54</f>
        <v>30</v>
      </c>
      <c r="U54" s="38">
        <f t="shared" ref="U54:AA54" si="170">T54</f>
        <v>30</v>
      </c>
      <c r="V54" s="38">
        <f t="shared" si="170"/>
        <v>30</v>
      </c>
      <c r="W54" s="38">
        <f t="shared" si="170"/>
        <v>30</v>
      </c>
      <c r="X54" s="38">
        <f t="shared" si="170"/>
        <v>30</v>
      </c>
      <c r="Y54" s="38">
        <f t="shared" si="170"/>
        <v>30</v>
      </c>
      <c r="Z54" s="38">
        <f t="shared" si="170"/>
        <v>30</v>
      </c>
      <c r="AA54" s="39">
        <f t="shared" si="170"/>
        <v>30</v>
      </c>
      <c r="AB54" s="12" t="s">
        <v>221</v>
      </c>
      <c r="AC54" s="135">
        <f>AC20</f>
        <v>2</v>
      </c>
      <c r="AD54" s="3" t="s">
        <v>213</v>
      </c>
      <c r="AE54" s="7"/>
      <c r="AF54" s="7"/>
      <c r="AG54" s="7"/>
      <c r="AH54" s="7"/>
      <c r="AI54" s="7"/>
      <c r="AJ54" s="7"/>
      <c r="AK54" s="166" t="s">
        <v>252</v>
      </c>
      <c r="AL54" s="44">
        <f t="shared" ref="AL54:AS54" si="171">ROUND(AL47*B44^2-AL48*B41^2-AL49*B54*AL46,4)</f>
        <v>18.5411</v>
      </c>
      <c r="AM54" s="38">
        <f t="shared" si="171"/>
        <v>-30.500900000000001</v>
      </c>
      <c r="AN54" s="38">
        <f t="shared" si="171"/>
        <v>-65.6511</v>
      </c>
      <c r="AO54" s="38">
        <f t="shared" si="171"/>
        <v>-98.605999999999995</v>
      </c>
      <c r="AP54" s="38">
        <f t="shared" si="171"/>
        <v>-133.86150000000001</v>
      </c>
      <c r="AQ54" s="38">
        <f t="shared" si="171"/>
        <v>-160.46850000000001</v>
      </c>
      <c r="AR54" s="38">
        <f t="shared" si="171"/>
        <v>-190.99789999999999</v>
      </c>
      <c r="AS54" s="39">
        <f t="shared" si="171"/>
        <v>-222.0752</v>
      </c>
      <c r="AT54" s="36" t="s">
        <v>118</v>
      </c>
      <c r="AU54" s="327">
        <f t="shared" si="150"/>
        <v>30</v>
      </c>
      <c r="AV54" s="328">
        <f t="shared" ref="AV54:BB54" si="172">AU54</f>
        <v>30</v>
      </c>
      <c r="AW54" s="328">
        <f t="shared" si="172"/>
        <v>30</v>
      </c>
      <c r="AX54" s="328">
        <f t="shared" si="172"/>
        <v>30</v>
      </c>
      <c r="AY54" s="328">
        <f t="shared" si="172"/>
        <v>30</v>
      </c>
      <c r="AZ54" s="328">
        <f t="shared" si="172"/>
        <v>30</v>
      </c>
      <c r="BA54" s="328">
        <f t="shared" si="172"/>
        <v>30</v>
      </c>
      <c r="BB54" s="329">
        <f t="shared" si="172"/>
        <v>30</v>
      </c>
      <c r="BC54" s="36" t="s">
        <v>118</v>
      </c>
      <c r="BD54" s="327">
        <f t="shared" si="152"/>
        <v>30</v>
      </c>
      <c r="BE54" s="328">
        <f t="shared" ref="BE54:BK54" si="173">BD54</f>
        <v>30</v>
      </c>
      <c r="BF54" s="328">
        <f t="shared" si="173"/>
        <v>30</v>
      </c>
      <c r="BG54" s="328">
        <f t="shared" si="173"/>
        <v>30</v>
      </c>
      <c r="BH54" s="328">
        <f t="shared" si="173"/>
        <v>30</v>
      </c>
      <c r="BI54" s="328">
        <f t="shared" si="173"/>
        <v>30</v>
      </c>
      <c r="BJ54" s="328">
        <f t="shared" si="173"/>
        <v>30</v>
      </c>
      <c r="BK54" s="329">
        <f t="shared" si="173"/>
        <v>30</v>
      </c>
    </row>
    <row r="55" spans="1:63">
      <c r="A55" s="36" t="s">
        <v>119</v>
      </c>
      <c r="B55" s="44">
        <f t="shared" ref="B55:I55" si="174">ROUND(B45*B47/3600/B41+0.4,0)</f>
        <v>192</v>
      </c>
      <c r="C55" s="38">
        <f t="shared" si="174"/>
        <v>139</v>
      </c>
      <c r="D55" s="38">
        <f t="shared" si="174"/>
        <v>108</v>
      </c>
      <c r="E55" s="38">
        <f t="shared" si="174"/>
        <v>85</v>
      </c>
      <c r="F55" s="38">
        <f t="shared" si="174"/>
        <v>71</v>
      </c>
      <c r="G55" s="63">
        <f t="shared" si="174"/>
        <v>58</v>
      </c>
      <c r="H55" s="38">
        <f t="shared" si="174"/>
        <v>50</v>
      </c>
      <c r="I55" s="39">
        <f t="shared" si="174"/>
        <v>44</v>
      </c>
      <c r="J55" s="36" t="s">
        <v>119</v>
      </c>
      <c r="K55" s="62">
        <f t="shared" ref="K55:R55" si="175">ROUND(K45*K47/3600/K41+0.4,0)</f>
        <v>192</v>
      </c>
      <c r="L55" s="38">
        <f t="shared" si="175"/>
        <v>139</v>
      </c>
      <c r="M55" s="38">
        <f t="shared" si="175"/>
        <v>108</v>
      </c>
      <c r="N55" s="38">
        <f t="shared" si="175"/>
        <v>85</v>
      </c>
      <c r="O55" s="38">
        <f t="shared" si="175"/>
        <v>71</v>
      </c>
      <c r="P55" s="38">
        <f t="shared" si="175"/>
        <v>58</v>
      </c>
      <c r="Q55" s="38">
        <f t="shared" si="175"/>
        <v>50</v>
      </c>
      <c r="R55" s="39">
        <f t="shared" si="175"/>
        <v>44</v>
      </c>
      <c r="S55" s="181" t="s">
        <v>119</v>
      </c>
      <c r="T55" s="44">
        <f t="shared" ref="T55:AA55" si="176">ROUND(T45*T47/3600/T41+0.4,0)</f>
        <v>192</v>
      </c>
      <c r="U55" s="38">
        <f t="shared" si="176"/>
        <v>139</v>
      </c>
      <c r="V55" s="38">
        <f t="shared" si="176"/>
        <v>108</v>
      </c>
      <c r="W55" s="38">
        <f t="shared" si="176"/>
        <v>85</v>
      </c>
      <c r="X55" s="38">
        <f t="shared" si="176"/>
        <v>71</v>
      </c>
      <c r="Y55" s="38">
        <f t="shared" si="176"/>
        <v>58</v>
      </c>
      <c r="Z55" s="38">
        <f t="shared" si="176"/>
        <v>50</v>
      </c>
      <c r="AA55" s="39">
        <f t="shared" si="176"/>
        <v>44</v>
      </c>
      <c r="AJ55" s="7"/>
      <c r="AK55" s="167" t="s">
        <v>126</v>
      </c>
      <c r="AL55" s="170">
        <f t="shared" ref="AL55:AS55" si="177">ROUND(AL50*B46,4)</f>
        <v>0</v>
      </c>
      <c r="AM55" s="171">
        <f t="shared" si="177"/>
        <v>94.914000000000001</v>
      </c>
      <c r="AN55" s="171">
        <f t="shared" si="177"/>
        <v>161.28980000000001</v>
      </c>
      <c r="AO55" s="171">
        <f t="shared" si="177"/>
        <v>213.41409999999999</v>
      </c>
      <c r="AP55" s="171">
        <f t="shared" si="177"/>
        <v>260.75080000000003</v>
      </c>
      <c r="AQ55" s="171">
        <f t="shared" si="177"/>
        <v>297.76710000000003</v>
      </c>
      <c r="AR55" s="171">
        <f t="shared" si="177"/>
        <v>334.44299999999998</v>
      </c>
      <c r="AS55" s="172">
        <f t="shared" si="177"/>
        <v>369.0831</v>
      </c>
      <c r="AT55" s="36" t="s">
        <v>119</v>
      </c>
      <c r="AU55" s="327">
        <f t="shared" si="150"/>
        <v>192</v>
      </c>
      <c r="AV55" s="328">
        <f t="shared" ref="AV55:BB55" si="178">ROUND(AV45*AV47/3600/AV41+0.4,0)</f>
        <v>139</v>
      </c>
      <c r="AW55" s="328">
        <f t="shared" si="178"/>
        <v>108</v>
      </c>
      <c r="AX55" s="328">
        <f t="shared" si="178"/>
        <v>85</v>
      </c>
      <c r="AY55" s="328">
        <f t="shared" si="178"/>
        <v>71</v>
      </c>
      <c r="AZ55" s="328">
        <f t="shared" si="178"/>
        <v>58</v>
      </c>
      <c r="BA55" s="328">
        <f t="shared" si="178"/>
        <v>50</v>
      </c>
      <c r="BB55" s="329">
        <f t="shared" si="178"/>
        <v>44</v>
      </c>
      <c r="BC55" s="36" t="s">
        <v>119</v>
      </c>
      <c r="BD55" s="327">
        <f t="shared" si="152"/>
        <v>192</v>
      </c>
      <c r="BE55" s="328">
        <f t="shared" ref="BE55:BK55" si="179">ROUND(BE45*BE47/3600/BE41+0.4,0)</f>
        <v>139</v>
      </c>
      <c r="BF55" s="328">
        <f t="shared" si="179"/>
        <v>108</v>
      </c>
      <c r="BG55" s="328">
        <f t="shared" si="179"/>
        <v>85</v>
      </c>
      <c r="BH55" s="328">
        <f t="shared" si="179"/>
        <v>71</v>
      </c>
      <c r="BI55" s="328">
        <f t="shared" si="179"/>
        <v>58</v>
      </c>
      <c r="BJ55" s="328">
        <f t="shared" si="179"/>
        <v>50</v>
      </c>
      <c r="BK55" s="329">
        <f t="shared" si="179"/>
        <v>44</v>
      </c>
    </row>
    <row r="56" spans="1:63">
      <c r="A56" s="36" t="s">
        <v>343</v>
      </c>
      <c r="B56" s="44">
        <f>IF(B43&lt;4,0.99,IF(B43&lt;8,0.92,0.9))</f>
        <v>0.99</v>
      </c>
      <c r="C56" s="38">
        <f t="shared" ref="C56:I56" si="180">IF(C43&lt;4,0.99,IF(C43&lt;8,0.92,0.9))</f>
        <v>0.99</v>
      </c>
      <c r="D56" s="38">
        <f t="shared" si="180"/>
        <v>0.99</v>
      </c>
      <c r="E56" s="38">
        <f t="shared" si="180"/>
        <v>0.99</v>
      </c>
      <c r="F56" s="38">
        <f t="shared" si="180"/>
        <v>0.99</v>
      </c>
      <c r="G56" s="38">
        <f t="shared" si="180"/>
        <v>0.99</v>
      </c>
      <c r="H56" s="38">
        <f t="shared" si="180"/>
        <v>0.99</v>
      </c>
      <c r="I56" s="39">
        <f t="shared" si="180"/>
        <v>0.99</v>
      </c>
      <c r="J56" s="36" t="s">
        <v>343</v>
      </c>
      <c r="K56" s="44">
        <f>IF(K43&lt;4,0.99,IF(K43&lt;8,0.92,0.9))</f>
        <v>0.99</v>
      </c>
      <c r="L56" s="38">
        <f t="shared" ref="L56:R56" si="181">IF(L43&lt;4,0.99,IF(L43&lt;8,0.92,0.9))</f>
        <v>0.99</v>
      </c>
      <c r="M56" s="38">
        <f t="shared" si="181"/>
        <v>0.99</v>
      </c>
      <c r="N56" s="38">
        <f t="shared" si="181"/>
        <v>0.99</v>
      </c>
      <c r="O56" s="38">
        <f t="shared" si="181"/>
        <v>0.99</v>
      </c>
      <c r="P56" s="38">
        <f t="shared" si="181"/>
        <v>0.99</v>
      </c>
      <c r="Q56" s="38">
        <f t="shared" si="181"/>
        <v>0.99</v>
      </c>
      <c r="R56" s="39">
        <f t="shared" si="181"/>
        <v>0.99</v>
      </c>
      <c r="S56" s="36" t="s">
        <v>343</v>
      </c>
      <c r="T56" s="44">
        <f>IF(T43&lt;4,0.99,IF(T43&lt;8,0.92,0.9))</f>
        <v>0.99</v>
      </c>
      <c r="U56" s="38">
        <f t="shared" ref="U56:AA56" si="182">IF(U43&lt;4,0.99,IF(U43&lt;8,0.92,0.9))</f>
        <v>0.99</v>
      </c>
      <c r="V56" s="38">
        <f t="shared" si="182"/>
        <v>0.99</v>
      </c>
      <c r="W56" s="38">
        <f t="shared" si="182"/>
        <v>0.99</v>
      </c>
      <c r="X56" s="38">
        <f t="shared" si="182"/>
        <v>0.99</v>
      </c>
      <c r="Y56" s="38">
        <f t="shared" si="182"/>
        <v>0.99</v>
      </c>
      <c r="Z56" s="38">
        <f t="shared" si="182"/>
        <v>0.99</v>
      </c>
      <c r="AA56" s="39">
        <f t="shared" si="182"/>
        <v>0.99</v>
      </c>
      <c r="AB56" s="12"/>
      <c r="AC56" s="141"/>
      <c r="AE56" s="13"/>
      <c r="AF56" s="142"/>
      <c r="AG56" s="141"/>
      <c r="AH56" s="13"/>
      <c r="AK56" s="168" t="s">
        <v>228</v>
      </c>
      <c r="AL56" s="62" t="e">
        <f t="shared" ref="AL56:AS56" si="183">ROUND(B42/AL55,4)</f>
        <v>#DIV/0!</v>
      </c>
      <c r="AM56" s="63">
        <f t="shared" si="183"/>
        <v>0.1686</v>
      </c>
      <c r="AN56" s="63">
        <f t="shared" si="183"/>
        <v>0.10539999999999999</v>
      </c>
      <c r="AO56" s="63">
        <f t="shared" si="183"/>
        <v>8.43E-2</v>
      </c>
      <c r="AP56" s="63">
        <f t="shared" si="183"/>
        <v>9.5899999999999999E-2</v>
      </c>
      <c r="AQ56" s="63">
        <f t="shared" si="183"/>
        <v>8.4000000000000005E-2</v>
      </c>
      <c r="AR56" s="63">
        <f t="shared" si="183"/>
        <v>7.4800000000000005E-2</v>
      </c>
      <c r="AS56" s="64">
        <f t="shared" si="183"/>
        <v>7.0400000000000004E-2</v>
      </c>
      <c r="AT56" s="69" t="s">
        <v>343</v>
      </c>
      <c r="AU56" s="350">
        <f t="shared" ref="AU56:BB56" si="184">IF(AU43&lt;4,0.99,IF(AU43&lt;8,0.92,0.9))</f>
        <v>0.99</v>
      </c>
      <c r="AV56" s="328">
        <f t="shared" si="184"/>
        <v>0.99</v>
      </c>
      <c r="AW56" s="328">
        <f t="shared" si="184"/>
        <v>0.99</v>
      </c>
      <c r="AX56" s="328">
        <f t="shared" si="184"/>
        <v>0.99</v>
      </c>
      <c r="AY56" s="328">
        <f t="shared" si="184"/>
        <v>0.99</v>
      </c>
      <c r="AZ56" s="328">
        <f t="shared" si="184"/>
        <v>0.99</v>
      </c>
      <c r="BA56" s="328">
        <f t="shared" si="184"/>
        <v>0.99</v>
      </c>
      <c r="BB56" s="329">
        <f t="shared" si="184"/>
        <v>0.99</v>
      </c>
      <c r="BC56" s="69" t="s">
        <v>343</v>
      </c>
      <c r="BD56" s="350">
        <f t="shared" ref="BD56:BK56" si="185">IF(BD43&lt;4,0.99,IF(BD43&lt;8,0.92,0.9))</f>
        <v>0.99</v>
      </c>
      <c r="BE56" s="328">
        <f t="shared" si="185"/>
        <v>0.99</v>
      </c>
      <c r="BF56" s="328">
        <f t="shared" si="185"/>
        <v>0.99</v>
      </c>
      <c r="BG56" s="328">
        <f t="shared" si="185"/>
        <v>0.99</v>
      </c>
      <c r="BH56" s="328">
        <f t="shared" si="185"/>
        <v>0.99</v>
      </c>
      <c r="BI56" s="328">
        <f t="shared" si="185"/>
        <v>0.99</v>
      </c>
      <c r="BJ56" s="328">
        <f t="shared" si="185"/>
        <v>0.99</v>
      </c>
      <c r="BK56" s="329">
        <f t="shared" si="185"/>
        <v>0.99</v>
      </c>
    </row>
    <row r="57" spans="1:63" ht="15.75">
      <c r="A57" s="36" t="s">
        <v>154</v>
      </c>
      <c r="B57" s="44">
        <f t="shared" ref="B57:I57" si="186">ROUND((1+B49+B50*B47/B51)*B48/2*B43^2,4)</f>
        <v>7.7799999999999994E-2</v>
      </c>
      <c r="C57" s="38">
        <f t="shared" si="186"/>
        <v>0.19919999999999999</v>
      </c>
      <c r="D57" s="38">
        <f t="shared" si="186"/>
        <v>0.2248</v>
      </c>
      <c r="E57" s="38">
        <f t="shared" si="186"/>
        <v>0.25209999999999999</v>
      </c>
      <c r="F57" s="38">
        <f t="shared" si="186"/>
        <v>0.48630000000000001</v>
      </c>
      <c r="G57" s="63">
        <f t="shared" si="186"/>
        <v>0.48630000000000001</v>
      </c>
      <c r="H57" s="38">
        <f t="shared" si="186"/>
        <v>0.48630000000000001</v>
      </c>
      <c r="I57" s="39">
        <f t="shared" si="186"/>
        <v>0.52590000000000003</v>
      </c>
      <c r="J57" s="36" t="s">
        <v>154</v>
      </c>
      <c r="K57" s="62">
        <f t="shared" ref="K57:R57" si="187">ROUND((1+K49+K50*K47/K51)*K48/2*K43^2,4)</f>
        <v>0.65449999999999997</v>
      </c>
      <c r="L57" s="38">
        <f t="shared" si="187"/>
        <v>0.61</v>
      </c>
      <c r="M57" s="38">
        <f t="shared" si="187"/>
        <v>0.34310000000000002</v>
      </c>
      <c r="N57" s="38">
        <f t="shared" si="187"/>
        <v>0.28079999999999999</v>
      </c>
      <c r="O57" s="38">
        <f t="shared" si="187"/>
        <v>0.25209999999999999</v>
      </c>
      <c r="P57" s="38">
        <f t="shared" si="187"/>
        <v>0.2248</v>
      </c>
      <c r="Q57" s="38">
        <f t="shared" si="187"/>
        <v>0.2248</v>
      </c>
      <c r="R57" s="39">
        <f t="shared" si="187"/>
        <v>0.28079999999999999</v>
      </c>
      <c r="S57" s="181" t="s">
        <v>154</v>
      </c>
      <c r="T57" s="44">
        <f t="shared" ref="T57:AA57" si="188">ROUND((1+T49+T50*T47/T51)*T48/2*T43^2,4)</f>
        <v>1.9400000000000001E-2</v>
      </c>
      <c r="U57" s="38">
        <f t="shared" si="188"/>
        <v>1.2500000000000001E-2</v>
      </c>
      <c r="V57" s="38">
        <f t="shared" si="188"/>
        <v>1.2500000000000001E-2</v>
      </c>
      <c r="W57" s="38">
        <f t="shared" si="188"/>
        <v>7.0000000000000001E-3</v>
      </c>
      <c r="X57" s="38">
        <f t="shared" si="188"/>
        <v>7.0000000000000001E-3</v>
      </c>
      <c r="Y57" s="38">
        <f t="shared" si="188"/>
        <v>7.0000000000000001E-3</v>
      </c>
      <c r="Z57" s="38">
        <f t="shared" si="188"/>
        <v>1.2500000000000001E-2</v>
      </c>
      <c r="AA57" s="39">
        <f t="shared" si="188"/>
        <v>1.2500000000000001E-2</v>
      </c>
      <c r="AI57" s="13"/>
      <c r="AK57" s="69" t="s">
        <v>229</v>
      </c>
      <c r="AL57" s="179" t="e">
        <f t="shared" ref="AL57" si="189">ROUND(K42/AL55,4)</f>
        <v>#DIV/0!</v>
      </c>
      <c r="AM57" s="179">
        <f t="shared" ref="AM57" si="190">ROUND(L42/AM55,4)</f>
        <v>0.29499999999999998</v>
      </c>
      <c r="AN57" s="179">
        <f t="shared" ref="AN57" si="191">ROUND(M42/AN55,4)</f>
        <v>0.13020000000000001</v>
      </c>
      <c r="AO57" s="179">
        <f t="shared" ref="AO57" si="192">ROUND(N42/AO55,4)</f>
        <v>8.8999999999999996E-2</v>
      </c>
      <c r="AP57" s="179">
        <f t="shared" ref="AP57" si="193">ROUND(O42/AP55,4)</f>
        <v>6.9000000000000006E-2</v>
      </c>
      <c r="AQ57" s="179">
        <f t="shared" ref="AQ57" si="194">ROUND(P42/AQ55,4)</f>
        <v>5.7099999999999998E-2</v>
      </c>
      <c r="AR57" s="179">
        <f t="shared" ref="AR57" si="195">ROUND(Q42/AR55,4)</f>
        <v>5.0799999999999998E-2</v>
      </c>
      <c r="AS57" s="179">
        <f t="shared" ref="AS57" si="196">ROUND(R42/AS55,4)</f>
        <v>5.1499999999999997E-2</v>
      </c>
      <c r="AT57" s="36" t="s">
        <v>154</v>
      </c>
      <c r="AU57" s="327">
        <f t="shared" ref="AU57:BB57" si="197">ROUND((1+AU49+AU50*AU47/AU51)*AU48/2*AU43^2,4)</f>
        <v>1.5758000000000001</v>
      </c>
      <c r="AV57" s="328">
        <f t="shared" si="197"/>
        <v>1.5758000000000001</v>
      </c>
      <c r="AW57" s="328">
        <f t="shared" si="197"/>
        <v>1.5758000000000001</v>
      </c>
      <c r="AX57" s="328">
        <f t="shared" si="197"/>
        <v>1.5758000000000001</v>
      </c>
      <c r="AY57" s="328">
        <f t="shared" si="197"/>
        <v>1.5758000000000001</v>
      </c>
      <c r="AZ57" s="328">
        <f t="shared" si="197"/>
        <v>1.5758000000000001</v>
      </c>
      <c r="BA57" s="328">
        <f t="shared" si="197"/>
        <v>1.5758000000000001</v>
      </c>
      <c r="BB57" s="329">
        <f t="shared" si="197"/>
        <v>1.5758000000000001</v>
      </c>
      <c r="BC57" s="36" t="s">
        <v>154</v>
      </c>
      <c r="BD57" s="327">
        <f t="shared" ref="BD57:BK57" si="198">ROUND((1+BD49+BD50*BD47/BD51)*BD48/2*BD43^2,4)</f>
        <v>0</v>
      </c>
      <c r="BE57" s="328">
        <f t="shared" si="198"/>
        <v>0</v>
      </c>
      <c r="BF57" s="328">
        <f t="shared" si="198"/>
        <v>0</v>
      </c>
      <c r="BG57" s="328">
        <f t="shared" si="198"/>
        <v>0</v>
      </c>
      <c r="BH57" s="328">
        <f t="shared" si="198"/>
        <v>0</v>
      </c>
      <c r="BI57" s="328">
        <f t="shared" si="198"/>
        <v>0</v>
      </c>
      <c r="BJ57" s="328">
        <f t="shared" si="198"/>
        <v>0</v>
      </c>
      <c r="BK57" s="329">
        <f t="shared" si="198"/>
        <v>0</v>
      </c>
    </row>
    <row r="58" spans="1:63" ht="16.5" thickBot="1">
      <c r="A58" s="36" t="s">
        <v>155</v>
      </c>
      <c r="B58" s="44">
        <f t="shared" ref="B58:I58" si="199">ROUND((1+B49+B50*B47/B51)*B48/2*B44^2,4)</f>
        <v>16.741299999999999</v>
      </c>
      <c r="C58" s="38">
        <f t="shared" si="199"/>
        <v>16.741299999999999</v>
      </c>
      <c r="D58" s="38">
        <f t="shared" si="199"/>
        <v>16.741299999999999</v>
      </c>
      <c r="E58" s="38">
        <f t="shared" si="199"/>
        <v>16.741299999999999</v>
      </c>
      <c r="F58" s="38">
        <f t="shared" si="199"/>
        <v>16.741299999999999</v>
      </c>
      <c r="G58" s="63">
        <f t="shared" si="199"/>
        <v>16.741299999999999</v>
      </c>
      <c r="H58" s="38">
        <f t="shared" si="199"/>
        <v>16.741299999999999</v>
      </c>
      <c r="I58" s="39">
        <f t="shared" si="199"/>
        <v>16.741299999999999</v>
      </c>
      <c r="J58" s="36" t="s">
        <v>155</v>
      </c>
      <c r="K58" s="62">
        <f t="shared" ref="K58:R58" si="200">ROUND((1+K49+K50*K47/K51)*K48/2*K44^2,4)</f>
        <v>16.741299999999999</v>
      </c>
      <c r="L58" s="38">
        <f t="shared" si="200"/>
        <v>16.741299999999999</v>
      </c>
      <c r="M58" s="38">
        <f t="shared" si="200"/>
        <v>16.741299999999999</v>
      </c>
      <c r="N58" s="38">
        <f t="shared" si="200"/>
        <v>16.741299999999999</v>
      </c>
      <c r="O58" s="38">
        <f t="shared" si="200"/>
        <v>16.741299999999999</v>
      </c>
      <c r="P58" s="38">
        <f t="shared" si="200"/>
        <v>16.741299999999999</v>
      </c>
      <c r="Q58" s="38">
        <f t="shared" si="200"/>
        <v>16.741299999999999</v>
      </c>
      <c r="R58" s="39">
        <f t="shared" si="200"/>
        <v>16.741299999999999</v>
      </c>
      <c r="S58" s="181" t="s">
        <v>155</v>
      </c>
      <c r="T58" s="44">
        <f t="shared" ref="T58:AA58" si="201">ROUND((1+T49+T50*T47/T51)*T48/2*T44^2,4)</f>
        <v>16.741299999999999</v>
      </c>
      <c r="U58" s="38">
        <f t="shared" si="201"/>
        <v>16.741299999999999</v>
      </c>
      <c r="V58" s="38">
        <f t="shared" si="201"/>
        <v>16.741299999999999</v>
      </c>
      <c r="W58" s="38">
        <f t="shared" si="201"/>
        <v>16.741299999999999</v>
      </c>
      <c r="X58" s="38">
        <f t="shared" si="201"/>
        <v>16.741299999999999</v>
      </c>
      <c r="Y58" s="38">
        <f t="shared" si="201"/>
        <v>16.741299999999999</v>
      </c>
      <c r="Z58" s="38">
        <f t="shared" si="201"/>
        <v>16.741299999999999</v>
      </c>
      <c r="AA58" s="39">
        <f t="shared" si="201"/>
        <v>16.741299999999999</v>
      </c>
      <c r="AC58" s="136" t="s">
        <v>220</v>
      </c>
      <c r="AD58" s="141">
        <f>C37</f>
        <v>1030</v>
      </c>
      <c r="AH58" s="12" t="s">
        <v>519</v>
      </c>
      <c r="AI58" s="12" t="s">
        <v>423</v>
      </c>
      <c r="AK58" s="69" t="s">
        <v>230</v>
      </c>
      <c r="AL58" s="62" t="e">
        <f t="shared" ref="AL58:AS58" si="202">ROUND(T42/AL55,4)</f>
        <v>#DIV/0!</v>
      </c>
      <c r="AM58" s="63">
        <f t="shared" si="202"/>
        <v>4.2099999999999999E-2</v>
      </c>
      <c r="AN58" s="63">
        <f t="shared" si="202"/>
        <v>2.4799999999999999E-2</v>
      </c>
      <c r="AO58" s="63">
        <f t="shared" si="202"/>
        <v>1.41E-2</v>
      </c>
      <c r="AP58" s="63">
        <f t="shared" si="202"/>
        <v>1.15E-2</v>
      </c>
      <c r="AQ58" s="63">
        <f t="shared" si="202"/>
        <v>1.01E-2</v>
      </c>
      <c r="AR58" s="63">
        <f t="shared" si="202"/>
        <v>1.2E-2</v>
      </c>
      <c r="AS58" s="64">
        <f t="shared" si="202"/>
        <v>1.0800000000000001E-2</v>
      </c>
      <c r="AT58" s="36" t="s">
        <v>155</v>
      </c>
      <c r="AU58" s="327">
        <f t="shared" ref="AU58:BB58" si="203">ROUND((1+AU49+AU50*AU47/AU51)*AU48/2*AU44^2,4)</f>
        <v>16.741299999999999</v>
      </c>
      <c r="AV58" s="328">
        <f t="shared" si="203"/>
        <v>16.741299999999999</v>
      </c>
      <c r="AW58" s="328">
        <f t="shared" si="203"/>
        <v>16.741299999999999</v>
      </c>
      <c r="AX58" s="328">
        <f t="shared" si="203"/>
        <v>16.741299999999999</v>
      </c>
      <c r="AY58" s="328">
        <f t="shared" si="203"/>
        <v>16.741299999999999</v>
      </c>
      <c r="AZ58" s="328">
        <f t="shared" si="203"/>
        <v>16.741299999999999</v>
      </c>
      <c r="BA58" s="328">
        <f t="shared" si="203"/>
        <v>16.741299999999999</v>
      </c>
      <c r="BB58" s="329">
        <f t="shared" si="203"/>
        <v>16.741299999999999</v>
      </c>
      <c r="BC58" s="36" t="s">
        <v>155</v>
      </c>
      <c r="BD58" s="327">
        <f t="shared" ref="BD58:BK58" si="204">ROUND((1+BD49+BD50*BD47/BD51)*BD48/2*BD44^2,4)</f>
        <v>16.741299999999999</v>
      </c>
      <c r="BE58" s="328">
        <f t="shared" si="204"/>
        <v>16.741299999999999</v>
      </c>
      <c r="BF58" s="328">
        <f t="shared" si="204"/>
        <v>16.741299999999999</v>
      </c>
      <c r="BG58" s="328">
        <f t="shared" si="204"/>
        <v>16.741299999999999</v>
      </c>
      <c r="BH58" s="328">
        <f t="shared" si="204"/>
        <v>16.741299999999999</v>
      </c>
      <c r="BI58" s="328">
        <f t="shared" si="204"/>
        <v>16.741299999999999</v>
      </c>
      <c r="BJ58" s="328">
        <f t="shared" si="204"/>
        <v>16.741299999999999</v>
      </c>
      <c r="BK58" s="329">
        <f t="shared" si="204"/>
        <v>16.741299999999999</v>
      </c>
    </row>
    <row r="59" spans="1:63" ht="15.75">
      <c r="A59" s="36" t="s">
        <v>156</v>
      </c>
      <c r="B59" s="44">
        <f t="shared" ref="B59:I59" si="205">IF(B41&gt;B43,ROUND(B48/2*B52/B46*(B41-B43)^2*B55,4),IF(B41&lt;B43,ROUND(-B48/2*B52/B46*(B43-B41)^2*B55,4)))</f>
        <v>14.375299999999999</v>
      </c>
      <c r="C59" s="38">
        <f t="shared" si="205"/>
        <v>42.721899999999998</v>
      </c>
      <c r="D59" s="38">
        <f t="shared" si="205"/>
        <v>76.760199999999998</v>
      </c>
      <c r="E59" s="38">
        <f t="shared" si="205"/>
        <v>109.06659999999999</v>
      </c>
      <c r="F59" s="38">
        <f t="shared" si="205"/>
        <v>141.50380000000001</v>
      </c>
      <c r="G59" s="63">
        <f t="shared" si="205"/>
        <v>168.25839999999999</v>
      </c>
      <c r="H59" s="38">
        <f t="shared" si="205"/>
        <v>198.73779999999999</v>
      </c>
      <c r="I59" s="39">
        <f t="shared" si="205"/>
        <v>229.41030000000001</v>
      </c>
      <c r="J59" s="36" t="s">
        <v>156</v>
      </c>
      <c r="K59" s="62">
        <f>IF('환기량 산정'!K1526=1,IF(K41&gt;K43,ROUND(K48/2*K52/K46*(K41-K43)^2*K55,4),IF(K41&lt;K43,ROUND(-K48/2*K52/K46*(K43-K41)^2*K55,4))),ROUND(K48/2*K52/K46*(K41+K43)^2*K55,4))</f>
        <v>11.0283</v>
      </c>
      <c r="L59" s="38">
        <f t="shared" ref="L59:R59" si="206">IF(L41&gt;L43,ROUND(L48/2*L52/L46*(L41-L43)^2*L55,4),IF(L41&lt;L43,ROUND(-L48/2*L52/L46*(L43-L41)^2*L55,4)))</f>
        <v>39.481099999999998</v>
      </c>
      <c r="M59" s="38">
        <f t="shared" si="206"/>
        <v>75.4636</v>
      </c>
      <c r="N59" s="38">
        <f t="shared" si="206"/>
        <v>108.7236</v>
      </c>
      <c r="O59" s="38">
        <f t="shared" si="206"/>
        <v>144.02260000000001</v>
      </c>
      <c r="P59" s="38">
        <f t="shared" si="206"/>
        <v>171.096</v>
      </c>
      <c r="Q59" s="38">
        <f t="shared" si="206"/>
        <v>201.5994</v>
      </c>
      <c r="R59" s="39">
        <f t="shared" si="206"/>
        <v>231.9307</v>
      </c>
      <c r="S59" s="181" t="s">
        <v>156</v>
      </c>
      <c r="T59" s="44">
        <f>IF('환기량 산정'!K1526=1,IF(T41&gt;T43,ROUND(T48/2*T52/T46*(T41-T43)^2*T55,4),IF(T41&lt;T43,ROUND(-T48/2*T52/T46*(T43-T41)^2*T55,4))),ROUND(T48/2*T52/T46*(T41+T43)^2*T55,4))</f>
        <v>15.3293</v>
      </c>
      <c r="U59" s="38">
        <f t="shared" ref="U59:AA59" si="207">IF(U41&gt;U43,ROUND(U48/2*U52/U46*(U41-U43)^2*U55,4),IF(U41&lt;U43,ROUND(-U48/2*U52/U46*(U43-U41)^2*U55,4)))</f>
        <v>46.090600000000002</v>
      </c>
      <c r="V59" s="38">
        <f t="shared" si="207"/>
        <v>81.047799999999995</v>
      </c>
      <c r="W59" s="38">
        <f t="shared" si="207"/>
        <v>114.2907</v>
      </c>
      <c r="X59" s="38">
        <f t="shared" si="207"/>
        <v>149.49600000000001</v>
      </c>
      <c r="Y59" s="38">
        <f t="shared" si="207"/>
        <v>176.11670000000001</v>
      </c>
      <c r="Z59" s="38">
        <f t="shared" si="207"/>
        <v>206.28989999999999</v>
      </c>
      <c r="AA59" s="39">
        <f t="shared" si="207"/>
        <v>237.37710000000001</v>
      </c>
      <c r="AC59" s="146" t="s">
        <v>214</v>
      </c>
      <c r="AD59" s="147">
        <f>MAX(B65:I65)</f>
        <v>1</v>
      </c>
      <c r="AE59" s="148" t="s">
        <v>412</v>
      </c>
      <c r="AF59" s="147">
        <f>IF($AH$59=I64,I40,IF($AH$59=H64,H40,IF($AH$59=G64,G40,IF($AH$59=F64,F40,IF($AH$59=E64,E40,IF($AH$59=D64,D40,IF($AH$59=C64,C40,IF($AH$59=B64,B40))))))))</f>
        <v>10</v>
      </c>
      <c r="AG59" s="149" t="s">
        <v>413</v>
      </c>
      <c r="AH59" s="3">
        <f>MAX(B64:I64)</f>
        <v>0.17</v>
      </c>
      <c r="AI59" s="3">
        <f>MAX(B43:I43)</f>
        <v>0.44309999999999999</v>
      </c>
      <c r="AK59" s="69" t="s">
        <v>253</v>
      </c>
      <c r="AL59" s="62" t="e">
        <f>ROUND('환기량 산정'!C683/6.25*AL56*AL55,4)</f>
        <v>#DIV/0!</v>
      </c>
      <c r="AM59" s="63">
        <f>ROUND('환기량 산정'!D683/6.25*AM56*AM55,4)</f>
        <v>1.7899999999999999E-2</v>
      </c>
      <c r="AN59" s="63">
        <f>ROUND('환기량 산정'!E683/6.25*AN56*AN55,4)</f>
        <v>1.9E-2</v>
      </c>
      <c r="AO59" s="63">
        <f>ROUND('환기량 산정'!F683/6.25*AO56*AO55,4)</f>
        <v>2.01E-2</v>
      </c>
      <c r="AP59" s="63">
        <f>ROUND('환기량 산정'!G683/6.25*AP56*AP55,4)</f>
        <v>0.02</v>
      </c>
      <c r="AQ59" s="63">
        <f>ROUND('환기량 산정'!H683/6.25*AQ56*AQ55,4)</f>
        <v>0.02</v>
      </c>
      <c r="AR59" s="63">
        <f>ROUND('환기량 산정'!I683/6.25*AR56*AR55,4)</f>
        <v>0.02</v>
      </c>
      <c r="AS59" s="64">
        <f>ROUND('환기량 산정'!J683/6.25*AS56*AS55,4)</f>
        <v>2.0799999999999999E-2</v>
      </c>
      <c r="AT59" s="36" t="s">
        <v>156</v>
      </c>
      <c r="AU59" s="327">
        <f>IF('환기량 산정'!$K$1526=1,IF(AU41&gt;AU43,ROUND(AU48/2*AU52/AU46*(AU41-AU43)^2*AU55,4),IF(AU41&lt;AU43,ROUND(-AU48/2*AU52/AU46*(AU43-AU41)^2*AU55,4))),ROUND(AU48/2*AU52/AU46*(AU41+AU43)^2*AU55,4))</f>
        <v>8.5538000000000007</v>
      </c>
      <c r="AV59" s="328">
        <f t="shared" ref="AV59:BB59" si="208">IF(AV41&gt;AV43,ROUND(AV48/2*AV52/AV46*(AV41-AV43)^2*AV55,4),IF(AV41&lt;AV43,ROUND(-AV48/2*AV52/AV46*(AV43-AV41)^2*AV55,4)))</f>
        <v>35.107300000000002</v>
      </c>
      <c r="AW59" s="328">
        <f t="shared" si="208"/>
        <v>67.917199999999994</v>
      </c>
      <c r="AX59" s="328">
        <f t="shared" si="208"/>
        <v>99.972399999999993</v>
      </c>
      <c r="AY59" s="328">
        <f t="shared" si="208"/>
        <v>134.4289</v>
      </c>
      <c r="AZ59" s="328">
        <f t="shared" si="208"/>
        <v>161.27019999999999</v>
      </c>
      <c r="BA59" s="328">
        <f t="shared" si="208"/>
        <v>191.67529999999999</v>
      </c>
      <c r="BB59" s="329">
        <f t="shared" si="208"/>
        <v>222.63669999999999</v>
      </c>
      <c r="BC59" s="36" t="s">
        <v>156</v>
      </c>
      <c r="BD59" s="327">
        <f>IF('환기량 산정'!$K$1526=1,IF(BD41&gt;BD43,ROUND(BD48/2*BD52/BD46*(BD41-BD43)^2*BD55,4),IF(BD41&lt;BD43,ROUND(-BD48/2*BD52/BD46*(BD43-BD41)^2*BD55,4))),ROUND(BD48/2*BD52/BD46*(BD41+BD43)^2*BD55,4))</f>
        <v>16.3139</v>
      </c>
      <c r="BE59" s="328">
        <f t="shared" ref="BE59:BK59" si="209">IF(BE41&gt;BE43,ROUND(BE48/2*BE52/BE46*(BE41-BE43)^2*BE55,4),IF(BE41&lt;BE43,ROUND(-BE48/2*BE52/BE46*(BE43-BE41)^2*BE55,4)))</f>
        <v>47.2425</v>
      </c>
      <c r="BF59" s="328">
        <f t="shared" si="209"/>
        <v>82.391400000000004</v>
      </c>
      <c r="BG59" s="328">
        <f t="shared" si="209"/>
        <v>115.3493</v>
      </c>
      <c r="BH59" s="328">
        <f t="shared" si="209"/>
        <v>150.602</v>
      </c>
      <c r="BI59" s="328">
        <f t="shared" si="209"/>
        <v>177.20140000000001</v>
      </c>
      <c r="BJ59" s="328">
        <f t="shared" si="209"/>
        <v>207.745</v>
      </c>
      <c r="BK59" s="329">
        <f t="shared" si="209"/>
        <v>238.84100000000001</v>
      </c>
    </row>
    <row r="60" spans="1:63" ht="15.75">
      <c r="A60" s="36" t="s">
        <v>158</v>
      </c>
      <c r="B60" s="44"/>
      <c r="C60" s="38"/>
      <c r="D60" s="38"/>
      <c r="E60" s="38"/>
      <c r="F60" s="38"/>
      <c r="G60" s="63"/>
      <c r="H60" s="38"/>
      <c r="I60" s="39"/>
      <c r="J60" s="36" t="s">
        <v>158</v>
      </c>
      <c r="K60" s="62"/>
      <c r="L60" s="38"/>
      <c r="M60" s="38"/>
      <c r="N60" s="38"/>
      <c r="O60" s="38"/>
      <c r="P60" s="38"/>
      <c r="Q60" s="38"/>
      <c r="R60" s="39"/>
      <c r="S60" s="181" t="s">
        <v>158</v>
      </c>
      <c r="T60" s="44"/>
      <c r="U60" s="38"/>
      <c r="V60" s="38"/>
      <c r="W60" s="38"/>
      <c r="X60" s="38"/>
      <c r="Y60" s="38"/>
      <c r="Z60" s="38"/>
      <c r="AA60" s="39"/>
      <c r="AC60" s="150" t="s">
        <v>414</v>
      </c>
      <c r="AD60" s="151">
        <f>MAX(K65:R65)</f>
        <v>1</v>
      </c>
      <c r="AE60" s="152" t="s">
        <v>412</v>
      </c>
      <c r="AF60" s="151">
        <f>IF($AH$60=R64,R40,IF($AH$60=Q64,Q40,IF($AH$60=P64,P40,IF($AH$60=O64,O40,IF($AH$60=N64,N40,IF($AH$60=M64,M40,IF($AH$60=L64,L40,IF($AH$60=K64,K40))))))))</f>
        <v>10</v>
      </c>
      <c r="AG60" s="153" t="s">
        <v>413</v>
      </c>
      <c r="AH60" s="3">
        <f>MAX(K64:R64)</f>
        <v>0.45</v>
      </c>
      <c r="AI60" s="3">
        <f>MAX(K43:R43)</f>
        <v>0.49430000000000002</v>
      </c>
      <c r="AK60" s="69" t="s">
        <v>254</v>
      </c>
      <c r="AL60" s="62" t="e">
        <f>ROUND(AL57*AL55*'환기량 산정'!C1057*10^-6*1.25*1000,4)</f>
        <v>#DIV/0!</v>
      </c>
      <c r="AM60" s="63">
        <f>ROUND(AM57*AM55*'환기량 산정'!D1057*10^-6*1.25*1000,4)</f>
        <v>2.4500000000000002</v>
      </c>
      <c r="AN60" s="63">
        <f>ROUND(AN57*AN55*'환기량 산정'!E1057*10^-6*1.25*1000,4)</f>
        <v>1.8374999999999999</v>
      </c>
      <c r="AO60" s="63">
        <f>ROUND(AO57*AO55*'환기량 산정'!F1057*10^-6*1.25*1000,4)</f>
        <v>1.6619999999999999</v>
      </c>
      <c r="AP60" s="63">
        <f>ROUND(AP57*AP55*'환기량 산정'!G1057*10^-6*1.25*1000,4)</f>
        <v>1.5743</v>
      </c>
      <c r="AQ60" s="63">
        <f>ROUND(AQ57*AQ55*'환기량 산정'!H1057*10^-6*1.25*1000,4)</f>
        <v>1.4877</v>
      </c>
      <c r="AR60" s="63">
        <f>ROUND(AR57*AR55*'환기량 산정'!I1057*10^-6*1.25*1000,4)</f>
        <v>1.4865999999999999</v>
      </c>
      <c r="AS60" s="64">
        <f>ROUND(AS57*AS55*'환기량 산정'!J1057*10^-6*1.25*1000,4)</f>
        <v>1.6632</v>
      </c>
      <c r="AT60" s="36" t="s">
        <v>158</v>
      </c>
      <c r="AU60" s="327"/>
      <c r="AV60" s="328"/>
      <c r="AW60" s="328"/>
      <c r="AX60" s="328"/>
      <c r="AY60" s="328"/>
      <c r="AZ60" s="328"/>
      <c r="BA60" s="328"/>
      <c r="BB60" s="329"/>
      <c r="BC60" s="36" t="s">
        <v>158</v>
      </c>
      <c r="BD60" s="327"/>
      <c r="BE60" s="328"/>
      <c r="BF60" s="328"/>
      <c r="BG60" s="328"/>
      <c r="BH60" s="328"/>
      <c r="BI60" s="328"/>
      <c r="BJ60" s="328"/>
      <c r="BK60" s="329"/>
    </row>
    <row r="61" spans="1:63">
      <c r="A61" s="36" t="s">
        <v>157</v>
      </c>
      <c r="B61" s="183">
        <f t="shared" ref="B61:I61" si="210">B57+B58-B59</f>
        <v>2.4437999999999995</v>
      </c>
      <c r="C61" s="45">
        <f t="shared" si="210"/>
        <v>-25.781399999999998</v>
      </c>
      <c r="D61" s="45">
        <f t="shared" si="210"/>
        <v>-59.7941</v>
      </c>
      <c r="E61" s="45">
        <f t="shared" si="210"/>
        <v>-92.0732</v>
      </c>
      <c r="F61" s="45">
        <f t="shared" si="210"/>
        <v>-124.27620000000002</v>
      </c>
      <c r="G61" s="138">
        <f t="shared" si="210"/>
        <v>-151.0308</v>
      </c>
      <c r="H61" s="45">
        <f t="shared" si="210"/>
        <v>-181.5102</v>
      </c>
      <c r="I61" s="46">
        <f t="shared" si="210"/>
        <v>-212.1431</v>
      </c>
      <c r="J61" s="36" t="s">
        <v>157</v>
      </c>
      <c r="K61" s="189">
        <f>IF('환기량 산정'!K1526=1,K57+K58-K59,K57+K59-K58)</f>
        <v>6.3674999999999979</v>
      </c>
      <c r="L61" s="45">
        <f t="shared" ref="L61:R61" si="211">L57+L58-L59</f>
        <v>-22.129799999999999</v>
      </c>
      <c r="M61" s="45">
        <f t="shared" si="211"/>
        <v>-58.379199999999997</v>
      </c>
      <c r="N61" s="45">
        <f t="shared" si="211"/>
        <v>-91.70150000000001</v>
      </c>
      <c r="O61" s="45">
        <f t="shared" si="211"/>
        <v>-127.02920000000002</v>
      </c>
      <c r="P61" s="45">
        <f t="shared" si="211"/>
        <v>-154.12990000000002</v>
      </c>
      <c r="Q61" s="45">
        <f t="shared" si="211"/>
        <v>-184.63330000000002</v>
      </c>
      <c r="R61" s="46">
        <f t="shared" si="211"/>
        <v>-214.90860000000001</v>
      </c>
      <c r="S61" s="181" t="s">
        <v>157</v>
      </c>
      <c r="T61" s="183">
        <f>IF('환기량 산정'!K1526=1,T57+T58-T59,T57+T59-T58)</f>
        <v>1.4314</v>
      </c>
      <c r="U61" s="45">
        <f t="shared" ref="U61:AA61" si="212">U57+U58-U59</f>
        <v>-29.336800000000004</v>
      </c>
      <c r="V61" s="45">
        <f t="shared" si="212"/>
        <v>-64.293999999999997</v>
      </c>
      <c r="W61" s="45">
        <f t="shared" si="212"/>
        <v>-97.542400000000001</v>
      </c>
      <c r="X61" s="45">
        <f t="shared" si="212"/>
        <v>-132.74770000000001</v>
      </c>
      <c r="Y61" s="45">
        <f t="shared" si="212"/>
        <v>-159.36840000000001</v>
      </c>
      <c r="Z61" s="45">
        <f t="shared" si="212"/>
        <v>-189.53609999999998</v>
      </c>
      <c r="AA61" s="46">
        <f t="shared" si="212"/>
        <v>-220.62330000000003</v>
      </c>
      <c r="AC61" s="150" t="s">
        <v>415</v>
      </c>
      <c r="AD61" s="151">
        <f>MAX(T65:AA65)</f>
        <v>1</v>
      </c>
      <c r="AE61" s="152" t="s">
        <v>412</v>
      </c>
      <c r="AF61" s="151">
        <f>IF($AH$61=AA64,AA40,IF($AH$61=Z64,Z40,IF($AH$61=Y64,Y40,IF($AH$61=X64,X40,IF($AH$61=W64,W40,IF($AH$61=V64,V40,IF($AH$61=U64,U40,IF($AH$61=T64,T40))))))))</f>
        <v>10</v>
      </c>
      <c r="AG61" s="153" t="s">
        <v>413</v>
      </c>
      <c r="AH61" s="7">
        <f>MAX(T64:AA64)</f>
        <v>0.1</v>
      </c>
      <c r="AI61" s="3">
        <f>MAX(T43:AA43)</f>
        <v>8.5199999999999998E-2</v>
      </c>
      <c r="AK61" s="69" t="s">
        <v>263</v>
      </c>
      <c r="AL61" s="62" t="e">
        <f>ROUND(AL58*AL55*'환기량 산정'!C1432*10^-6*1.554*1000,4)</f>
        <v>#DIV/0!</v>
      </c>
      <c r="AM61" s="63">
        <f>ROUND(AM58*AM55*'환기량 산정'!D1432*10^-6*1.554*1000,4)</f>
        <v>0.1242</v>
      </c>
      <c r="AN61" s="63">
        <f>ROUND(AN58*AN55*'환기량 산정'!E1432*10^-6*1.554*1000,4)</f>
        <v>0.12429999999999999</v>
      </c>
      <c r="AO61" s="63">
        <f>ROUND(AO58*AO55*'환기량 산정'!F1432*10^-6*1.554*1000,4)</f>
        <v>9.35E-2</v>
      </c>
      <c r="AP61" s="63">
        <f>ROUND(AP58*AP55*'환기량 산정'!G1432*10^-6*1.554*1000,4)</f>
        <v>9.3200000000000005E-2</v>
      </c>
      <c r="AQ61" s="63">
        <f>ROUND(AQ58*AQ55*'환기량 산정'!H1432*10^-6*1.554*1000,4)</f>
        <v>9.35E-2</v>
      </c>
      <c r="AR61" s="63">
        <f>ROUND(AR58*AR55*'환기량 산정'!I1432*10^-6*1.554*1000,4)</f>
        <v>0.12470000000000001</v>
      </c>
      <c r="AS61" s="64">
        <f>ROUND(AS58*AS55*'환기량 산정'!J1432*10^-6*1.554*1000,4)</f>
        <v>0.1239</v>
      </c>
      <c r="AT61" s="36" t="s">
        <v>157</v>
      </c>
      <c r="AU61" s="334">
        <f>IF('환기량 산정'!$K$1526=1,AU57+AU58-AU59,AU57+AU59-AU58)</f>
        <v>9.7632999999999992</v>
      </c>
      <c r="AV61" s="346">
        <f t="shared" ref="AV61:BB61" si="213">AV57+AV58-AV59</f>
        <v>-16.790200000000002</v>
      </c>
      <c r="AW61" s="346">
        <f t="shared" si="213"/>
        <v>-49.600099999999998</v>
      </c>
      <c r="AX61" s="346">
        <f t="shared" si="213"/>
        <v>-81.655299999999997</v>
      </c>
      <c r="AY61" s="346">
        <f t="shared" si="213"/>
        <v>-116.1118</v>
      </c>
      <c r="AZ61" s="346">
        <f t="shared" si="213"/>
        <v>-142.95309999999998</v>
      </c>
      <c r="BA61" s="346">
        <f t="shared" si="213"/>
        <v>-173.35819999999998</v>
      </c>
      <c r="BB61" s="347">
        <f t="shared" si="213"/>
        <v>-204.31959999999998</v>
      </c>
      <c r="BC61" s="36" t="s">
        <v>157</v>
      </c>
      <c r="BD61" s="334">
        <f>IF('환기량 산정'!$K$1526=1,BD57+BD58-BD59,BD57+BD59-BD58)</f>
        <v>0.42739999999999867</v>
      </c>
      <c r="BE61" s="346">
        <f t="shared" ref="BE61:BK61" si="214">BE57+BE58-BE59</f>
        <v>-30.501200000000001</v>
      </c>
      <c r="BF61" s="346">
        <f t="shared" si="214"/>
        <v>-65.650100000000009</v>
      </c>
      <c r="BG61" s="346">
        <f t="shared" si="214"/>
        <v>-98.608000000000004</v>
      </c>
      <c r="BH61" s="346">
        <f t="shared" si="214"/>
        <v>-133.86070000000001</v>
      </c>
      <c r="BI61" s="346">
        <f t="shared" si="214"/>
        <v>-160.46010000000001</v>
      </c>
      <c r="BJ61" s="346">
        <f t="shared" si="214"/>
        <v>-191.00370000000001</v>
      </c>
      <c r="BK61" s="347">
        <f t="shared" si="214"/>
        <v>-222.09970000000001</v>
      </c>
    </row>
    <row r="62" spans="1:63">
      <c r="A62" s="36" t="s">
        <v>191</v>
      </c>
      <c r="B62" s="196">
        <f>B28</f>
        <v>0.95</v>
      </c>
      <c r="C62" s="47">
        <f t="shared" ref="C62:I62" si="215">B62</f>
        <v>0.95</v>
      </c>
      <c r="D62" s="47">
        <f t="shared" si="215"/>
        <v>0.95</v>
      </c>
      <c r="E62" s="47">
        <f t="shared" si="215"/>
        <v>0.95</v>
      </c>
      <c r="F62" s="47">
        <f t="shared" si="215"/>
        <v>0.95</v>
      </c>
      <c r="G62" s="140">
        <f t="shared" si="215"/>
        <v>0.95</v>
      </c>
      <c r="H62" s="47">
        <f t="shared" si="215"/>
        <v>0.95</v>
      </c>
      <c r="I62" s="48">
        <f t="shared" si="215"/>
        <v>0.95</v>
      </c>
      <c r="J62" s="36" t="s">
        <v>191</v>
      </c>
      <c r="K62" s="190">
        <f>B62</f>
        <v>0.95</v>
      </c>
      <c r="L62" s="47">
        <f t="shared" ref="L62:R62" si="216">K62</f>
        <v>0.95</v>
      </c>
      <c r="M62" s="47">
        <f t="shared" si="216"/>
        <v>0.95</v>
      </c>
      <c r="N62" s="47">
        <f t="shared" si="216"/>
        <v>0.95</v>
      </c>
      <c r="O62" s="47">
        <f t="shared" si="216"/>
        <v>0.95</v>
      </c>
      <c r="P62" s="47">
        <f t="shared" si="216"/>
        <v>0.95</v>
      </c>
      <c r="Q62" s="47">
        <f t="shared" si="216"/>
        <v>0.95</v>
      </c>
      <c r="R62" s="48">
        <f t="shared" si="216"/>
        <v>0.95</v>
      </c>
      <c r="S62" s="181" t="s">
        <v>191</v>
      </c>
      <c r="T62" s="196">
        <f>B62</f>
        <v>0.95</v>
      </c>
      <c r="U62" s="47">
        <f t="shared" ref="U62:AA62" si="217">T62</f>
        <v>0.95</v>
      </c>
      <c r="V62" s="47">
        <f t="shared" si="217"/>
        <v>0.95</v>
      </c>
      <c r="W62" s="47">
        <f t="shared" si="217"/>
        <v>0.95</v>
      </c>
      <c r="X62" s="47">
        <f t="shared" si="217"/>
        <v>0.95</v>
      </c>
      <c r="Y62" s="47">
        <f t="shared" si="217"/>
        <v>0.95</v>
      </c>
      <c r="Z62" s="47">
        <f t="shared" si="217"/>
        <v>0.95</v>
      </c>
      <c r="AA62" s="48">
        <f t="shared" si="217"/>
        <v>0.95</v>
      </c>
      <c r="AB62" s="7"/>
      <c r="AC62" s="150" t="s">
        <v>422</v>
      </c>
      <c r="AD62" s="351">
        <f>MAX(AU65:BB65)</f>
        <v>1</v>
      </c>
      <c r="AE62" s="152" t="s">
        <v>213</v>
      </c>
      <c r="AF62" s="151">
        <f>IF($AH$62=BB64,BB40,IF($AH$62=BA64,BA40,IF($AH$62=AZ64,AZ40,IF($AH$62=AY64,AY40,IF($AH$62=AX64,AX40,IF($AH$62=AW64,AW40,IF($AH$62=AV64,AV40,IF($AH$62=AU64,AU40))))))))</f>
        <v>10</v>
      </c>
      <c r="AG62" s="153" t="s">
        <v>219</v>
      </c>
      <c r="AH62" s="7">
        <f>MAX(AU64:BB64)</f>
        <v>0.7</v>
      </c>
      <c r="AI62" s="3">
        <f>AU43</f>
        <v>0.76700000000000002</v>
      </c>
      <c r="AK62" s="69" t="s">
        <v>264</v>
      </c>
      <c r="AL62" s="177">
        <f>'환기량 산정'!B1528</f>
        <v>10</v>
      </c>
      <c r="AM62" s="177">
        <f>'환기량 산정'!C1528</f>
        <v>16</v>
      </c>
      <c r="AN62" s="177">
        <f>'환기량 산정'!D1528</f>
        <v>17</v>
      </c>
      <c r="AO62" s="177">
        <f>'환기량 산정'!E1528</f>
        <v>18</v>
      </c>
      <c r="AP62" s="177">
        <f>'환기량 산정'!F1528</f>
        <v>25</v>
      </c>
      <c r="AQ62" s="177">
        <f>'환기량 산정'!G1528</f>
        <v>25</v>
      </c>
      <c r="AR62" s="177">
        <f>'환기량 산정'!H1528</f>
        <v>25</v>
      </c>
      <c r="AS62" s="178">
        <f>'환기량 산정'!I1528</f>
        <v>26</v>
      </c>
      <c r="AT62" s="36" t="s">
        <v>191</v>
      </c>
      <c r="AU62" s="336">
        <f>B62</f>
        <v>0.95</v>
      </c>
      <c r="AV62" s="348">
        <f t="shared" ref="AV62:BB62" si="218">AU62</f>
        <v>0.95</v>
      </c>
      <c r="AW62" s="348">
        <f t="shared" si="218"/>
        <v>0.95</v>
      </c>
      <c r="AX62" s="348">
        <f t="shared" si="218"/>
        <v>0.95</v>
      </c>
      <c r="AY62" s="348">
        <f t="shared" si="218"/>
        <v>0.95</v>
      </c>
      <c r="AZ62" s="348">
        <f t="shared" si="218"/>
        <v>0.95</v>
      </c>
      <c r="BA62" s="348">
        <f t="shared" si="218"/>
        <v>0.95</v>
      </c>
      <c r="BB62" s="349">
        <f t="shared" si="218"/>
        <v>0.95</v>
      </c>
      <c r="BC62" s="36" t="s">
        <v>191</v>
      </c>
      <c r="BD62" s="336">
        <f>K62</f>
        <v>0.95</v>
      </c>
      <c r="BE62" s="348">
        <f t="shared" ref="BE62:BK62" si="219">BD62</f>
        <v>0.95</v>
      </c>
      <c r="BF62" s="348">
        <f t="shared" si="219"/>
        <v>0.95</v>
      </c>
      <c r="BG62" s="348">
        <f t="shared" si="219"/>
        <v>0.95</v>
      </c>
      <c r="BH62" s="348">
        <f t="shared" si="219"/>
        <v>0.95</v>
      </c>
      <c r="BI62" s="348">
        <f t="shared" si="219"/>
        <v>0.95</v>
      </c>
      <c r="BJ62" s="348">
        <f t="shared" si="219"/>
        <v>0.95</v>
      </c>
      <c r="BK62" s="349">
        <f t="shared" si="219"/>
        <v>0.95</v>
      </c>
    </row>
    <row r="63" spans="1:63" ht="15.75">
      <c r="A63" s="36" t="s">
        <v>342</v>
      </c>
      <c r="B63" s="44">
        <f>ROUND(B56*B48*B54^2*B53/B46*(1-B43/B54)*B62,4)</f>
        <v>14.2875</v>
      </c>
      <c r="C63" s="38">
        <f t="shared" ref="C63:I63" si="220">ROUND(C56*C48*C54^2*C53/C46*(1-C43/C54)*C62,4)</f>
        <v>14.2385</v>
      </c>
      <c r="D63" s="38">
        <f t="shared" si="220"/>
        <v>14.2303</v>
      </c>
      <c r="E63" s="38">
        <f t="shared" si="220"/>
        <v>14.222099999999999</v>
      </c>
      <c r="F63" s="38">
        <f t="shared" si="220"/>
        <v>14.164999999999999</v>
      </c>
      <c r="G63" s="38">
        <f t="shared" si="220"/>
        <v>14.164999999999999</v>
      </c>
      <c r="H63" s="38">
        <f t="shared" si="220"/>
        <v>14.164999999999999</v>
      </c>
      <c r="I63" s="39">
        <f t="shared" si="220"/>
        <v>14.1568</v>
      </c>
      <c r="J63" s="36" t="s">
        <v>342</v>
      </c>
      <c r="K63" s="62">
        <f>ROUND(K56*K48*K54^2*K53/K46*(1-K43/K54)*K62,4)</f>
        <v>14.132300000000001</v>
      </c>
      <c r="L63" s="63">
        <f t="shared" ref="L63:R63" si="221">ROUND(L56*L48*L54^2*L53/L46*(1-L43/L54)*L62,4)</f>
        <v>14.140499999999999</v>
      </c>
      <c r="M63" s="63">
        <f t="shared" si="221"/>
        <v>14.1976</v>
      </c>
      <c r="N63" s="63">
        <f t="shared" si="221"/>
        <v>14.214</v>
      </c>
      <c r="O63" s="63">
        <f t="shared" si="221"/>
        <v>14.222099999999999</v>
      </c>
      <c r="P63" s="63">
        <f t="shared" si="221"/>
        <v>14.2303</v>
      </c>
      <c r="Q63" s="63">
        <f t="shared" si="221"/>
        <v>14.2303</v>
      </c>
      <c r="R63" s="64">
        <f t="shared" si="221"/>
        <v>14.214</v>
      </c>
      <c r="S63" s="181" t="s">
        <v>342</v>
      </c>
      <c r="T63" s="44">
        <f>ROUND(T56*T48*T54^2*T53/T46*(1-T43/T54)*T62,4)</f>
        <v>14.3283</v>
      </c>
      <c r="U63" s="38">
        <f t="shared" ref="U63:AA63" si="222">ROUND(U56*U48*U54^2*U53/U46*(1-U43/U54)*U62,4)</f>
        <v>14.336399999999999</v>
      </c>
      <c r="V63" s="38">
        <f t="shared" si="222"/>
        <v>14.336399999999999</v>
      </c>
      <c r="W63" s="38">
        <f t="shared" si="222"/>
        <v>14.3446</v>
      </c>
      <c r="X63" s="38">
        <f t="shared" si="222"/>
        <v>14.3446</v>
      </c>
      <c r="Y63" s="38">
        <f t="shared" si="222"/>
        <v>14.3446</v>
      </c>
      <c r="Z63" s="38">
        <f t="shared" si="222"/>
        <v>14.336399999999999</v>
      </c>
      <c r="AA63" s="39">
        <f t="shared" si="222"/>
        <v>14.336399999999999</v>
      </c>
      <c r="AB63" s="7"/>
      <c r="AC63" s="150" t="s">
        <v>416</v>
      </c>
      <c r="AD63" s="151">
        <f>MAX(AC52:AJ52)</f>
        <v>7</v>
      </c>
      <c r="AE63" s="152" t="s">
        <v>417</v>
      </c>
      <c r="AF63" s="151">
        <f>IF($GP$64=AJ50,AJ40,IF($AH$63=AI50,AI40,IF($AH$63=AH50,AH40,IF($AH$63=AG50,AG40,IF($AH$63=AF50,AF40,IF($AH$63=AE50,AE40,IF($AH$63=AD50,AD40,IF($AH$63=AC50,AC40))))))))</f>
        <v>10</v>
      </c>
      <c r="AG63" s="153" t="s">
        <v>418</v>
      </c>
      <c r="AH63" s="7">
        <f>MAX(AC50:AJ50)</f>
        <v>4.87</v>
      </c>
      <c r="AK63" s="69" t="s">
        <v>255</v>
      </c>
      <c r="AL63" s="176">
        <f>'환기량 산정'!B1530</f>
        <v>29</v>
      </c>
      <c r="AM63" s="177">
        <f>'환기량 산정'!C1530</f>
        <v>28</v>
      </c>
      <c r="AN63" s="177">
        <f>'환기량 산정'!D1530</f>
        <v>21</v>
      </c>
      <c r="AO63" s="177">
        <f>'환기량 산정'!E1530</f>
        <v>19</v>
      </c>
      <c r="AP63" s="177">
        <f>'환기량 산정'!F1530</f>
        <v>18</v>
      </c>
      <c r="AQ63" s="177">
        <f>'환기량 산정'!G1530</f>
        <v>17</v>
      </c>
      <c r="AR63" s="177">
        <f>'환기량 산정'!H1530</f>
        <v>17</v>
      </c>
      <c r="AS63" s="178">
        <f>'환기량 산정'!I1530</f>
        <v>19</v>
      </c>
      <c r="AT63" s="36" t="s">
        <v>342</v>
      </c>
      <c r="AU63" s="327">
        <f t="shared" ref="AU63:BB63" si="223">ROUND(AU56*AU48*AU54^2*AU53/AU46*(1-AU43/AU54)*AU62,4)</f>
        <v>14.0017</v>
      </c>
      <c r="AV63" s="332">
        <f t="shared" si="223"/>
        <v>14.0017</v>
      </c>
      <c r="AW63" s="332">
        <f t="shared" si="223"/>
        <v>14.0017</v>
      </c>
      <c r="AX63" s="332">
        <f t="shared" si="223"/>
        <v>14.0017</v>
      </c>
      <c r="AY63" s="332">
        <f t="shared" si="223"/>
        <v>14.0017</v>
      </c>
      <c r="AZ63" s="332">
        <f t="shared" si="223"/>
        <v>14.0017</v>
      </c>
      <c r="BA63" s="332">
        <f t="shared" si="223"/>
        <v>14.0017</v>
      </c>
      <c r="BB63" s="338">
        <f t="shared" si="223"/>
        <v>14.0017</v>
      </c>
      <c r="BC63" s="36" t="s">
        <v>342</v>
      </c>
      <c r="BD63" s="327">
        <f t="shared" ref="BD63:BK63" si="224">ROUND(BD56*BD48*BD54^2*BD53/BD46*(1-BD43/BD54)*BD62,4)</f>
        <v>14.3691</v>
      </c>
      <c r="BE63" s="332">
        <f t="shared" si="224"/>
        <v>14.3691</v>
      </c>
      <c r="BF63" s="332">
        <f t="shared" si="224"/>
        <v>14.3691</v>
      </c>
      <c r="BG63" s="332">
        <f t="shared" si="224"/>
        <v>14.3691</v>
      </c>
      <c r="BH63" s="332">
        <f t="shared" si="224"/>
        <v>14.3691</v>
      </c>
      <c r="BI63" s="332">
        <f t="shared" si="224"/>
        <v>14.3691</v>
      </c>
      <c r="BJ63" s="332">
        <f t="shared" si="224"/>
        <v>14.3691</v>
      </c>
      <c r="BK63" s="338">
        <f t="shared" si="224"/>
        <v>14.3691</v>
      </c>
    </row>
    <row r="64" spans="1:63" ht="14.25" thickBot="1">
      <c r="A64" s="36" t="s">
        <v>172</v>
      </c>
      <c r="B64" s="44">
        <f t="shared" ref="B64:I64" si="225">ROUND(B61/B63,2)</f>
        <v>0.17</v>
      </c>
      <c r="C64" s="38">
        <f t="shared" si="225"/>
        <v>-1.81</v>
      </c>
      <c r="D64" s="38">
        <f t="shared" si="225"/>
        <v>-4.2</v>
      </c>
      <c r="E64" s="38">
        <f t="shared" si="225"/>
        <v>-6.47</v>
      </c>
      <c r="F64" s="38">
        <f t="shared" si="225"/>
        <v>-8.77</v>
      </c>
      <c r="G64" s="63">
        <f t="shared" si="225"/>
        <v>-10.66</v>
      </c>
      <c r="H64" s="38">
        <f t="shared" si="225"/>
        <v>-12.81</v>
      </c>
      <c r="I64" s="39">
        <f t="shared" si="225"/>
        <v>-14.99</v>
      </c>
      <c r="J64" s="36" t="s">
        <v>172</v>
      </c>
      <c r="K64" s="62">
        <f t="shared" ref="K64:R64" si="226">ROUND(K61/K63,2)</f>
        <v>0.45</v>
      </c>
      <c r="L64" s="38">
        <f t="shared" si="226"/>
        <v>-1.56</v>
      </c>
      <c r="M64" s="38">
        <f t="shared" si="226"/>
        <v>-4.1100000000000003</v>
      </c>
      <c r="N64" s="38">
        <f t="shared" si="226"/>
        <v>-6.45</v>
      </c>
      <c r="O64" s="38">
        <f t="shared" si="226"/>
        <v>-8.93</v>
      </c>
      <c r="P64" s="38">
        <f t="shared" si="226"/>
        <v>-10.83</v>
      </c>
      <c r="Q64" s="38">
        <f t="shared" si="226"/>
        <v>-12.97</v>
      </c>
      <c r="R64" s="39">
        <f t="shared" si="226"/>
        <v>-15.12</v>
      </c>
      <c r="S64" s="181" t="s">
        <v>172</v>
      </c>
      <c r="T64" s="44">
        <f t="shared" ref="T64:AA64" si="227">ROUND(T61/T63,2)</f>
        <v>0.1</v>
      </c>
      <c r="U64" s="38">
        <f t="shared" si="227"/>
        <v>-2.0499999999999998</v>
      </c>
      <c r="V64" s="38">
        <f t="shared" si="227"/>
        <v>-4.4800000000000004</v>
      </c>
      <c r="W64" s="38">
        <f t="shared" si="227"/>
        <v>-6.8</v>
      </c>
      <c r="X64" s="38">
        <f t="shared" si="227"/>
        <v>-9.25</v>
      </c>
      <c r="Y64" s="38">
        <f t="shared" si="227"/>
        <v>-11.11</v>
      </c>
      <c r="Z64" s="38">
        <f t="shared" si="227"/>
        <v>-13.22</v>
      </c>
      <c r="AA64" s="39">
        <f t="shared" si="227"/>
        <v>-15.39</v>
      </c>
      <c r="AB64" s="7"/>
      <c r="AC64" s="154" t="s">
        <v>419</v>
      </c>
      <c r="AD64" s="155">
        <f>MAX(AD59:AD63)</f>
        <v>7</v>
      </c>
      <c r="AE64" s="156" t="s">
        <v>420</v>
      </c>
      <c r="AF64" s="157" t="str">
        <f>IF(AD64=AD63,IF(AD64=MAX(AD59:AD61),"환기 방재","방재"),"환기")</f>
        <v>방재</v>
      </c>
      <c r="AG64" s="158"/>
      <c r="AH64" s="7"/>
      <c r="AI64" s="7"/>
      <c r="AK64" s="69" t="s">
        <v>256</v>
      </c>
      <c r="AL64" s="62">
        <f>'환기량 산정'!B1532</f>
        <v>5</v>
      </c>
      <c r="AM64" s="63">
        <f>'환기량 산정'!C1532</f>
        <v>4</v>
      </c>
      <c r="AN64" s="63">
        <f>'환기량 산정'!D1532</f>
        <v>4</v>
      </c>
      <c r="AO64" s="63">
        <f>'환기량 산정'!E1532</f>
        <v>3</v>
      </c>
      <c r="AP64" s="63">
        <f>'환기량 산정'!F1532</f>
        <v>3</v>
      </c>
      <c r="AQ64" s="63">
        <f>'환기량 산정'!G1532</f>
        <v>3</v>
      </c>
      <c r="AR64" s="63">
        <f>'환기량 산정'!H1532</f>
        <v>4</v>
      </c>
      <c r="AS64" s="64">
        <f>'환기량 산정'!I1532</f>
        <v>4</v>
      </c>
      <c r="AT64" s="36" t="s">
        <v>172</v>
      </c>
      <c r="AU64" s="327">
        <f t="shared" ref="AU64:BB64" si="228">ROUND(AU61/AU63,2)</f>
        <v>0.7</v>
      </c>
      <c r="AV64" s="328">
        <f t="shared" si="228"/>
        <v>-1.2</v>
      </c>
      <c r="AW64" s="328">
        <f t="shared" si="228"/>
        <v>-3.54</v>
      </c>
      <c r="AX64" s="328">
        <f t="shared" si="228"/>
        <v>-5.83</v>
      </c>
      <c r="AY64" s="328">
        <f t="shared" si="228"/>
        <v>-8.2899999999999991</v>
      </c>
      <c r="AZ64" s="328">
        <f t="shared" si="228"/>
        <v>-10.210000000000001</v>
      </c>
      <c r="BA64" s="328">
        <f t="shared" si="228"/>
        <v>-12.38</v>
      </c>
      <c r="BB64" s="329">
        <f t="shared" si="228"/>
        <v>-14.59</v>
      </c>
      <c r="BC64" s="36" t="s">
        <v>172</v>
      </c>
      <c r="BD64" s="327">
        <f t="shared" ref="BD64:BK64" si="229">ROUND(BD61/BD63,2)</f>
        <v>0.03</v>
      </c>
      <c r="BE64" s="328">
        <f t="shared" si="229"/>
        <v>-2.12</v>
      </c>
      <c r="BF64" s="328">
        <f t="shared" si="229"/>
        <v>-4.57</v>
      </c>
      <c r="BG64" s="328">
        <f t="shared" si="229"/>
        <v>-6.86</v>
      </c>
      <c r="BH64" s="328">
        <f t="shared" si="229"/>
        <v>-9.32</v>
      </c>
      <c r="BI64" s="328">
        <f t="shared" si="229"/>
        <v>-11.17</v>
      </c>
      <c r="BJ64" s="328">
        <f t="shared" si="229"/>
        <v>-13.29</v>
      </c>
      <c r="BK64" s="329">
        <f t="shared" si="229"/>
        <v>-15.46</v>
      </c>
    </row>
    <row r="65" spans="1:63" ht="14.25" thickBot="1">
      <c r="A65" s="49" t="s">
        <v>173</v>
      </c>
      <c r="B65" s="185">
        <f t="shared" ref="B65:I65" si="230">IF(B64&lt;0,0,IF(B64&gt;0,ROUNDUP(B64,0)))</f>
        <v>1</v>
      </c>
      <c r="C65" s="51">
        <f t="shared" si="230"/>
        <v>0</v>
      </c>
      <c r="D65" s="51">
        <f t="shared" si="230"/>
        <v>0</v>
      </c>
      <c r="E65" s="51">
        <f t="shared" si="230"/>
        <v>0</v>
      </c>
      <c r="F65" s="51">
        <f t="shared" si="230"/>
        <v>0</v>
      </c>
      <c r="G65" s="51">
        <f t="shared" si="230"/>
        <v>0</v>
      </c>
      <c r="H65" s="51">
        <f t="shared" si="230"/>
        <v>0</v>
      </c>
      <c r="I65" s="52">
        <f t="shared" si="230"/>
        <v>0</v>
      </c>
      <c r="J65" s="49" t="s">
        <v>173</v>
      </c>
      <c r="K65" s="185">
        <f t="shared" ref="K65:R65" si="231">IF(K64&lt;0,0,IF(K64&gt;0,ROUNDUP(K64,0)))</f>
        <v>1</v>
      </c>
      <c r="L65" s="51">
        <f t="shared" si="231"/>
        <v>0</v>
      </c>
      <c r="M65" s="51">
        <f t="shared" si="231"/>
        <v>0</v>
      </c>
      <c r="N65" s="51">
        <f t="shared" si="231"/>
        <v>0</v>
      </c>
      <c r="O65" s="51">
        <f t="shared" si="231"/>
        <v>0</v>
      </c>
      <c r="P65" s="51">
        <f t="shared" si="231"/>
        <v>0</v>
      </c>
      <c r="Q65" s="51">
        <f t="shared" si="231"/>
        <v>0</v>
      </c>
      <c r="R65" s="52">
        <f t="shared" si="231"/>
        <v>0</v>
      </c>
      <c r="S65" s="194" t="s">
        <v>173</v>
      </c>
      <c r="T65" s="185">
        <f t="shared" ref="T65:AA65" si="232">IF(T64&lt;0,0,IF(T64&gt;0,ROUNDUP(T64,0)))</f>
        <v>1</v>
      </c>
      <c r="U65" s="51">
        <f t="shared" si="232"/>
        <v>0</v>
      </c>
      <c r="V65" s="51">
        <f t="shared" si="232"/>
        <v>0</v>
      </c>
      <c r="W65" s="51">
        <f t="shared" si="232"/>
        <v>0</v>
      </c>
      <c r="X65" s="51">
        <f t="shared" si="232"/>
        <v>0</v>
      </c>
      <c r="Y65" s="51">
        <f t="shared" si="232"/>
        <v>0</v>
      </c>
      <c r="Z65" s="51">
        <f t="shared" si="232"/>
        <v>0</v>
      </c>
      <c r="AA65" s="52">
        <f t="shared" si="232"/>
        <v>0</v>
      </c>
      <c r="AB65" s="7"/>
      <c r="AC65" s="136"/>
      <c r="AD65" s="7"/>
      <c r="AE65" s="7"/>
      <c r="AF65" s="7"/>
      <c r="AG65" s="7"/>
      <c r="AH65" s="7"/>
      <c r="AI65" s="7"/>
      <c r="AJ65" s="7"/>
      <c r="AK65" s="169" t="s">
        <v>257</v>
      </c>
      <c r="AL65" s="175">
        <f>MAX(AL62:AL64)</f>
        <v>29</v>
      </c>
      <c r="AM65" s="162">
        <f t="shared" ref="AM65:AS65" si="233">MAX(AM62:AM64)</f>
        <v>28</v>
      </c>
      <c r="AN65" s="162">
        <f t="shared" si="233"/>
        <v>21</v>
      </c>
      <c r="AO65" s="162">
        <f t="shared" si="233"/>
        <v>19</v>
      </c>
      <c r="AP65" s="162">
        <f t="shared" si="233"/>
        <v>25</v>
      </c>
      <c r="AQ65" s="162">
        <f t="shared" si="233"/>
        <v>25</v>
      </c>
      <c r="AR65" s="162">
        <f t="shared" si="233"/>
        <v>25</v>
      </c>
      <c r="AS65" s="163">
        <f t="shared" si="233"/>
        <v>26</v>
      </c>
      <c r="AT65" s="49" t="s">
        <v>173</v>
      </c>
      <c r="AU65" s="339">
        <f t="shared" ref="AU65:BB65" si="234">IF(AU64&lt;0,0,IF(AU64&gt;0,ROUNDUP(AU64,0)))</f>
        <v>1</v>
      </c>
      <c r="AV65" s="340">
        <f t="shared" si="234"/>
        <v>0</v>
      </c>
      <c r="AW65" s="340">
        <f t="shared" si="234"/>
        <v>0</v>
      </c>
      <c r="AX65" s="340">
        <f t="shared" si="234"/>
        <v>0</v>
      </c>
      <c r="AY65" s="340">
        <f t="shared" si="234"/>
        <v>0</v>
      </c>
      <c r="AZ65" s="340">
        <f t="shared" si="234"/>
        <v>0</v>
      </c>
      <c r="BA65" s="340">
        <f t="shared" si="234"/>
        <v>0</v>
      </c>
      <c r="BB65" s="341">
        <f t="shared" si="234"/>
        <v>0</v>
      </c>
      <c r="BC65" s="49" t="s">
        <v>173</v>
      </c>
      <c r="BD65" s="339">
        <f t="shared" ref="BD65:BK65" si="235">IF(BD64&lt;0,0,IF(BD64&gt;0,ROUNDUP(BD64,0)))</f>
        <v>1</v>
      </c>
      <c r="BE65" s="340">
        <f t="shared" si="235"/>
        <v>0</v>
      </c>
      <c r="BF65" s="340">
        <f t="shared" si="235"/>
        <v>0</v>
      </c>
      <c r="BG65" s="340">
        <f t="shared" si="235"/>
        <v>0</v>
      </c>
      <c r="BH65" s="340">
        <f t="shared" si="235"/>
        <v>0</v>
      </c>
      <c r="BI65" s="340">
        <f t="shared" si="235"/>
        <v>0</v>
      </c>
      <c r="BJ65" s="340">
        <f t="shared" si="235"/>
        <v>0</v>
      </c>
      <c r="BK65" s="341">
        <f t="shared" si="235"/>
        <v>0</v>
      </c>
    </row>
    <row r="66" spans="1:63" ht="14.25" thickBot="1">
      <c r="J66" s="53"/>
      <c r="K66" s="53"/>
      <c r="L66" s="53"/>
      <c r="M66" s="53"/>
      <c r="N66" s="53"/>
      <c r="O66" s="53"/>
      <c r="P66" s="53"/>
      <c r="Q66" s="53"/>
      <c r="R66" s="53"/>
      <c r="AB66" s="7"/>
      <c r="AC66" s="144" t="s">
        <v>218</v>
      </c>
      <c r="AD66" s="145" t="str">
        <f>IF(AF66&gt;10,"불가",IF(ROUNDDOWN(('환기량 산정'!H17/F37-1),0)*AC54&gt;=AD64,"가능","불가"))</f>
        <v>가능</v>
      </c>
      <c r="AE66" s="131" t="s">
        <v>222</v>
      </c>
      <c r="AF66" s="159">
        <f>ROUND(MAX(AI59:AI62),2)</f>
        <v>0.77</v>
      </c>
      <c r="AG66" s="160" t="str">
        <f>CONCATENATE(," m/s")</f>
        <v xml:space="preserve"> m/s</v>
      </c>
      <c r="AH66" s="7"/>
      <c r="AI66" s="7"/>
      <c r="AJ66" s="7"/>
      <c r="AL66" s="197" t="str">
        <f>IF(AL48&lt;0,IF(AL50&gt;2.78,"OK","AL47 수식 양수로 변경하세요"),IF(AL50&lt;=2.78,"OK","AL47 수식을 음수로 변경하세요"))</f>
        <v>OK</v>
      </c>
      <c r="AM66" s="197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</row>
    <row r="67" spans="1:63">
      <c r="A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BA67" s="7"/>
      <c r="BB67" s="7"/>
      <c r="BJ67" s="7"/>
      <c r="BK67" s="7"/>
    </row>
    <row r="68" spans="1:63"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BA68" s="7"/>
      <c r="BB68" s="7"/>
      <c r="BJ68" s="7"/>
      <c r="BK68" s="7"/>
    </row>
    <row r="71" spans="1:63">
      <c r="AL71" s="1228" t="e">
        <f>$AK$34*AL56</f>
        <v>#DIV/0!</v>
      </c>
      <c r="AM71" s="1228">
        <f>$AK$35*AM56</f>
        <v>1.1802E-3</v>
      </c>
      <c r="AN71" s="1228">
        <f t="shared" ref="AN71:AO71" si="236">$AK$35*AN56</f>
        <v>7.3779999999999994E-4</v>
      </c>
      <c r="AO71" s="1228">
        <f t="shared" si="236"/>
        <v>5.9009999999999998E-4</v>
      </c>
      <c r="AP71" s="1228">
        <f>$AK$36*AP56</f>
        <v>4.795E-4</v>
      </c>
      <c r="AQ71" s="1228">
        <f t="shared" ref="AQ71:AS71" si="237">$AK$36*AQ56</f>
        <v>4.2000000000000002E-4</v>
      </c>
      <c r="AR71" s="1228">
        <f t="shared" si="237"/>
        <v>3.7400000000000004E-4</v>
      </c>
      <c r="AS71" s="1228">
        <f t="shared" si="237"/>
        <v>3.5200000000000005E-4</v>
      </c>
    </row>
    <row r="72" spans="1:63">
      <c r="AL72" s="3" t="e">
        <f>$AK$33*AL58</f>
        <v>#DIV/0!</v>
      </c>
      <c r="AM72" s="3">
        <f t="shared" ref="AM72:AS72" si="238">$AK$33*AM58</f>
        <v>0.84199999999999997</v>
      </c>
      <c r="AN72" s="3">
        <f t="shared" si="238"/>
        <v>0.496</v>
      </c>
      <c r="AO72" s="3">
        <f t="shared" si="238"/>
        <v>0.28199999999999997</v>
      </c>
      <c r="AP72" s="3">
        <f t="shared" si="238"/>
        <v>0.22999999999999998</v>
      </c>
      <c r="AQ72" s="3">
        <f t="shared" si="238"/>
        <v>0.20199999999999999</v>
      </c>
      <c r="AR72" s="3">
        <f t="shared" si="238"/>
        <v>0.24</v>
      </c>
      <c r="AS72" s="3">
        <f t="shared" si="238"/>
        <v>0.21600000000000003</v>
      </c>
    </row>
  </sheetData>
  <mergeCells count="11">
    <mergeCell ref="A4:A5"/>
    <mergeCell ref="A38:A39"/>
    <mergeCell ref="AE22:AF22"/>
    <mergeCell ref="BD5:BK5"/>
    <mergeCell ref="BD39:BK39"/>
    <mergeCell ref="AU39:BB39"/>
    <mergeCell ref="AU5:BB5"/>
    <mergeCell ref="AC5:AJ5"/>
    <mergeCell ref="AC39:AJ39"/>
    <mergeCell ref="AK4:AK5"/>
    <mergeCell ref="AK38:AK39"/>
  </mergeCells>
  <phoneticPr fontId="4" type="noConversion"/>
  <printOptions horizontalCentered="1"/>
  <pageMargins left="0.27559055118110237" right="0.19685039370078741" top="0.74803149606299213" bottom="0.55118110236220474" header="0.51181102362204722" footer="0.31496062992125984"/>
  <pageSetup paperSize="9" scale="73" fitToHeight="0" pageOrder="overThenDown" orientation="portrait" r:id="rId1"/>
  <headerFooter alignWithMargins="0">
    <oddHeader>&amp;R&amp;D &amp;T</oddHeader>
    <oddFooter>&amp;L&amp;"Arial,보통"&amp;F&amp;C&amp;P 쪽&amp;R&amp;"Arial,보통"&amp;A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5"/>
  <sheetViews>
    <sheetView zoomScale="85" zoomScaleNormal="85" workbookViewId="0">
      <selection activeCell="H65" sqref="H65"/>
    </sheetView>
  </sheetViews>
  <sheetFormatPr defaultRowHeight="13.5"/>
  <cols>
    <col min="1" max="1" width="13.33203125" customWidth="1"/>
    <col min="6" max="6" width="9.88671875" bestFit="1" customWidth="1"/>
  </cols>
  <sheetData>
    <row r="1" spans="1:6">
      <c r="B1">
        <f>'환기량 산정'!A46</f>
        <v>0</v>
      </c>
      <c r="C1">
        <f>'환기량 산정'!A44</f>
        <v>0</v>
      </c>
      <c r="D1">
        <f>'환기량 산정'!A42</f>
        <v>0</v>
      </c>
      <c r="E1">
        <f>'환기량 산정'!A40</f>
        <v>0</v>
      </c>
      <c r="F1">
        <f>'환기량 산정'!A38</f>
        <v>2222</v>
      </c>
    </row>
    <row r="2" spans="1:6">
      <c r="A2" t="s">
        <v>194</v>
      </c>
      <c r="B2" s="113">
        <f>'환기량 산정'!K46</f>
        <v>0</v>
      </c>
      <c r="C2" s="113">
        <f>'환기량 산정'!K44</f>
        <v>0</v>
      </c>
      <c r="D2" s="113">
        <f>'환기량 산정'!K42</f>
        <v>0</v>
      </c>
      <c r="E2" s="113">
        <f>'환기량 산정'!K40</f>
        <v>0</v>
      </c>
      <c r="F2" s="113">
        <f>'환기량 산정'!K38</f>
        <v>102367</v>
      </c>
    </row>
    <row r="3" spans="1:6">
      <c r="A3" t="s">
        <v>195</v>
      </c>
      <c r="B3" t="e">
        <f>'환기량 산정'!L47</f>
        <v>#DIV/0!</v>
      </c>
      <c r="C3" t="e">
        <f>'환기량 산정'!L45</f>
        <v>#DIV/0!</v>
      </c>
      <c r="D3" t="e">
        <f>'환기량 산정'!L43</f>
        <v>#DIV/0!</v>
      </c>
      <c r="E3" t="e">
        <f>'환기량 산정'!L41</f>
        <v>#DIV/0!</v>
      </c>
      <c r="F3">
        <f>'환기량 산정'!L39</f>
        <v>4.91</v>
      </c>
    </row>
    <row r="28" spans="1:9">
      <c r="B28" t="s">
        <v>340</v>
      </c>
      <c r="C28" t="s">
        <v>341</v>
      </c>
      <c r="D28" t="s">
        <v>196</v>
      </c>
      <c r="E28" t="s">
        <v>266</v>
      </c>
      <c r="F28" t="s">
        <v>197</v>
      </c>
      <c r="G28" t="s">
        <v>267</v>
      </c>
      <c r="H28" t="s">
        <v>198</v>
      </c>
      <c r="I28" t="s">
        <v>199</v>
      </c>
    </row>
    <row r="29" spans="1:9">
      <c r="A29" t="s">
        <v>200</v>
      </c>
      <c r="B29">
        <f>'환기량 산정'!C39</f>
        <v>48.65</v>
      </c>
      <c r="C29">
        <f>'환기량 산정'!D39</f>
        <v>32.44</v>
      </c>
      <c r="D29">
        <f>'환기량 산정'!E39</f>
        <v>0</v>
      </c>
      <c r="E29">
        <f>'환기량 산정'!F39</f>
        <v>0.8</v>
      </c>
      <c r="F29">
        <f>'환기량 산정'!G39</f>
        <v>14</v>
      </c>
      <c r="G29">
        <f>'환기량 산정'!H39</f>
        <v>2.95</v>
      </c>
      <c r="H29">
        <f>'환기량 산정'!I39</f>
        <v>0.32</v>
      </c>
      <c r="I29">
        <f>'환기량 산정'!J39</f>
        <v>0.84</v>
      </c>
    </row>
    <row r="73" spans="2:10">
      <c r="B73" s="112"/>
      <c r="C73" s="112">
        <v>10</v>
      </c>
      <c r="D73" s="112">
        <v>20</v>
      </c>
      <c r="E73" s="112">
        <v>30</v>
      </c>
      <c r="F73" s="112">
        <v>40</v>
      </c>
      <c r="G73" s="112">
        <v>50</v>
      </c>
      <c r="H73" s="112">
        <v>60</v>
      </c>
      <c r="I73" s="112">
        <v>70</v>
      </c>
      <c r="J73" s="112">
        <v>80</v>
      </c>
    </row>
    <row r="74" spans="2:10">
      <c r="B74" s="112" t="s">
        <v>360</v>
      </c>
      <c r="C74" s="112">
        <v>485</v>
      </c>
      <c r="D74" s="112">
        <v>385</v>
      </c>
      <c r="E74" s="112">
        <v>322</v>
      </c>
      <c r="F74" s="112">
        <v>286</v>
      </c>
      <c r="G74" s="112">
        <v>409</v>
      </c>
      <c r="H74" s="112">
        <v>384</v>
      </c>
      <c r="I74" s="112">
        <v>372</v>
      </c>
      <c r="J74" s="112">
        <v>419</v>
      </c>
    </row>
    <row r="75" spans="2:10">
      <c r="B75" s="112" t="s">
        <v>361</v>
      </c>
      <c r="C75" s="112">
        <v>511</v>
      </c>
      <c r="D75" s="112">
        <v>406</v>
      </c>
      <c r="E75" s="112">
        <v>340</v>
      </c>
      <c r="F75" s="112">
        <v>338</v>
      </c>
      <c r="G75" s="112">
        <v>496</v>
      </c>
      <c r="H75" s="112">
        <v>456</v>
      </c>
      <c r="I75" s="112">
        <v>455</v>
      </c>
      <c r="J75" s="112">
        <v>513</v>
      </c>
    </row>
  </sheetData>
  <phoneticPr fontId="11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I53" sqref="I53"/>
    </sheetView>
  </sheetViews>
  <sheetFormatPr defaultRowHeight="13.5"/>
  <sheetData>
    <row r="1" spans="1:9">
      <c r="D1" s="68" t="str">
        <f>'환기용량 산정(제트팬식)'!AN4</f>
        <v>마산</v>
      </c>
      <c r="E1" s="2" t="str">
        <f>'환기용량 산정(제트팬식)'!AO4</f>
        <v>⇒</v>
      </c>
      <c r="F1" s="68" t="str">
        <f>'환기용량 산정(제트팬식)'!AP4</f>
        <v>진주</v>
      </c>
    </row>
    <row r="2" spans="1:9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</row>
    <row r="3" spans="1:9">
      <c r="A3" t="s">
        <v>235</v>
      </c>
      <c r="B3">
        <f>'환기용량 산정(제트팬식)'!AL7</f>
        <v>1</v>
      </c>
      <c r="C3">
        <f>'환기용량 산정(제트팬식)'!AM7</f>
        <v>0</v>
      </c>
      <c r="D3">
        <f>'환기용량 산정(제트팬식)'!AN7</f>
        <v>0</v>
      </c>
      <c r="E3">
        <f>'환기용량 산정(제트팬식)'!AO7</f>
        <v>0</v>
      </c>
      <c r="F3">
        <f>'환기용량 산정(제트팬식)'!AP7</f>
        <v>0</v>
      </c>
      <c r="G3">
        <f>'환기용량 산정(제트팬식)'!AQ7</f>
        <v>0</v>
      </c>
      <c r="H3">
        <f>'환기용량 산정(제트팬식)'!AR7</f>
        <v>0</v>
      </c>
      <c r="I3">
        <f>'환기용량 산정(제트팬식)'!AS7</f>
        <v>0</v>
      </c>
    </row>
    <row r="4" spans="1:9">
      <c r="A4" t="s">
        <v>239</v>
      </c>
      <c r="B4">
        <f>'환기용량 산정(제트팬식)'!AL8</f>
        <v>1</v>
      </c>
      <c r="C4">
        <f>'환기용량 산정(제트팬식)'!AM8</f>
        <v>0</v>
      </c>
      <c r="D4">
        <f>'환기용량 산정(제트팬식)'!AN8</f>
        <v>0</v>
      </c>
      <c r="E4">
        <f>'환기용량 산정(제트팬식)'!AO8</f>
        <v>0</v>
      </c>
      <c r="F4">
        <f>'환기용량 산정(제트팬식)'!AP8</f>
        <v>0</v>
      </c>
      <c r="G4">
        <f>'환기용량 산정(제트팬식)'!AQ8</f>
        <v>0</v>
      </c>
      <c r="H4">
        <f>'환기용량 산정(제트팬식)'!AR8</f>
        <v>0</v>
      </c>
      <c r="I4">
        <f>'환기용량 산정(제트팬식)'!AS8</f>
        <v>0</v>
      </c>
    </row>
    <row r="5" spans="1:9">
      <c r="A5" t="s">
        <v>240</v>
      </c>
      <c r="B5">
        <f>'환기용량 산정(제트팬식)'!AL9</f>
        <v>1</v>
      </c>
      <c r="C5">
        <f>'환기용량 산정(제트팬식)'!AM9</f>
        <v>0</v>
      </c>
      <c r="D5">
        <f>'환기용량 산정(제트팬식)'!AN9</f>
        <v>0</v>
      </c>
      <c r="E5">
        <f>'환기용량 산정(제트팬식)'!AO9</f>
        <v>0</v>
      </c>
      <c r="F5">
        <f>'환기용량 산정(제트팬식)'!AP9</f>
        <v>0</v>
      </c>
      <c r="G5">
        <f>'환기용량 산정(제트팬식)'!AQ9</f>
        <v>0</v>
      </c>
      <c r="H5">
        <f>'환기용량 산정(제트팬식)'!AR9</f>
        <v>0</v>
      </c>
      <c r="I5">
        <f>'환기용량 산정(제트팬식)'!AS9</f>
        <v>0</v>
      </c>
    </row>
    <row r="6" spans="1:9">
      <c r="A6" t="s">
        <v>244</v>
      </c>
      <c r="B6">
        <f>'환기용량 산정(제트팬식)'!AL11</f>
        <v>7</v>
      </c>
      <c r="C6">
        <f>'환기용량 산정(제트팬식)'!AM11</f>
        <v>7</v>
      </c>
      <c r="D6">
        <f>'환기용량 산정(제트팬식)'!AN11</f>
        <v>7</v>
      </c>
      <c r="E6">
        <f>'환기용량 산정(제트팬식)'!AO11</f>
        <v>7</v>
      </c>
      <c r="F6">
        <f>'환기용량 산정(제트팬식)'!AP11</f>
        <v>6</v>
      </c>
      <c r="G6">
        <f>'환기용량 산정(제트팬식)'!AQ11</f>
        <v>6</v>
      </c>
      <c r="H6">
        <f>'환기용량 산정(제트팬식)'!AR11</f>
        <v>6</v>
      </c>
      <c r="I6">
        <f>'환기용량 산정(제트팬식)'!AS11</f>
        <v>6</v>
      </c>
    </row>
  </sheetData>
  <phoneticPr fontId="11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activeCell="H47" sqref="H47"/>
    </sheetView>
  </sheetViews>
  <sheetFormatPr defaultRowHeight="13.5"/>
  <sheetData>
    <row r="1" spans="1:9">
      <c r="D1" s="68" t="str">
        <f>'환기용량 산정(제트팬식)'!AN38</f>
        <v>진주</v>
      </c>
      <c r="E1" s="2" t="str">
        <f>'환기용량 산정(제트팬식)'!AO4</f>
        <v>⇒</v>
      </c>
      <c r="F1" s="68" t="str">
        <f>'환기용량 산정(제트팬식)'!AP38</f>
        <v>마산</v>
      </c>
    </row>
    <row r="2" spans="1:9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</row>
    <row r="3" spans="1:9">
      <c r="A3" t="s">
        <v>241</v>
      </c>
      <c r="B3">
        <f>'환기용량 산정(제트팬식)'!AL41</f>
        <v>1</v>
      </c>
      <c r="C3">
        <f>'환기용량 산정(제트팬식)'!AM41</f>
        <v>0</v>
      </c>
      <c r="D3">
        <f>'환기용량 산정(제트팬식)'!AN41</f>
        <v>0</v>
      </c>
      <c r="E3">
        <f>'환기용량 산정(제트팬식)'!AO41</f>
        <v>0</v>
      </c>
      <c r="F3">
        <f>'환기용량 산정(제트팬식)'!AP41</f>
        <v>0</v>
      </c>
      <c r="G3">
        <f>'환기용량 산정(제트팬식)'!AQ41</f>
        <v>0</v>
      </c>
      <c r="H3">
        <f>'환기용량 산정(제트팬식)'!AR41</f>
        <v>0</v>
      </c>
      <c r="I3">
        <f>'환기용량 산정(제트팬식)'!AS41</f>
        <v>0</v>
      </c>
    </row>
    <row r="4" spans="1:9">
      <c r="A4" t="s">
        <v>242</v>
      </c>
      <c r="B4">
        <f>'환기용량 산정(제트팬식)'!AL42</f>
        <v>1</v>
      </c>
      <c r="C4">
        <f>'환기용량 산정(제트팬식)'!AM42</f>
        <v>0</v>
      </c>
      <c r="D4">
        <f>'환기용량 산정(제트팬식)'!AN42</f>
        <v>0</v>
      </c>
      <c r="E4">
        <f>'환기용량 산정(제트팬식)'!AO42</f>
        <v>0</v>
      </c>
      <c r="F4">
        <f>'환기용량 산정(제트팬식)'!AP42</f>
        <v>0</v>
      </c>
      <c r="G4">
        <f>'환기용량 산정(제트팬식)'!AQ42</f>
        <v>0</v>
      </c>
      <c r="H4">
        <f>'환기용량 산정(제트팬식)'!AR42</f>
        <v>0</v>
      </c>
      <c r="I4">
        <f>'환기용량 산정(제트팬식)'!AS42</f>
        <v>0</v>
      </c>
    </row>
    <row r="5" spans="1:9">
      <c r="A5" t="s">
        <v>243</v>
      </c>
      <c r="B5">
        <f>'환기용량 산정(제트팬식)'!AL43</f>
        <v>1</v>
      </c>
      <c r="C5">
        <f>'환기용량 산정(제트팬식)'!AM43</f>
        <v>0</v>
      </c>
      <c r="D5">
        <f>'환기용량 산정(제트팬식)'!AN43</f>
        <v>0</v>
      </c>
      <c r="E5">
        <f>'환기용량 산정(제트팬식)'!AO43</f>
        <v>0</v>
      </c>
      <c r="F5">
        <f>'환기용량 산정(제트팬식)'!AP43</f>
        <v>0</v>
      </c>
      <c r="G5">
        <f>'환기용량 산정(제트팬식)'!AQ43</f>
        <v>0</v>
      </c>
      <c r="H5">
        <f>'환기용량 산정(제트팬식)'!AR43</f>
        <v>0</v>
      </c>
      <c r="I5">
        <f>'환기용량 산정(제트팬식)'!AS43</f>
        <v>0</v>
      </c>
    </row>
    <row r="6" spans="1:9">
      <c r="A6" t="s">
        <v>245</v>
      </c>
      <c r="B6">
        <f>'환기용량 산정(제트팬식)'!AL45</f>
        <v>7</v>
      </c>
      <c r="C6">
        <f>'환기용량 산정(제트팬식)'!AM45</f>
        <v>7</v>
      </c>
      <c r="D6">
        <f>'환기용량 산정(제트팬식)'!AN45</f>
        <v>7</v>
      </c>
      <c r="E6">
        <f>'환기용량 산정(제트팬식)'!AO45</f>
        <v>7</v>
      </c>
      <c r="F6">
        <f>'환기용량 산정(제트팬식)'!AP45</f>
        <v>7</v>
      </c>
      <c r="G6">
        <f>'환기용량 산정(제트팬식)'!AQ45</f>
        <v>7</v>
      </c>
      <c r="H6">
        <f>'환기용량 산정(제트팬식)'!AR45</f>
        <v>7</v>
      </c>
      <c r="I6">
        <f>'환기용량 산정(제트팬식)'!AS45</f>
        <v>7</v>
      </c>
    </row>
  </sheetData>
  <phoneticPr fontId="11" type="noConversion"/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4"/>
  <sheetViews>
    <sheetView workbookViewId="0">
      <selection activeCell="D6" sqref="D6"/>
    </sheetView>
  </sheetViews>
  <sheetFormatPr defaultRowHeight="13.5"/>
  <cols>
    <col min="1" max="1" width="23.88671875" customWidth="1"/>
    <col min="3" max="3" width="10.21875" bestFit="1" customWidth="1"/>
  </cols>
  <sheetData>
    <row r="1" spans="1:11" ht="17.100000000000001" customHeight="1" thickBot="1">
      <c r="D1" s="2"/>
      <c r="E1" s="2"/>
      <c r="F1" s="2"/>
    </row>
    <row r="2" spans="1:11" ht="17.100000000000001" customHeight="1">
      <c r="A2" s="1537" t="s">
        <v>363</v>
      </c>
      <c r="B2" s="1538"/>
      <c r="C2" s="1541" t="s">
        <v>364</v>
      </c>
      <c r="D2" s="1542"/>
      <c r="E2" s="1542" t="s">
        <v>365</v>
      </c>
      <c r="F2" s="1542"/>
      <c r="G2" s="1542" t="s">
        <v>366</v>
      </c>
      <c r="H2" s="1542"/>
      <c r="I2" s="1542"/>
      <c r="J2" s="1543"/>
      <c r="K2" s="1535" t="s">
        <v>367</v>
      </c>
    </row>
    <row r="3" spans="1:11" ht="17.100000000000001" customHeight="1" thickBot="1">
      <c r="A3" s="1539"/>
      <c r="B3" s="1540"/>
      <c r="C3" s="283" t="s">
        <v>368</v>
      </c>
      <c r="D3" s="284" t="s">
        <v>369</v>
      </c>
      <c r="E3" s="284" t="s">
        <v>370</v>
      </c>
      <c r="F3" s="284" t="s">
        <v>371</v>
      </c>
      <c r="G3" s="284" t="s">
        <v>370</v>
      </c>
      <c r="H3" s="284" t="s">
        <v>372</v>
      </c>
      <c r="I3" s="284" t="s">
        <v>371</v>
      </c>
      <c r="J3" s="285" t="s">
        <v>373</v>
      </c>
      <c r="K3" s="1536"/>
    </row>
    <row r="4" spans="1:11" ht="17.100000000000001" customHeight="1">
      <c r="A4" s="278" t="s">
        <v>374</v>
      </c>
      <c r="B4" s="280"/>
      <c r="C4" s="275">
        <f>'환기량 산정'!C39</f>
        <v>48.65</v>
      </c>
      <c r="D4" s="275">
        <f>'환기량 산정'!D39</f>
        <v>32.44</v>
      </c>
      <c r="E4" s="275">
        <f>'환기량 산정'!E39</f>
        <v>0</v>
      </c>
      <c r="F4" s="275">
        <f>'환기량 산정'!F39</f>
        <v>0.8</v>
      </c>
      <c r="G4" s="275">
        <f>'환기량 산정'!G39</f>
        <v>14</v>
      </c>
      <c r="H4" s="275">
        <f>'환기량 산정'!H39</f>
        <v>2.95</v>
      </c>
      <c r="I4" s="275">
        <f>'환기량 산정'!I39</f>
        <v>0.32</v>
      </c>
      <c r="J4" s="275">
        <f>'환기량 산정'!J39</f>
        <v>0.84</v>
      </c>
      <c r="K4" s="276"/>
    </row>
    <row r="5" spans="1:11" ht="17.100000000000001" customHeight="1">
      <c r="A5" s="279" t="s">
        <v>375</v>
      </c>
      <c r="B5" s="281"/>
      <c r="C5" s="1532">
        <f>'환기량 산정'!E500</f>
        <v>1.0084999999999997</v>
      </c>
      <c r="D5" s="1533"/>
      <c r="E5" s="1533"/>
      <c r="F5" s="1533"/>
      <c r="G5" s="1533"/>
      <c r="H5" s="1533"/>
      <c r="I5" s="1533"/>
      <c r="J5" s="1534"/>
      <c r="K5" s="273"/>
    </row>
    <row r="6" spans="1:11" ht="17.100000000000001" customHeight="1">
      <c r="A6" s="279" t="s">
        <v>376</v>
      </c>
      <c r="B6" s="281"/>
      <c r="C6" s="270">
        <f>ROUNDUP(C4*$C$5,3)</f>
        <v>49.064</v>
      </c>
      <c r="D6" s="270">
        <f t="shared" ref="D6:J6" si="0">ROUNDUP(D4*$C$5,3)</f>
        <v>32.716000000000001</v>
      </c>
      <c r="E6" s="270">
        <f t="shared" si="0"/>
        <v>0</v>
      </c>
      <c r="F6" s="270">
        <f t="shared" si="0"/>
        <v>0.80700000000000005</v>
      </c>
      <c r="G6" s="270">
        <f t="shared" si="0"/>
        <v>14.119</v>
      </c>
      <c r="H6" s="270">
        <f t="shared" si="0"/>
        <v>2.976</v>
      </c>
      <c r="I6" s="270">
        <f t="shared" si="0"/>
        <v>0.32300000000000001</v>
      </c>
      <c r="J6" s="270">
        <f t="shared" si="0"/>
        <v>0.84799999999999998</v>
      </c>
      <c r="K6" s="274"/>
    </row>
    <row r="7" spans="1:11" ht="17.100000000000001" customHeight="1">
      <c r="A7" s="279" t="s">
        <v>378</v>
      </c>
      <c r="B7" s="282"/>
      <c r="C7" s="271">
        <f>'환기량 산정'!B224</f>
        <v>1</v>
      </c>
      <c r="D7" s="271">
        <f>'환기량 산정'!C224</f>
        <v>1</v>
      </c>
      <c r="E7" s="271">
        <f>'환기량 산정'!D224</f>
        <v>1</v>
      </c>
      <c r="F7" s="271">
        <f>'환기량 산정'!E224</f>
        <v>1.5</v>
      </c>
      <c r="G7" s="271">
        <f>'환기량 산정'!F224</f>
        <v>1</v>
      </c>
      <c r="H7" s="271">
        <f>'환기량 산정'!G224</f>
        <v>1.5</v>
      </c>
      <c r="I7" s="271">
        <f>'환기량 산정'!H224</f>
        <v>1.5</v>
      </c>
      <c r="J7" s="271">
        <f>'환기량 산정'!I224</f>
        <v>2</v>
      </c>
      <c r="K7" s="274"/>
    </row>
    <row r="8" spans="1:11" ht="17.100000000000001" customHeight="1" thickBot="1">
      <c r="A8" s="286" t="s">
        <v>377</v>
      </c>
      <c r="B8" s="287"/>
      <c r="C8" s="288">
        <f>ROUNDUP(C6/C7,3)</f>
        <v>49.064</v>
      </c>
      <c r="D8" s="288">
        <f t="shared" ref="D8:J8" si="1">ROUNDUP(D6/D7,3)</f>
        <v>32.716000000000001</v>
      </c>
      <c r="E8" s="288">
        <f t="shared" si="1"/>
        <v>0</v>
      </c>
      <c r="F8" s="288">
        <f t="shared" si="1"/>
        <v>0.53800000000000003</v>
      </c>
      <c r="G8" s="288">
        <f t="shared" si="1"/>
        <v>14.119</v>
      </c>
      <c r="H8" s="288">
        <f t="shared" si="1"/>
        <v>1.984</v>
      </c>
      <c r="I8" s="288">
        <f t="shared" si="1"/>
        <v>0.216</v>
      </c>
      <c r="J8" s="288">
        <f t="shared" si="1"/>
        <v>0.42399999999999999</v>
      </c>
      <c r="K8" s="289"/>
    </row>
    <row r="9" spans="1:11" ht="17.100000000000001" customHeight="1"/>
    <row r="10" spans="1:11" ht="17.100000000000001" customHeight="1"/>
    <row r="11" spans="1:11" ht="17.100000000000001" customHeight="1">
      <c r="K11" s="272"/>
    </row>
    <row r="14" spans="1:11">
      <c r="C14" s="277"/>
    </row>
  </sheetData>
  <mergeCells count="6">
    <mergeCell ref="C5:J5"/>
    <mergeCell ref="K2:K3"/>
    <mergeCell ref="A2:B3"/>
    <mergeCell ref="C2:D2"/>
    <mergeCell ref="E2:F2"/>
    <mergeCell ref="G2:J2"/>
  </mergeCells>
  <phoneticPr fontId="11" type="noConversion"/>
  <pageMargins left="0.19685039370078741" right="0.19685039370078741" top="0.9055118110236221" bottom="0.55118110236220474" header="0.51181102362204722" footer="0.51181102362204722"/>
  <pageSetup paperSize="9" scale="7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="85" zoomScaleNormal="85" workbookViewId="0">
      <selection activeCell="E33" sqref="E33"/>
    </sheetView>
  </sheetViews>
  <sheetFormatPr defaultRowHeight="13.5"/>
  <cols>
    <col min="3" max="3" width="9.109375" bestFit="1" customWidth="1"/>
    <col min="4" max="4" width="10.6640625" bestFit="1" customWidth="1"/>
    <col min="5" max="5" width="18.77734375" bestFit="1" customWidth="1"/>
    <col min="6" max="6" width="14.33203125" bestFit="1" customWidth="1"/>
    <col min="7" max="7" width="25.21875" bestFit="1" customWidth="1"/>
  </cols>
  <sheetData>
    <row r="1" spans="1:9" ht="14.25" thickBot="1"/>
    <row r="2" spans="1:9" ht="17.100000000000001" customHeight="1">
      <c r="A2" s="1544" t="s">
        <v>382</v>
      </c>
      <c r="B2" s="1546" t="s">
        <v>383</v>
      </c>
      <c r="C2" s="290" t="s">
        <v>384</v>
      </c>
      <c r="D2" s="290" t="s">
        <v>386</v>
      </c>
      <c r="E2" s="290" t="s">
        <v>388</v>
      </c>
      <c r="F2" s="290" t="s">
        <v>389</v>
      </c>
      <c r="G2" s="290" t="s">
        <v>392</v>
      </c>
      <c r="H2" s="291" t="s">
        <v>393</v>
      </c>
    </row>
    <row r="3" spans="1:9" ht="17.100000000000001" customHeight="1" thickBot="1">
      <c r="A3" s="1545"/>
      <c r="B3" s="1547"/>
      <c r="C3" s="293" t="s">
        <v>385</v>
      </c>
      <c r="D3" s="293" t="s">
        <v>387</v>
      </c>
      <c r="E3" s="293" t="s">
        <v>390</v>
      </c>
      <c r="F3" s="293" t="s">
        <v>391</v>
      </c>
      <c r="G3" s="293" t="s">
        <v>394</v>
      </c>
      <c r="H3" s="299" t="s">
        <v>395</v>
      </c>
    </row>
    <row r="4" spans="1:9" ht="17.100000000000001" customHeight="1">
      <c r="A4" s="1548" t="s">
        <v>396</v>
      </c>
      <c r="B4" s="296" t="s">
        <v>379</v>
      </c>
      <c r="C4" s="365">
        <f>'환기량 산정'!C39*'환기량 산정'!B226</f>
        <v>50.051119999999997</v>
      </c>
      <c r="D4" s="297">
        <v>10</v>
      </c>
      <c r="E4" s="297">
        <v>101.3</v>
      </c>
      <c r="F4" s="298">
        <f t="shared" ref="F4:F27" si="0">ROUND((C4*D4*E4)/10000,3)</f>
        <v>5.07</v>
      </c>
      <c r="G4" s="296">
        <v>100</v>
      </c>
      <c r="H4" s="303">
        <f>ROUND((G4*F4)/100,3)</f>
        <v>5.07</v>
      </c>
    </row>
    <row r="5" spans="1:9" ht="17.100000000000001" customHeight="1">
      <c r="A5" s="1549"/>
      <c r="B5" s="292" t="s">
        <v>380</v>
      </c>
      <c r="C5" s="367">
        <f>C4</f>
        <v>50.051119999999997</v>
      </c>
      <c r="D5" s="294">
        <v>7.5</v>
      </c>
      <c r="E5" s="294">
        <v>101.3</v>
      </c>
      <c r="F5" s="295">
        <f t="shared" si="0"/>
        <v>3.8029999999999999</v>
      </c>
      <c r="G5" s="292">
        <v>100</v>
      </c>
      <c r="H5" s="304">
        <f t="shared" ref="H5:H27" si="1">ROUND((G5*F5)/100,3)</f>
        <v>3.8029999999999999</v>
      </c>
      <c r="I5" s="302"/>
    </row>
    <row r="6" spans="1:9" ht="17.100000000000001" customHeight="1">
      <c r="A6" s="1549"/>
      <c r="B6" s="292" t="s">
        <v>381</v>
      </c>
      <c r="C6" s="367">
        <f>C5</f>
        <v>50.051119999999997</v>
      </c>
      <c r="D6" s="294">
        <v>2.5</v>
      </c>
      <c r="E6" s="294">
        <v>97.44</v>
      </c>
      <c r="F6" s="295">
        <f t="shared" si="0"/>
        <v>1.2190000000000001</v>
      </c>
      <c r="G6" s="292">
        <v>100</v>
      </c>
      <c r="H6" s="304">
        <f t="shared" si="1"/>
        <v>1.2190000000000001</v>
      </c>
    </row>
    <row r="7" spans="1:9" ht="17.100000000000001" customHeight="1">
      <c r="A7" s="1549" t="s">
        <v>397</v>
      </c>
      <c r="B7" s="292" t="s">
        <v>379</v>
      </c>
      <c r="C7" s="367">
        <f>'환기량 산정'!D39*'환기량 산정'!B226</f>
        <v>33.374271999999998</v>
      </c>
      <c r="D7" s="294">
        <v>10</v>
      </c>
      <c r="E7" s="294">
        <v>101.3</v>
      </c>
      <c r="F7" s="295">
        <f t="shared" si="0"/>
        <v>3.3809999999999998</v>
      </c>
      <c r="G7" s="296">
        <v>100</v>
      </c>
      <c r="H7" s="304">
        <f t="shared" si="1"/>
        <v>3.3809999999999998</v>
      </c>
    </row>
    <row r="8" spans="1:9" ht="17.100000000000001" customHeight="1">
      <c r="A8" s="1549"/>
      <c r="B8" s="292" t="s">
        <v>380</v>
      </c>
      <c r="C8" s="367">
        <f>C7</f>
        <v>33.374271999999998</v>
      </c>
      <c r="D8" s="294">
        <v>7.5</v>
      </c>
      <c r="E8" s="294">
        <v>101.3</v>
      </c>
      <c r="F8" s="295">
        <f t="shared" si="0"/>
        <v>2.536</v>
      </c>
      <c r="G8" s="292">
        <v>100</v>
      </c>
      <c r="H8" s="303">
        <f t="shared" si="1"/>
        <v>2.536</v>
      </c>
      <c r="I8" s="302"/>
    </row>
    <row r="9" spans="1:9" ht="17.100000000000001" customHeight="1">
      <c r="A9" s="1549"/>
      <c r="B9" s="292" t="s">
        <v>381</v>
      </c>
      <c r="C9" s="367">
        <f>C8</f>
        <v>33.374271999999998</v>
      </c>
      <c r="D9" s="294">
        <v>2.5</v>
      </c>
      <c r="E9" s="294">
        <v>97.44</v>
      </c>
      <c r="F9" s="295">
        <f t="shared" si="0"/>
        <v>0.81299999999999994</v>
      </c>
      <c r="G9" s="292">
        <v>100</v>
      </c>
      <c r="H9" s="304">
        <f t="shared" si="1"/>
        <v>0.81299999999999994</v>
      </c>
    </row>
    <row r="10" spans="1:9" ht="17.100000000000001" customHeight="1">
      <c r="A10" s="1549" t="s">
        <v>398</v>
      </c>
      <c r="B10" s="292" t="s">
        <v>379</v>
      </c>
      <c r="C10" s="367">
        <f>'환기량 산정'!E39*'환기량 산정'!B226</f>
        <v>0</v>
      </c>
      <c r="D10" s="294">
        <v>10</v>
      </c>
      <c r="E10" s="294">
        <v>101.3</v>
      </c>
      <c r="F10" s="295">
        <f t="shared" si="0"/>
        <v>0</v>
      </c>
      <c r="G10" s="296">
        <v>100</v>
      </c>
      <c r="H10" s="304">
        <f t="shared" si="1"/>
        <v>0</v>
      </c>
    </row>
    <row r="11" spans="1:9" ht="17.100000000000001" customHeight="1">
      <c r="A11" s="1549"/>
      <c r="B11" s="292" t="s">
        <v>380</v>
      </c>
      <c r="C11" s="367">
        <f>C10</f>
        <v>0</v>
      </c>
      <c r="D11" s="294">
        <v>7.5</v>
      </c>
      <c r="E11" s="294">
        <v>101.3</v>
      </c>
      <c r="F11" s="295">
        <f t="shared" si="0"/>
        <v>0</v>
      </c>
      <c r="G11" s="292">
        <v>100</v>
      </c>
      <c r="H11" s="304">
        <f t="shared" si="1"/>
        <v>0</v>
      </c>
    </row>
    <row r="12" spans="1:9" ht="17.100000000000001" customHeight="1">
      <c r="A12" s="1549"/>
      <c r="B12" s="292" t="s">
        <v>381</v>
      </c>
      <c r="C12" s="367">
        <f>C11</f>
        <v>0</v>
      </c>
      <c r="D12" s="294">
        <v>2.5</v>
      </c>
      <c r="E12" s="294">
        <v>97.44</v>
      </c>
      <c r="F12" s="295">
        <f t="shared" si="0"/>
        <v>0</v>
      </c>
      <c r="G12" s="292">
        <v>100</v>
      </c>
      <c r="H12" s="304">
        <f t="shared" si="1"/>
        <v>0</v>
      </c>
    </row>
    <row r="13" spans="1:9" ht="13.5" customHeight="1">
      <c r="A13" s="1549" t="s">
        <v>399</v>
      </c>
      <c r="B13" s="292" t="s">
        <v>379</v>
      </c>
      <c r="C13" s="367">
        <f>'환기량 산정'!F39*'환기량 산정'!B226</f>
        <v>0.82303999999999999</v>
      </c>
      <c r="D13" s="294">
        <v>10</v>
      </c>
      <c r="E13" s="294">
        <v>101.3</v>
      </c>
      <c r="F13" s="295">
        <f t="shared" si="0"/>
        <v>8.3000000000000004E-2</v>
      </c>
      <c r="G13" s="292">
        <v>66.667000000000002</v>
      </c>
      <c r="H13" s="304">
        <f t="shared" si="1"/>
        <v>5.5E-2</v>
      </c>
    </row>
    <row r="14" spans="1:9">
      <c r="A14" s="1549"/>
      <c r="B14" s="292" t="s">
        <v>380</v>
      </c>
      <c r="C14" s="367">
        <f>C13</f>
        <v>0.82303999999999999</v>
      </c>
      <c r="D14" s="294">
        <v>7.5</v>
      </c>
      <c r="E14" s="294">
        <v>101.3</v>
      </c>
      <c r="F14" s="295">
        <f t="shared" si="0"/>
        <v>6.3E-2</v>
      </c>
      <c r="G14" s="292">
        <v>66.667000000000002</v>
      </c>
      <c r="H14" s="304">
        <f t="shared" si="1"/>
        <v>4.2000000000000003E-2</v>
      </c>
    </row>
    <row r="15" spans="1:9">
      <c r="A15" s="1549"/>
      <c r="B15" s="292" t="s">
        <v>381</v>
      </c>
      <c r="C15" s="367">
        <f>C14</f>
        <v>0.82303999999999999</v>
      </c>
      <c r="D15" s="294">
        <v>2.5</v>
      </c>
      <c r="E15" s="294">
        <v>97.44</v>
      </c>
      <c r="F15" s="295">
        <f t="shared" si="0"/>
        <v>0.02</v>
      </c>
      <c r="G15" s="292">
        <v>66.667000000000002</v>
      </c>
      <c r="H15" s="304">
        <f t="shared" si="1"/>
        <v>1.2999999999999999E-2</v>
      </c>
    </row>
    <row r="16" spans="1:9" ht="13.5" customHeight="1">
      <c r="A16" s="1549" t="s">
        <v>400</v>
      </c>
      <c r="B16" s="292" t="s">
        <v>379</v>
      </c>
      <c r="C16" s="367">
        <f>'환기량 산정'!G39*'환기량 산정'!B226</f>
        <v>14.403199999999998</v>
      </c>
      <c r="D16" s="294">
        <v>10</v>
      </c>
      <c r="E16" s="294">
        <v>101.3</v>
      </c>
      <c r="F16" s="295">
        <f t="shared" si="0"/>
        <v>1.4590000000000001</v>
      </c>
      <c r="G16" s="296">
        <v>100</v>
      </c>
      <c r="H16" s="304">
        <f t="shared" si="1"/>
        <v>1.4590000000000001</v>
      </c>
    </row>
    <row r="17" spans="1:8">
      <c r="A17" s="1549"/>
      <c r="B17" s="292" t="s">
        <v>380</v>
      </c>
      <c r="C17" s="367">
        <f>C16</f>
        <v>14.403199999999998</v>
      </c>
      <c r="D17" s="294">
        <v>7.5</v>
      </c>
      <c r="E17" s="294">
        <v>101.3</v>
      </c>
      <c r="F17" s="295">
        <f t="shared" si="0"/>
        <v>1.0940000000000001</v>
      </c>
      <c r="G17" s="292">
        <v>100</v>
      </c>
      <c r="H17" s="304">
        <f t="shared" si="1"/>
        <v>1.0940000000000001</v>
      </c>
    </row>
    <row r="18" spans="1:8">
      <c r="A18" s="1549"/>
      <c r="B18" s="292" t="s">
        <v>381</v>
      </c>
      <c r="C18" s="367">
        <f>C17</f>
        <v>14.403199999999998</v>
      </c>
      <c r="D18" s="294">
        <v>2.5</v>
      </c>
      <c r="E18" s="294">
        <v>97.44</v>
      </c>
      <c r="F18" s="295">
        <f t="shared" si="0"/>
        <v>0.35099999999999998</v>
      </c>
      <c r="G18" s="292">
        <v>100</v>
      </c>
      <c r="H18" s="304">
        <f t="shared" si="1"/>
        <v>0.35099999999999998</v>
      </c>
    </row>
    <row r="19" spans="1:8" ht="13.5" customHeight="1">
      <c r="A19" s="1549" t="s">
        <v>401</v>
      </c>
      <c r="B19" s="292" t="s">
        <v>379</v>
      </c>
      <c r="C19" s="367">
        <f>'환기량 산정'!H39*'환기량 산정'!B226</f>
        <v>3.0349599999999999</v>
      </c>
      <c r="D19" s="294">
        <v>10</v>
      </c>
      <c r="E19" s="294">
        <v>101.3</v>
      </c>
      <c r="F19" s="295">
        <f t="shared" si="0"/>
        <v>0.307</v>
      </c>
      <c r="G19" s="292">
        <v>66.667000000000002</v>
      </c>
      <c r="H19" s="304">
        <f t="shared" si="1"/>
        <v>0.20499999999999999</v>
      </c>
    </row>
    <row r="20" spans="1:8">
      <c r="A20" s="1549"/>
      <c r="B20" s="292" t="s">
        <v>380</v>
      </c>
      <c r="C20" s="367">
        <f>C19</f>
        <v>3.0349599999999999</v>
      </c>
      <c r="D20" s="294">
        <v>7.5</v>
      </c>
      <c r="E20" s="294">
        <v>101.3</v>
      </c>
      <c r="F20" s="295">
        <f t="shared" si="0"/>
        <v>0.23100000000000001</v>
      </c>
      <c r="G20" s="292">
        <v>66.667000000000002</v>
      </c>
      <c r="H20" s="304">
        <f t="shared" si="1"/>
        <v>0.154</v>
      </c>
    </row>
    <row r="21" spans="1:8">
      <c r="A21" s="1549"/>
      <c r="B21" s="292" t="s">
        <v>381</v>
      </c>
      <c r="C21" s="367">
        <f>C20</f>
        <v>3.0349599999999999</v>
      </c>
      <c r="D21" s="294">
        <v>2.5</v>
      </c>
      <c r="E21" s="294">
        <v>97.44</v>
      </c>
      <c r="F21" s="295">
        <f t="shared" si="0"/>
        <v>7.3999999999999996E-2</v>
      </c>
      <c r="G21" s="292">
        <v>66.667000000000002</v>
      </c>
      <c r="H21" s="304">
        <f t="shared" si="1"/>
        <v>4.9000000000000002E-2</v>
      </c>
    </row>
    <row r="22" spans="1:8" ht="13.5" customHeight="1">
      <c r="A22" s="1549" t="s">
        <v>402</v>
      </c>
      <c r="B22" s="292" t="s">
        <v>379</v>
      </c>
      <c r="C22" s="367">
        <f>'환기량 산정'!I39*'환기량 산정'!B226</f>
        <v>0.32921600000000001</v>
      </c>
      <c r="D22" s="294">
        <v>10</v>
      </c>
      <c r="E22" s="294">
        <v>101.3</v>
      </c>
      <c r="F22" s="295">
        <f t="shared" si="0"/>
        <v>3.3000000000000002E-2</v>
      </c>
      <c r="G22" s="292">
        <v>66.667000000000002</v>
      </c>
      <c r="H22" s="304">
        <f t="shared" si="1"/>
        <v>2.1999999999999999E-2</v>
      </c>
    </row>
    <row r="23" spans="1:8">
      <c r="A23" s="1549"/>
      <c r="B23" s="292" t="s">
        <v>380</v>
      </c>
      <c r="C23" s="367">
        <f>C22</f>
        <v>0.32921600000000001</v>
      </c>
      <c r="D23" s="294">
        <v>7.5</v>
      </c>
      <c r="E23" s="294">
        <v>101.3</v>
      </c>
      <c r="F23" s="295">
        <f t="shared" si="0"/>
        <v>2.5000000000000001E-2</v>
      </c>
      <c r="G23" s="292">
        <v>66.667000000000002</v>
      </c>
      <c r="H23" s="304">
        <f t="shared" si="1"/>
        <v>1.7000000000000001E-2</v>
      </c>
    </row>
    <row r="24" spans="1:8">
      <c r="A24" s="1549"/>
      <c r="B24" s="292" t="s">
        <v>381</v>
      </c>
      <c r="C24" s="367">
        <f>C23</f>
        <v>0.32921600000000001</v>
      </c>
      <c r="D24" s="294">
        <v>2.5</v>
      </c>
      <c r="E24" s="294">
        <v>97.44</v>
      </c>
      <c r="F24" s="295">
        <f t="shared" si="0"/>
        <v>8.0000000000000002E-3</v>
      </c>
      <c r="G24" s="292">
        <v>66.667000000000002</v>
      </c>
      <c r="H24" s="304">
        <f t="shared" si="1"/>
        <v>5.0000000000000001E-3</v>
      </c>
    </row>
    <row r="25" spans="1:8">
      <c r="A25" s="1549" t="s">
        <v>403</v>
      </c>
      <c r="B25" s="292" t="s">
        <v>379</v>
      </c>
      <c r="C25" s="367">
        <f>'환기량 산정'!J39*'환기량 산정'!B226</f>
        <v>0.86419199999999996</v>
      </c>
      <c r="D25" s="294">
        <v>10</v>
      </c>
      <c r="E25" s="294">
        <v>101.3</v>
      </c>
      <c r="F25" s="295">
        <f t="shared" si="0"/>
        <v>8.7999999999999995E-2</v>
      </c>
      <c r="G25" s="292">
        <v>50</v>
      </c>
      <c r="H25" s="304">
        <f t="shared" si="1"/>
        <v>4.3999999999999997E-2</v>
      </c>
    </row>
    <row r="26" spans="1:8">
      <c r="A26" s="1549"/>
      <c r="B26" s="292" t="s">
        <v>380</v>
      </c>
      <c r="C26" s="367">
        <f>C25</f>
        <v>0.86419199999999996</v>
      </c>
      <c r="D26" s="294">
        <v>7.5</v>
      </c>
      <c r="E26" s="294">
        <v>101.3</v>
      </c>
      <c r="F26" s="295">
        <f t="shared" si="0"/>
        <v>6.6000000000000003E-2</v>
      </c>
      <c r="G26" s="292">
        <v>50</v>
      </c>
      <c r="H26" s="304">
        <f t="shared" si="1"/>
        <v>3.3000000000000002E-2</v>
      </c>
    </row>
    <row r="27" spans="1:8" ht="14.25" thickBot="1">
      <c r="A27" s="1550"/>
      <c r="B27" s="293" t="s">
        <v>381</v>
      </c>
      <c r="C27" s="368">
        <f>C26</f>
        <v>0.86419199999999996</v>
      </c>
      <c r="D27" s="300">
        <v>2.5</v>
      </c>
      <c r="E27" s="300">
        <v>97.44</v>
      </c>
      <c r="F27" s="301">
        <f t="shared" si="0"/>
        <v>2.1000000000000001E-2</v>
      </c>
      <c r="G27" s="293">
        <v>50</v>
      </c>
      <c r="H27" s="305">
        <f t="shared" si="1"/>
        <v>1.0999999999999999E-2</v>
      </c>
    </row>
  </sheetData>
  <mergeCells count="10">
    <mergeCell ref="A25:A27"/>
    <mergeCell ref="A10:A12"/>
    <mergeCell ref="A13:A15"/>
    <mergeCell ref="A16:A18"/>
    <mergeCell ref="A19:A21"/>
    <mergeCell ref="A2:A3"/>
    <mergeCell ref="B2:B3"/>
    <mergeCell ref="A4:A6"/>
    <mergeCell ref="A7:A9"/>
    <mergeCell ref="A22:A24"/>
  </mergeCells>
  <phoneticPr fontId="11" type="noConversion"/>
  <pageMargins left="0.19685039370078741" right="0.19685039370078741" top="0.9055118110236221" bottom="0.55118110236220474" header="0.51181102362204722" footer="0.51181102362204722"/>
  <pageSetup paperSize="9" scale="75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J31"/>
  <sheetViews>
    <sheetView zoomScaleNormal="100" workbookViewId="0">
      <selection activeCell="J5" sqref="J5"/>
    </sheetView>
  </sheetViews>
  <sheetFormatPr defaultRowHeight="13.5"/>
  <cols>
    <col min="3" max="7" width="8.77734375" customWidth="1"/>
    <col min="8" max="8" width="12.6640625" customWidth="1"/>
    <col min="9" max="9" width="8.77734375" customWidth="1"/>
  </cols>
  <sheetData>
    <row r="2" spans="1:10" ht="17.100000000000001" customHeight="1">
      <c r="A2" s="1555" t="s">
        <v>382</v>
      </c>
      <c r="B2" s="1555" t="s">
        <v>383</v>
      </c>
      <c r="C2" s="1552" t="s">
        <v>426</v>
      </c>
      <c r="D2" s="1553"/>
      <c r="E2" s="1553"/>
      <c r="F2" s="1553"/>
      <c r="G2" s="1553"/>
      <c r="H2" s="1553"/>
      <c r="I2" s="1553"/>
      <c r="J2" s="1554"/>
    </row>
    <row r="3" spans="1:10" ht="45" customHeight="1">
      <c r="A3" s="1556"/>
      <c r="B3" s="1556"/>
      <c r="C3" s="370" t="s">
        <v>427</v>
      </c>
      <c r="D3" s="371" t="s">
        <v>428</v>
      </c>
      <c r="E3" s="371" t="s">
        <v>431</v>
      </c>
      <c r="F3" s="371" t="s">
        <v>432</v>
      </c>
      <c r="G3" s="371" t="s">
        <v>433</v>
      </c>
      <c r="H3" s="370" t="s">
        <v>439</v>
      </c>
      <c r="I3" s="1558" t="s">
        <v>429</v>
      </c>
      <c r="J3" s="1555" t="s">
        <v>430</v>
      </c>
    </row>
    <row r="4" spans="1:10" ht="17.100000000000001" customHeight="1">
      <c r="A4" s="1557"/>
      <c r="B4" s="1557"/>
      <c r="C4" s="370" t="s">
        <v>332</v>
      </c>
      <c r="D4" s="371" t="s">
        <v>434</v>
      </c>
      <c r="E4" s="371" t="s">
        <v>435</v>
      </c>
      <c r="F4" s="371" t="s">
        <v>436</v>
      </c>
      <c r="G4" s="371" t="s">
        <v>437</v>
      </c>
      <c r="H4" s="371" t="s">
        <v>438</v>
      </c>
      <c r="I4" s="1559"/>
      <c r="J4" s="1557"/>
    </row>
    <row r="5" spans="1:10" ht="17.100000000000001" customHeight="1">
      <c r="A5" s="1561" t="s">
        <v>396</v>
      </c>
      <c r="B5" s="292" t="s">
        <v>379</v>
      </c>
      <c r="C5" s="366">
        <v>0</v>
      </c>
      <c r="D5" s="372">
        <f>'환기량 산정'!C111</f>
        <v>0.5</v>
      </c>
      <c r="E5" s="372">
        <f>'환기량 산정'!B203</f>
        <v>1</v>
      </c>
      <c r="F5" s="295">
        <f>'환기량 산정'!D485</f>
        <v>1</v>
      </c>
      <c r="G5" s="292">
        <f>'환기량 산정'!C505</f>
        <v>0.9</v>
      </c>
      <c r="H5" s="369">
        <f>(C5*D5*E5*F5)+G5</f>
        <v>0.9</v>
      </c>
      <c r="I5" s="370">
        <f>'EPP (2)'!H4</f>
        <v>5.07</v>
      </c>
      <c r="J5" s="373">
        <f>H5*I5</f>
        <v>4.5630000000000006</v>
      </c>
    </row>
    <row r="6" spans="1:10" ht="17.100000000000001" customHeight="1">
      <c r="A6" s="1561"/>
      <c r="B6" s="292" t="s">
        <v>380</v>
      </c>
      <c r="C6" s="366">
        <v>0</v>
      </c>
      <c r="D6" s="372">
        <f>D5</f>
        <v>0.5</v>
      </c>
      <c r="E6" s="372">
        <f>E5</f>
        <v>1</v>
      </c>
      <c r="F6" s="295">
        <f>F5</f>
        <v>1</v>
      </c>
      <c r="G6" s="292">
        <f>G5</f>
        <v>0.9</v>
      </c>
      <c r="H6" s="369">
        <f t="shared" ref="H6:H28" si="0">(C6*D6*E6*F6)+G6</f>
        <v>0.9</v>
      </c>
      <c r="I6" s="370">
        <f>'EPP (2)'!H5</f>
        <v>3.8029999999999999</v>
      </c>
      <c r="J6" s="373">
        <f t="shared" ref="J6:J28" si="1">H6*I6</f>
        <v>3.4226999999999999</v>
      </c>
    </row>
    <row r="7" spans="1:10" ht="17.100000000000001" customHeight="1">
      <c r="A7" s="1561"/>
      <c r="B7" s="292" t="s">
        <v>381</v>
      </c>
      <c r="C7" s="366">
        <v>0</v>
      </c>
      <c r="D7" s="372">
        <f>D6</f>
        <v>0.5</v>
      </c>
      <c r="E7" s="372">
        <f t="shared" ref="E7:E28" si="2">E6</f>
        <v>1</v>
      </c>
      <c r="F7" s="295">
        <f t="shared" ref="F7:F28" si="3">F6</f>
        <v>1</v>
      </c>
      <c r="G7" s="292">
        <f>G6</f>
        <v>0.9</v>
      </c>
      <c r="H7" s="369">
        <f t="shared" si="0"/>
        <v>0.9</v>
      </c>
      <c r="I7" s="370">
        <f>'EPP (2)'!H6</f>
        <v>1.2190000000000001</v>
      </c>
      <c r="J7" s="373">
        <f t="shared" si="1"/>
        <v>1.0971000000000002</v>
      </c>
    </row>
    <row r="8" spans="1:10" ht="17.100000000000001" customHeight="1">
      <c r="A8" s="1561" t="s">
        <v>397</v>
      </c>
      <c r="B8" s="292" t="s">
        <v>379</v>
      </c>
      <c r="C8" s="366">
        <v>0.78700000000000003</v>
      </c>
      <c r="D8" s="372">
        <f t="shared" ref="D8:D28" si="4">D7</f>
        <v>0.5</v>
      </c>
      <c r="E8" s="372">
        <f t="shared" si="2"/>
        <v>1</v>
      </c>
      <c r="F8" s="295">
        <f t="shared" si="3"/>
        <v>1</v>
      </c>
      <c r="G8" s="292">
        <f>'환기량 산정'!C505</f>
        <v>0.9</v>
      </c>
      <c r="H8" s="369">
        <f t="shared" si="0"/>
        <v>1.2935000000000001</v>
      </c>
      <c r="I8" s="370">
        <f>'EPP (2)'!H7</f>
        <v>3.3809999999999998</v>
      </c>
      <c r="J8" s="373">
        <f t="shared" si="1"/>
        <v>4.3733234999999997</v>
      </c>
    </row>
    <row r="9" spans="1:10" ht="17.100000000000001" customHeight="1">
      <c r="A9" s="1561"/>
      <c r="B9" s="292" t="s">
        <v>380</v>
      </c>
      <c r="C9" s="366">
        <v>0.78700000000000003</v>
      </c>
      <c r="D9" s="372">
        <f t="shared" si="4"/>
        <v>0.5</v>
      </c>
      <c r="E9" s="372">
        <f t="shared" si="2"/>
        <v>1</v>
      </c>
      <c r="F9" s="295">
        <f t="shared" si="3"/>
        <v>1</v>
      </c>
      <c r="G9" s="292">
        <f>G8</f>
        <v>0.9</v>
      </c>
      <c r="H9" s="369">
        <f t="shared" si="0"/>
        <v>1.2935000000000001</v>
      </c>
      <c r="I9" s="370">
        <f>'EPP (2)'!H8</f>
        <v>2.536</v>
      </c>
      <c r="J9" s="373">
        <f t="shared" si="1"/>
        <v>3.2803160000000005</v>
      </c>
    </row>
    <row r="10" spans="1:10" ht="17.100000000000001" customHeight="1">
      <c r="A10" s="1561"/>
      <c r="B10" s="292" t="s">
        <v>381</v>
      </c>
      <c r="C10" s="366">
        <v>0.78700000000000003</v>
      </c>
      <c r="D10" s="372">
        <f t="shared" si="4"/>
        <v>0.5</v>
      </c>
      <c r="E10" s="372">
        <f t="shared" si="2"/>
        <v>1</v>
      </c>
      <c r="F10" s="295">
        <f t="shared" si="3"/>
        <v>1</v>
      </c>
      <c r="G10" s="292">
        <f>G9</f>
        <v>0.9</v>
      </c>
      <c r="H10" s="369">
        <f t="shared" si="0"/>
        <v>1.2935000000000001</v>
      </c>
      <c r="I10" s="370">
        <f>'EPP (2)'!H9</f>
        <v>0.81299999999999994</v>
      </c>
      <c r="J10" s="373">
        <f t="shared" si="1"/>
        <v>1.0516155</v>
      </c>
    </row>
    <row r="11" spans="1:10" ht="17.100000000000001" customHeight="1">
      <c r="A11" s="1561" t="s">
        <v>398</v>
      </c>
      <c r="B11" s="292" t="s">
        <v>379</v>
      </c>
      <c r="C11" s="366">
        <v>0.78700000000000003</v>
      </c>
      <c r="D11" s="372">
        <f t="shared" si="4"/>
        <v>0.5</v>
      </c>
      <c r="E11" s="372">
        <f t="shared" si="2"/>
        <v>1</v>
      </c>
      <c r="F11" s="295">
        <f t="shared" si="3"/>
        <v>1</v>
      </c>
      <c r="G11" s="292">
        <f>'환기량 산정'!C505</f>
        <v>0.9</v>
      </c>
      <c r="H11" s="369">
        <f t="shared" si="0"/>
        <v>1.2935000000000001</v>
      </c>
      <c r="I11" s="370">
        <f>'EPP (2)'!H10</f>
        <v>0</v>
      </c>
      <c r="J11" s="373">
        <f t="shared" si="1"/>
        <v>0</v>
      </c>
    </row>
    <row r="12" spans="1:10" ht="17.100000000000001" customHeight="1">
      <c r="A12" s="1561"/>
      <c r="B12" s="292" t="s">
        <v>380</v>
      </c>
      <c r="C12" s="366">
        <v>0.78700000000000003</v>
      </c>
      <c r="D12" s="372">
        <f t="shared" si="4"/>
        <v>0.5</v>
      </c>
      <c r="E12" s="372">
        <f t="shared" si="2"/>
        <v>1</v>
      </c>
      <c r="F12" s="295">
        <f t="shared" si="3"/>
        <v>1</v>
      </c>
      <c r="G12" s="292">
        <f>G11</f>
        <v>0.9</v>
      </c>
      <c r="H12" s="369">
        <f t="shared" si="0"/>
        <v>1.2935000000000001</v>
      </c>
      <c r="I12" s="370">
        <f>'EPP (2)'!H11</f>
        <v>0</v>
      </c>
      <c r="J12" s="373">
        <f t="shared" si="1"/>
        <v>0</v>
      </c>
    </row>
    <row r="13" spans="1:10" ht="17.100000000000001" customHeight="1">
      <c r="A13" s="1561"/>
      <c r="B13" s="292" t="s">
        <v>381</v>
      </c>
      <c r="C13" s="366">
        <v>0.78700000000000003</v>
      </c>
      <c r="D13" s="372">
        <f t="shared" si="4"/>
        <v>0.5</v>
      </c>
      <c r="E13" s="372">
        <f t="shared" si="2"/>
        <v>1</v>
      </c>
      <c r="F13" s="295">
        <f t="shared" si="3"/>
        <v>1</v>
      </c>
      <c r="G13" s="292">
        <f>G12</f>
        <v>0.9</v>
      </c>
      <c r="H13" s="369">
        <f t="shared" si="0"/>
        <v>1.2935000000000001</v>
      </c>
      <c r="I13" s="370">
        <f>'EPP (2)'!H12</f>
        <v>0</v>
      </c>
      <c r="J13" s="373">
        <f t="shared" si="1"/>
        <v>0</v>
      </c>
    </row>
    <row r="14" spans="1:10" ht="13.5" customHeight="1">
      <c r="A14" s="1561" t="s">
        <v>399</v>
      </c>
      <c r="B14" s="292" t="s">
        <v>379</v>
      </c>
      <c r="C14" s="366">
        <v>23.375</v>
      </c>
      <c r="D14" s="372">
        <f t="shared" si="4"/>
        <v>0.5</v>
      </c>
      <c r="E14" s="372">
        <f t="shared" si="2"/>
        <v>1</v>
      </c>
      <c r="F14" s="295">
        <f t="shared" si="3"/>
        <v>1</v>
      </c>
      <c r="G14" s="292">
        <f>'환기량 산정'!C506</f>
        <v>4.5</v>
      </c>
      <c r="H14" s="369">
        <f t="shared" si="0"/>
        <v>16.1875</v>
      </c>
      <c r="I14" s="370">
        <f>'EPP (2)'!H13</f>
        <v>5.5E-2</v>
      </c>
      <c r="J14" s="373">
        <f t="shared" si="1"/>
        <v>0.89031249999999995</v>
      </c>
    </row>
    <row r="15" spans="1:10">
      <c r="A15" s="1561"/>
      <c r="B15" s="292" t="s">
        <v>380</v>
      </c>
      <c r="C15" s="366">
        <v>23.375</v>
      </c>
      <c r="D15" s="372">
        <f t="shared" si="4"/>
        <v>0.5</v>
      </c>
      <c r="E15" s="372">
        <f t="shared" si="2"/>
        <v>1</v>
      </c>
      <c r="F15" s="295">
        <f t="shared" si="3"/>
        <v>1</v>
      </c>
      <c r="G15" s="292">
        <f>G14</f>
        <v>4.5</v>
      </c>
      <c r="H15" s="369">
        <f t="shared" si="0"/>
        <v>16.1875</v>
      </c>
      <c r="I15" s="370">
        <f>'EPP (2)'!H14</f>
        <v>4.2000000000000003E-2</v>
      </c>
      <c r="J15" s="373">
        <f t="shared" si="1"/>
        <v>0.67987500000000001</v>
      </c>
    </row>
    <row r="16" spans="1:10">
      <c r="A16" s="1561"/>
      <c r="B16" s="292" t="s">
        <v>381</v>
      </c>
      <c r="C16" s="366">
        <v>23.375</v>
      </c>
      <c r="D16" s="372">
        <f t="shared" si="4"/>
        <v>0.5</v>
      </c>
      <c r="E16" s="372">
        <f t="shared" si="2"/>
        <v>1</v>
      </c>
      <c r="F16" s="295">
        <f t="shared" si="3"/>
        <v>1</v>
      </c>
      <c r="G16" s="292">
        <f>G15</f>
        <v>4.5</v>
      </c>
      <c r="H16" s="369">
        <f t="shared" si="0"/>
        <v>16.1875</v>
      </c>
      <c r="I16" s="370">
        <f>'EPP (2)'!H15</f>
        <v>1.2999999999999999E-2</v>
      </c>
      <c r="J16" s="373">
        <f t="shared" si="1"/>
        <v>0.2104375</v>
      </c>
    </row>
    <row r="17" spans="1:10" ht="13.5" customHeight="1">
      <c r="A17" s="1561" t="s">
        <v>400</v>
      </c>
      <c r="B17" s="292" t="s">
        <v>379</v>
      </c>
      <c r="C17" s="366">
        <v>0.78700000000000003</v>
      </c>
      <c r="D17" s="372">
        <f t="shared" si="4"/>
        <v>0.5</v>
      </c>
      <c r="E17" s="372">
        <f t="shared" si="2"/>
        <v>1</v>
      </c>
      <c r="F17" s="295">
        <f t="shared" si="3"/>
        <v>1</v>
      </c>
      <c r="G17" s="292">
        <f>'환기량 산정'!C505</f>
        <v>0.9</v>
      </c>
      <c r="H17" s="369">
        <f t="shared" si="0"/>
        <v>1.2935000000000001</v>
      </c>
      <c r="I17" s="370">
        <f>'EPP (2)'!H16</f>
        <v>1.4590000000000001</v>
      </c>
      <c r="J17" s="373">
        <f t="shared" si="1"/>
        <v>1.8872165000000003</v>
      </c>
    </row>
    <row r="18" spans="1:10">
      <c r="A18" s="1561"/>
      <c r="B18" s="292" t="s">
        <v>380</v>
      </c>
      <c r="C18" s="366">
        <v>0.78700000000000003</v>
      </c>
      <c r="D18" s="372">
        <f t="shared" si="4"/>
        <v>0.5</v>
      </c>
      <c r="E18" s="372">
        <f t="shared" si="2"/>
        <v>1</v>
      </c>
      <c r="F18" s="295">
        <f t="shared" si="3"/>
        <v>1</v>
      </c>
      <c r="G18" s="292">
        <f>G17</f>
        <v>0.9</v>
      </c>
      <c r="H18" s="369">
        <f t="shared" si="0"/>
        <v>1.2935000000000001</v>
      </c>
      <c r="I18" s="370">
        <f>'EPP (2)'!H17</f>
        <v>1.0940000000000001</v>
      </c>
      <c r="J18" s="373">
        <f t="shared" si="1"/>
        <v>1.4150890000000003</v>
      </c>
    </row>
    <row r="19" spans="1:10">
      <c r="A19" s="1561"/>
      <c r="B19" s="292" t="s">
        <v>381</v>
      </c>
      <c r="C19" s="366">
        <v>0.78700000000000003</v>
      </c>
      <c r="D19" s="372">
        <f t="shared" si="4"/>
        <v>0.5</v>
      </c>
      <c r="E19" s="372">
        <f t="shared" si="2"/>
        <v>1</v>
      </c>
      <c r="F19" s="295">
        <f t="shared" si="3"/>
        <v>1</v>
      </c>
      <c r="G19" s="292">
        <f>G18</f>
        <v>0.9</v>
      </c>
      <c r="H19" s="369">
        <f t="shared" si="0"/>
        <v>1.2935000000000001</v>
      </c>
      <c r="I19" s="370">
        <f>'EPP (2)'!H18</f>
        <v>0.35099999999999998</v>
      </c>
      <c r="J19" s="373">
        <f t="shared" si="1"/>
        <v>0.45401849999999999</v>
      </c>
    </row>
    <row r="20" spans="1:10" ht="13.5" customHeight="1">
      <c r="A20" s="1561" t="s">
        <v>401</v>
      </c>
      <c r="B20" s="292" t="s">
        <v>379</v>
      </c>
      <c r="C20" s="366">
        <v>11.481</v>
      </c>
      <c r="D20" s="372">
        <f t="shared" si="4"/>
        <v>0.5</v>
      </c>
      <c r="E20" s="372">
        <f t="shared" si="2"/>
        <v>1</v>
      </c>
      <c r="F20" s="295">
        <f t="shared" si="3"/>
        <v>1</v>
      </c>
      <c r="G20" s="292">
        <f>'환기량 산정'!C506</f>
        <v>4.5</v>
      </c>
      <c r="H20" s="369">
        <f t="shared" si="0"/>
        <v>10.240500000000001</v>
      </c>
      <c r="I20" s="370">
        <f>'EPP (2)'!H19</f>
        <v>0.20499999999999999</v>
      </c>
      <c r="J20" s="373">
        <f t="shared" si="1"/>
        <v>2.0993024999999998</v>
      </c>
    </row>
    <row r="21" spans="1:10">
      <c r="A21" s="1561"/>
      <c r="B21" s="292" t="s">
        <v>380</v>
      </c>
      <c r="C21" s="366">
        <v>11.481</v>
      </c>
      <c r="D21" s="372">
        <f t="shared" si="4"/>
        <v>0.5</v>
      </c>
      <c r="E21" s="372">
        <f t="shared" si="2"/>
        <v>1</v>
      </c>
      <c r="F21" s="295">
        <f t="shared" si="3"/>
        <v>1</v>
      </c>
      <c r="G21" s="292">
        <f>G20</f>
        <v>4.5</v>
      </c>
      <c r="H21" s="369">
        <f t="shared" si="0"/>
        <v>10.240500000000001</v>
      </c>
      <c r="I21" s="370">
        <f>'EPP (2)'!H20</f>
        <v>0.154</v>
      </c>
      <c r="J21" s="373">
        <f t="shared" si="1"/>
        <v>1.577037</v>
      </c>
    </row>
    <row r="22" spans="1:10">
      <c r="A22" s="1561"/>
      <c r="B22" s="292" t="s">
        <v>381</v>
      </c>
      <c r="C22" s="366">
        <v>11.481</v>
      </c>
      <c r="D22" s="372">
        <f t="shared" si="4"/>
        <v>0.5</v>
      </c>
      <c r="E22" s="372">
        <f t="shared" si="2"/>
        <v>1</v>
      </c>
      <c r="F22" s="295">
        <f t="shared" si="3"/>
        <v>1</v>
      </c>
      <c r="G22" s="292">
        <f>G21</f>
        <v>4.5</v>
      </c>
      <c r="H22" s="369">
        <f t="shared" si="0"/>
        <v>10.240500000000001</v>
      </c>
      <c r="I22" s="370">
        <f>'EPP (2)'!H21</f>
        <v>4.9000000000000002E-2</v>
      </c>
      <c r="J22" s="373">
        <f t="shared" si="1"/>
        <v>0.50178450000000008</v>
      </c>
    </row>
    <row r="23" spans="1:10" ht="13.5" customHeight="1">
      <c r="A23" s="1561" t="s">
        <v>402</v>
      </c>
      <c r="B23" s="292" t="s">
        <v>379</v>
      </c>
      <c r="C23" s="366">
        <v>25.856999999999999</v>
      </c>
      <c r="D23" s="372">
        <f t="shared" si="4"/>
        <v>0.5</v>
      </c>
      <c r="E23" s="372">
        <f t="shared" si="2"/>
        <v>1</v>
      </c>
      <c r="F23" s="295">
        <f t="shared" si="3"/>
        <v>1</v>
      </c>
      <c r="G23" s="292">
        <f>'환기량 산정'!C506</f>
        <v>4.5</v>
      </c>
      <c r="H23" s="369">
        <f t="shared" si="0"/>
        <v>17.4285</v>
      </c>
      <c r="I23" s="370">
        <f>'EPP (2)'!H22</f>
        <v>2.1999999999999999E-2</v>
      </c>
      <c r="J23" s="373">
        <f t="shared" si="1"/>
        <v>0.38342699999999996</v>
      </c>
    </row>
    <row r="24" spans="1:10">
      <c r="A24" s="1561"/>
      <c r="B24" s="292" t="s">
        <v>380</v>
      </c>
      <c r="C24" s="366">
        <v>25.856999999999999</v>
      </c>
      <c r="D24" s="372">
        <f t="shared" si="4"/>
        <v>0.5</v>
      </c>
      <c r="E24" s="372">
        <f t="shared" si="2"/>
        <v>1</v>
      </c>
      <c r="F24" s="295">
        <f t="shared" si="3"/>
        <v>1</v>
      </c>
      <c r="G24" s="292">
        <f>G23</f>
        <v>4.5</v>
      </c>
      <c r="H24" s="369">
        <f t="shared" si="0"/>
        <v>17.4285</v>
      </c>
      <c r="I24" s="370">
        <f>'EPP (2)'!H23</f>
        <v>1.7000000000000001E-2</v>
      </c>
      <c r="J24" s="373">
        <f t="shared" si="1"/>
        <v>0.29628450000000001</v>
      </c>
    </row>
    <row r="25" spans="1:10">
      <c r="A25" s="1561"/>
      <c r="B25" s="292" t="s">
        <v>381</v>
      </c>
      <c r="C25" s="366">
        <v>25.856999999999999</v>
      </c>
      <c r="D25" s="372">
        <f t="shared" si="4"/>
        <v>0.5</v>
      </c>
      <c r="E25" s="372">
        <f t="shared" si="2"/>
        <v>1</v>
      </c>
      <c r="F25" s="295">
        <f t="shared" si="3"/>
        <v>1</v>
      </c>
      <c r="G25" s="292">
        <f>G24</f>
        <v>4.5</v>
      </c>
      <c r="H25" s="369">
        <f t="shared" si="0"/>
        <v>17.4285</v>
      </c>
      <c r="I25" s="370">
        <f>'EPP (2)'!H24</f>
        <v>5.0000000000000001E-3</v>
      </c>
      <c r="J25" s="373">
        <f t="shared" si="1"/>
        <v>8.7142499999999998E-2</v>
      </c>
    </row>
    <row r="26" spans="1:10">
      <c r="A26" s="1561" t="s">
        <v>403</v>
      </c>
      <c r="B26" s="292" t="s">
        <v>379</v>
      </c>
      <c r="C26" s="366">
        <v>33.46</v>
      </c>
      <c r="D26" s="372">
        <f t="shared" si="4"/>
        <v>0.5</v>
      </c>
      <c r="E26" s="372">
        <f t="shared" si="2"/>
        <v>1</v>
      </c>
      <c r="F26" s="295">
        <f t="shared" si="3"/>
        <v>1</v>
      </c>
      <c r="G26" s="292">
        <f>'환기량 산정'!C506</f>
        <v>4.5</v>
      </c>
      <c r="H26" s="369">
        <f t="shared" si="0"/>
        <v>21.23</v>
      </c>
      <c r="I26" s="370">
        <f>'EPP (2)'!H25</f>
        <v>4.3999999999999997E-2</v>
      </c>
      <c r="J26" s="373">
        <f t="shared" si="1"/>
        <v>0.93411999999999995</v>
      </c>
    </row>
    <row r="27" spans="1:10">
      <c r="A27" s="1561"/>
      <c r="B27" s="292" t="s">
        <v>380</v>
      </c>
      <c r="C27" s="366">
        <v>33.46</v>
      </c>
      <c r="D27" s="372">
        <f t="shared" si="4"/>
        <v>0.5</v>
      </c>
      <c r="E27" s="372">
        <f t="shared" si="2"/>
        <v>1</v>
      </c>
      <c r="F27" s="295">
        <f t="shared" si="3"/>
        <v>1</v>
      </c>
      <c r="G27" s="292">
        <f>G26</f>
        <v>4.5</v>
      </c>
      <c r="H27" s="369">
        <f t="shared" si="0"/>
        <v>21.23</v>
      </c>
      <c r="I27" s="370">
        <f>'EPP (2)'!H26</f>
        <v>3.3000000000000002E-2</v>
      </c>
      <c r="J27" s="373">
        <f t="shared" si="1"/>
        <v>0.70059000000000005</v>
      </c>
    </row>
    <row r="28" spans="1:10">
      <c r="A28" s="1561"/>
      <c r="B28" s="292" t="s">
        <v>381</v>
      </c>
      <c r="C28" s="366">
        <v>33.46</v>
      </c>
      <c r="D28" s="372">
        <f t="shared" si="4"/>
        <v>0.5</v>
      </c>
      <c r="E28" s="372">
        <f t="shared" si="2"/>
        <v>1</v>
      </c>
      <c r="F28" s="295">
        <f t="shared" si="3"/>
        <v>1</v>
      </c>
      <c r="G28" s="292">
        <f>G27</f>
        <v>4.5</v>
      </c>
      <c r="H28" s="369">
        <f t="shared" si="0"/>
        <v>21.23</v>
      </c>
      <c r="I28" s="370">
        <f>'EPP (2)'!H27</f>
        <v>1.0999999999999999E-2</v>
      </c>
      <c r="J28" s="373">
        <f t="shared" si="1"/>
        <v>0.23352999999999999</v>
      </c>
    </row>
    <row r="29" spans="1:10" ht="24.95" customHeight="1">
      <c r="A29" s="1560" t="s">
        <v>440</v>
      </c>
      <c r="B29" s="1560"/>
      <c r="C29" s="1560"/>
      <c r="D29" s="1560"/>
      <c r="E29" s="1560"/>
      <c r="F29" s="1560"/>
      <c r="G29" s="1560"/>
      <c r="H29" s="1560"/>
      <c r="I29" s="1560"/>
      <c r="J29" s="374">
        <f>AVERAGE(J5:J28)</f>
        <v>1.2557592500000001</v>
      </c>
    </row>
    <row r="30" spans="1:10" ht="24.95" customHeight="1">
      <c r="A30" s="1551" t="s">
        <v>441</v>
      </c>
      <c r="B30" s="1551"/>
      <c r="C30" s="1551"/>
      <c r="D30" s="1551"/>
      <c r="E30" s="1551"/>
      <c r="F30" s="1551"/>
      <c r="G30" s="1551"/>
      <c r="H30" s="1551"/>
      <c r="I30" s="1551"/>
      <c r="J30" s="142">
        <f>J29*'환기량 산정'!K235</f>
        <v>1331.1048050000002</v>
      </c>
    </row>
    <row r="31" spans="1:10" ht="24.95" customHeight="1">
      <c r="A31" s="1551"/>
      <c r="B31" s="1551"/>
      <c r="C31" s="1551"/>
      <c r="D31" s="1551"/>
      <c r="E31" s="1551"/>
      <c r="F31" s="1551"/>
      <c r="G31" s="1551"/>
      <c r="H31" s="1551"/>
      <c r="I31" s="1551"/>
      <c r="J31" s="142">
        <f>ROUNDUP((J30/'환기량 산정'!B106)*1/3600,2)</f>
        <v>41.089999999999996</v>
      </c>
    </row>
  </sheetData>
  <mergeCells count="16">
    <mergeCell ref="A31:I31"/>
    <mergeCell ref="C2:J2"/>
    <mergeCell ref="B2:B4"/>
    <mergeCell ref="A2:A4"/>
    <mergeCell ref="I3:I4"/>
    <mergeCell ref="J3:J4"/>
    <mergeCell ref="A29:I29"/>
    <mergeCell ref="A11:A13"/>
    <mergeCell ref="A14:A16"/>
    <mergeCell ref="A17:A19"/>
    <mergeCell ref="A20:A22"/>
    <mergeCell ref="A23:A25"/>
    <mergeCell ref="A26:A28"/>
    <mergeCell ref="A5:A7"/>
    <mergeCell ref="A8:A10"/>
    <mergeCell ref="A30:I30"/>
  </mergeCells>
  <phoneticPr fontId="11" type="noConversion"/>
  <pageMargins left="0.19685039370078741" right="0.19685039370078741" top="0.9055118110236221" bottom="0.55118110236220474" header="0.51181102362204722" footer="0.51181102362204722"/>
  <pageSetup paperSize="9" scale="75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68"/>
  <sheetViews>
    <sheetView view="pageBreakPreview" topLeftCell="AB1" zoomScale="115" zoomScaleNormal="75" zoomScaleSheetLayoutView="115" workbookViewId="0">
      <selection activeCell="AD35" sqref="AD35"/>
    </sheetView>
  </sheetViews>
  <sheetFormatPr defaultRowHeight="13.5"/>
  <cols>
    <col min="1" max="1" width="29.21875" style="3" hidden="1" customWidth="1"/>
    <col min="2" max="9" width="10.21875" style="3" hidden="1" customWidth="1"/>
    <col min="10" max="10" width="27.6640625" style="3" hidden="1" customWidth="1"/>
    <col min="11" max="18" width="10.21875" style="3" hidden="1" customWidth="1"/>
    <col min="19" max="19" width="32.33203125" style="3" hidden="1" customWidth="1"/>
    <col min="20" max="27" width="10.21875" style="3" hidden="1" customWidth="1"/>
    <col min="28" max="28" width="32.33203125" style="3" customWidth="1"/>
    <col min="29" max="36" width="10.21875" style="3" customWidth="1"/>
    <col min="37" max="37" width="32.33203125" style="3" hidden="1" customWidth="1"/>
    <col min="38" max="45" width="10.21875" style="3" hidden="1" customWidth="1"/>
    <col min="46" max="46" width="27.6640625" style="3" hidden="1" customWidth="1"/>
    <col min="47" max="54" width="10.21875" style="3" hidden="1" customWidth="1"/>
    <col min="55" max="55" width="27.6640625" style="3" hidden="1" customWidth="1"/>
    <col min="56" max="63" width="10.21875" style="3" hidden="1" customWidth="1"/>
    <col min="64" max="16384" width="8.88671875" style="3"/>
  </cols>
  <sheetData>
    <row r="1" spans="1:63" ht="17.25" customHeight="1">
      <c r="A1" s="4" t="s">
        <v>164</v>
      </c>
      <c r="B1" s="5">
        <f>'환기량 산정'!H34</f>
        <v>2222</v>
      </c>
      <c r="C1" s="6" t="s">
        <v>148</v>
      </c>
      <c r="D1" s="7"/>
      <c r="E1" s="53"/>
      <c r="F1" s="53"/>
      <c r="G1" s="53"/>
      <c r="H1" s="53"/>
      <c r="I1" s="53"/>
      <c r="J1" s="4" t="s">
        <v>164</v>
      </c>
      <c r="K1" s="5">
        <f>B1</f>
        <v>2222</v>
      </c>
      <c r="L1" s="6" t="s">
        <v>148</v>
      </c>
      <c r="M1" s="7"/>
      <c r="N1" s="7"/>
      <c r="O1" s="9"/>
      <c r="P1" s="9"/>
      <c r="Q1" s="7"/>
      <c r="R1" s="7"/>
      <c r="S1" s="4" t="s">
        <v>164</v>
      </c>
      <c r="T1" s="5">
        <f>K1</f>
        <v>2222</v>
      </c>
      <c r="U1" s="6" t="s">
        <v>148</v>
      </c>
      <c r="V1" s="7"/>
      <c r="W1" s="9"/>
      <c r="X1" s="9"/>
      <c r="Y1" s="9"/>
      <c r="Z1" s="7"/>
      <c r="AA1" s="7"/>
      <c r="AB1" s="1217" t="s">
        <v>809</v>
      </c>
      <c r="AK1" s="4"/>
      <c r="AL1" s="8"/>
      <c r="AM1" s="6"/>
      <c r="AN1" s="7"/>
      <c r="AO1" s="53"/>
      <c r="AP1" s="53"/>
      <c r="AQ1" s="53"/>
      <c r="AR1" s="53"/>
      <c r="AS1" s="53"/>
      <c r="AT1" s="4"/>
      <c r="AU1" s="5"/>
      <c r="AV1" s="6"/>
      <c r="AW1" s="7"/>
      <c r="AX1" s="7"/>
      <c r="AY1" s="9"/>
      <c r="AZ1" s="9"/>
      <c r="BA1" s="7"/>
      <c r="BB1" s="7"/>
      <c r="BC1" s="4"/>
      <c r="BD1" s="5"/>
      <c r="BE1" s="6"/>
      <c r="BF1" s="7"/>
      <c r="BG1" s="7"/>
      <c r="BH1" s="9"/>
      <c r="BI1" s="9"/>
      <c r="BJ1" s="7"/>
      <c r="BK1" s="7"/>
    </row>
    <row r="2" spans="1:63">
      <c r="A2" s="7"/>
      <c r="B2" s="7"/>
      <c r="C2" s="7"/>
      <c r="D2" s="181"/>
      <c r="E2" s="53"/>
      <c r="F2" s="53"/>
      <c r="G2" s="53"/>
      <c r="H2" s="53"/>
      <c r="I2" s="5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K2" s="7"/>
      <c r="AL2" s="7"/>
      <c r="AM2" s="7"/>
      <c r="AN2" s="7"/>
      <c r="AO2" s="53"/>
      <c r="AP2" s="53"/>
      <c r="AQ2" s="53"/>
      <c r="AR2" s="53"/>
      <c r="AS2" s="53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spans="1:63" ht="20.100000000000001" customHeight="1" thickBot="1">
      <c r="A3" s="4" t="s">
        <v>223</v>
      </c>
      <c r="B3" s="10" t="s">
        <v>160</v>
      </c>
      <c r="C3" s="11">
        <f>'환기용량 산정(제트팬식)'!C3</f>
        <v>1030</v>
      </c>
      <c r="E3" s="12" t="s">
        <v>177</v>
      </c>
      <c r="F3" s="135">
        <v>140</v>
      </c>
      <c r="G3" s="3" t="s">
        <v>178</v>
      </c>
      <c r="H3" s="13" t="s">
        <v>327</v>
      </c>
      <c r="I3" s="250">
        <v>1</v>
      </c>
      <c r="J3" s="4" t="s">
        <v>165</v>
      </c>
      <c r="K3" s="10" t="s">
        <v>160</v>
      </c>
      <c r="L3" s="14">
        <f>C3</f>
        <v>1030</v>
      </c>
      <c r="N3" s="12"/>
      <c r="O3" s="13"/>
      <c r="R3" s="9"/>
      <c r="S3" s="4" t="s">
        <v>166</v>
      </c>
      <c r="T3" s="10" t="s">
        <v>160</v>
      </c>
      <c r="U3" s="14">
        <f>L3</f>
        <v>1030</v>
      </c>
      <c r="AA3" s="9"/>
      <c r="AB3" s="4"/>
      <c r="AC3" s="54" t="s">
        <v>10</v>
      </c>
      <c r="AD3" s="5">
        <f>$B$1</f>
        <v>2222</v>
      </c>
      <c r="AE3" s="6" t="s">
        <v>148</v>
      </c>
      <c r="AF3" s="8" t="s">
        <v>211</v>
      </c>
      <c r="AG3" s="8"/>
      <c r="AH3" s="8"/>
      <c r="AI3" s="7"/>
      <c r="AJ3" s="7"/>
      <c r="AK3" s="4" t="s">
        <v>227</v>
      </c>
      <c r="AL3" s="10"/>
      <c r="AM3" s="174"/>
      <c r="AO3" s="12"/>
      <c r="AP3" s="13"/>
      <c r="AS3" s="9"/>
      <c r="AT3" s="4" t="s">
        <v>424</v>
      </c>
      <c r="AU3" s="10" t="s">
        <v>160</v>
      </c>
      <c r="AV3" s="14">
        <f>C3</f>
        <v>1030</v>
      </c>
      <c r="AX3" s="12"/>
      <c r="AY3" s="13"/>
      <c r="BB3" s="9"/>
      <c r="BC3" s="4" t="s">
        <v>509</v>
      </c>
      <c r="BD3" s="10" t="s">
        <v>160</v>
      </c>
      <c r="BE3" s="14">
        <f>L3</f>
        <v>1030</v>
      </c>
      <c r="BG3" s="12"/>
      <c r="BH3" s="13"/>
      <c r="BK3" s="9"/>
    </row>
    <row r="4" spans="1:63">
      <c r="A4" s="1523" t="s">
        <v>167</v>
      </c>
      <c r="B4" s="16"/>
      <c r="C4" s="17"/>
      <c r="D4" s="18" t="str">
        <f>'환기량 산정'!B6</f>
        <v>마산</v>
      </c>
      <c r="E4" s="19" t="str">
        <f>'환기량 산정'!D6</f>
        <v>⇒</v>
      </c>
      <c r="F4" s="18" t="str">
        <f>'환기량 산정'!E6</f>
        <v>진주</v>
      </c>
      <c r="G4" s="19" t="s">
        <v>328</v>
      </c>
      <c r="H4" s="17"/>
      <c r="I4" s="20"/>
      <c r="J4" s="128" t="s">
        <v>167</v>
      </c>
      <c r="K4" s="16"/>
      <c r="L4" s="17"/>
      <c r="M4" s="18" t="str">
        <f>D4</f>
        <v>마산</v>
      </c>
      <c r="N4" s="19" t="str">
        <f>E4</f>
        <v>⇒</v>
      </c>
      <c r="O4" s="18" t="str">
        <f>F4</f>
        <v>진주</v>
      </c>
      <c r="P4" s="19" t="s">
        <v>9</v>
      </c>
      <c r="Q4" s="17"/>
      <c r="R4" s="20"/>
      <c r="S4" s="128" t="s">
        <v>167</v>
      </c>
      <c r="T4" s="16"/>
      <c r="U4" s="17"/>
      <c r="V4" s="18" t="str">
        <f>M4</f>
        <v>마산</v>
      </c>
      <c r="W4" s="19" t="str">
        <f>N4</f>
        <v>⇒</v>
      </c>
      <c r="X4" s="18" t="str">
        <f>O4</f>
        <v>진주</v>
      </c>
      <c r="Y4" s="19" t="s">
        <v>9</v>
      </c>
      <c r="Z4" s="17"/>
      <c r="AA4" s="20"/>
      <c r="AB4" s="128" t="s">
        <v>167</v>
      </c>
      <c r="AC4" s="55"/>
      <c r="AD4" s="19"/>
      <c r="AE4" s="18" t="str">
        <f>D4</f>
        <v>마산</v>
      </c>
      <c r="AF4" s="19" t="str">
        <f>E4</f>
        <v>⇒</v>
      </c>
      <c r="AG4" s="18" t="str">
        <f>F4</f>
        <v>진주</v>
      </c>
      <c r="AH4" s="19" t="str">
        <f>G4</f>
        <v>구 간</v>
      </c>
      <c r="AI4" s="19"/>
      <c r="AJ4" s="56"/>
      <c r="AK4" s="1523" t="s">
        <v>167</v>
      </c>
      <c r="AL4" s="16"/>
      <c r="AM4" s="17"/>
      <c r="AN4" s="18" t="str">
        <f>D4</f>
        <v>마산</v>
      </c>
      <c r="AO4" s="173" t="str">
        <f>E4</f>
        <v>⇒</v>
      </c>
      <c r="AP4" s="18" t="str">
        <f>F4</f>
        <v>진주</v>
      </c>
      <c r="AQ4" s="19" t="s">
        <v>9</v>
      </c>
      <c r="AR4" s="17"/>
      <c r="AS4" s="20"/>
      <c r="AT4" s="128" t="s">
        <v>167</v>
      </c>
      <c r="AU4" s="16"/>
      <c r="AV4" s="17"/>
      <c r="AW4" s="18" t="str">
        <f>AN4</f>
        <v>마산</v>
      </c>
      <c r="AX4" s="19" t="str">
        <f>AO4</f>
        <v>⇒</v>
      </c>
      <c r="AY4" s="18" t="str">
        <f>AP4</f>
        <v>진주</v>
      </c>
      <c r="AZ4" s="19" t="s">
        <v>9</v>
      </c>
      <c r="BA4" s="17"/>
      <c r="BB4" s="20"/>
      <c r="BC4" s="128" t="s">
        <v>167</v>
      </c>
      <c r="BD4" s="16"/>
      <c r="BE4" s="17"/>
      <c r="BF4" s="18" t="str">
        <f>AW4</f>
        <v>마산</v>
      </c>
      <c r="BG4" s="19" t="str">
        <f>AX4</f>
        <v>⇒</v>
      </c>
      <c r="BH4" s="18" t="str">
        <f>AY4</f>
        <v>진주</v>
      </c>
      <c r="BI4" s="19" t="s">
        <v>9</v>
      </c>
      <c r="BJ4" s="17"/>
      <c r="BK4" s="20"/>
    </row>
    <row r="5" spans="1:63">
      <c r="A5" s="1524"/>
      <c r="B5" s="21" t="s">
        <v>168</v>
      </c>
      <c r="C5" s="22"/>
      <c r="D5" s="23"/>
      <c r="E5" s="24" t="s">
        <v>169</v>
      </c>
      <c r="F5" s="25"/>
      <c r="G5" s="23"/>
      <c r="H5" s="25"/>
      <c r="I5" s="26"/>
      <c r="J5" s="129"/>
      <c r="K5" s="21" t="s">
        <v>168</v>
      </c>
      <c r="L5" s="22"/>
      <c r="M5" s="23"/>
      <c r="N5" s="24" t="s">
        <v>170</v>
      </c>
      <c r="O5" s="25"/>
      <c r="P5" s="23"/>
      <c r="Q5" s="25"/>
      <c r="R5" s="26"/>
      <c r="S5" s="129"/>
      <c r="T5" s="21" t="s">
        <v>168</v>
      </c>
      <c r="U5" s="22"/>
      <c r="V5" s="23"/>
      <c r="W5" s="24" t="s">
        <v>171</v>
      </c>
      <c r="Y5" s="23"/>
      <c r="Z5" s="25"/>
      <c r="AA5" s="26"/>
      <c r="AB5" s="129"/>
      <c r="AC5" s="1529" t="s">
        <v>244</v>
      </c>
      <c r="AD5" s="1530"/>
      <c r="AE5" s="1530"/>
      <c r="AF5" s="1530"/>
      <c r="AG5" s="1530"/>
      <c r="AH5" s="1530"/>
      <c r="AI5" s="1530"/>
      <c r="AJ5" s="1531"/>
      <c r="AK5" s="1524"/>
      <c r="AL5" s="21" t="s">
        <v>168</v>
      </c>
      <c r="AM5" s="22"/>
      <c r="AN5" s="23"/>
      <c r="AO5" s="23"/>
      <c r="AP5" s="24"/>
      <c r="AQ5" s="23"/>
      <c r="AR5" s="25"/>
      <c r="AS5" s="26"/>
      <c r="AT5" s="129"/>
      <c r="AU5" s="1526" t="s">
        <v>517</v>
      </c>
      <c r="AV5" s="1527"/>
      <c r="AW5" s="1527"/>
      <c r="AX5" s="1527"/>
      <c r="AY5" s="1527"/>
      <c r="AZ5" s="1527"/>
      <c r="BA5" s="1527"/>
      <c r="BB5" s="1528"/>
      <c r="BC5" s="129"/>
      <c r="BD5" s="1526" t="s">
        <v>485</v>
      </c>
      <c r="BE5" s="1527"/>
      <c r="BF5" s="1527"/>
      <c r="BG5" s="1527"/>
      <c r="BH5" s="1527"/>
      <c r="BI5" s="1527"/>
      <c r="BJ5" s="1527"/>
      <c r="BK5" s="1528"/>
    </row>
    <row r="6" spans="1:63">
      <c r="A6" s="30" t="s">
        <v>106</v>
      </c>
      <c r="B6" s="184">
        <v>10</v>
      </c>
      <c r="C6" s="32">
        <v>20</v>
      </c>
      <c r="D6" s="32">
        <v>30</v>
      </c>
      <c r="E6" s="32">
        <v>40</v>
      </c>
      <c r="F6" s="32">
        <v>50</v>
      </c>
      <c r="G6" s="32">
        <v>60</v>
      </c>
      <c r="H6" s="32">
        <v>70</v>
      </c>
      <c r="I6" s="33">
        <v>80</v>
      </c>
      <c r="J6" s="30" t="s">
        <v>106</v>
      </c>
      <c r="K6" s="186">
        <v>10</v>
      </c>
      <c r="L6" s="32">
        <v>20</v>
      </c>
      <c r="M6" s="32">
        <v>30</v>
      </c>
      <c r="N6" s="32">
        <v>40</v>
      </c>
      <c r="O6" s="32">
        <v>50</v>
      </c>
      <c r="P6" s="32">
        <v>60</v>
      </c>
      <c r="Q6" s="32">
        <v>70</v>
      </c>
      <c r="R6" s="33">
        <v>80</v>
      </c>
      <c r="S6" s="30" t="s">
        <v>106</v>
      </c>
      <c r="T6" s="184">
        <v>10</v>
      </c>
      <c r="U6" s="32">
        <v>20</v>
      </c>
      <c r="V6" s="32">
        <v>30</v>
      </c>
      <c r="W6" s="32">
        <v>40</v>
      </c>
      <c r="X6" s="32">
        <v>50</v>
      </c>
      <c r="Y6" s="32">
        <v>60</v>
      </c>
      <c r="Z6" s="32">
        <v>70</v>
      </c>
      <c r="AA6" s="33">
        <v>80</v>
      </c>
      <c r="AB6" s="57" t="s">
        <v>106</v>
      </c>
      <c r="AC6" s="58">
        <f t="shared" ref="AC6:AJ6" si="0">B$6</f>
        <v>10</v>
      </c>
      <c r="AD6" s="59">
        <f t="shared" si="0"/>
        <v>20</v>
      </c>
      <c r="AE6" s="59">
        <f t="shared" si="0"/>
        <v>30</v>
      </c>
      <c r="AF6" s="59">
        <f t="shared" si="0"/>
        <v>40</v>
      </c>
      <c r="AG6" s="59">
        <f t="shared" si="0"/>
        <v>50</v>
      </c>
      <c r="AH6" s="137">
        <f t="shared" si="0"/>
        <v>60</v>
      </c>
      <c r="AI6" s="59">
        <f t="shared" si="0"/>
        <v>70</v>
      </c>
      <c r="AJ6" s="60">
        <f t="shared" si="0"/>
        <v>80</v>
      </c>
      <c r="AK6" s="30" t="s">
        <v>106</v>
      </c>
      <c r="AL6" s="31">
        <v>10</v>
      </c>
      <c r="AM6" s="32">
        <v>20</v>
      </c>
      <c r="AN6" s="32">
        <v>30</v>
      </c>
      <c r="AO6" s="32">
        <v>40</v>
      </c>
      <c r="AP6" s="32">
        <v>50</v>
      </c>
      <c r="AQ6" s="32">
        <v>60</v>
      </c>
      <c r="AR6" s="32">
        <v>70</v>
      </c>
      <c r="AS6" s="33">
        <v>80</v>
      </c>
      <c r="AT6" s="30" t="s">
        <v>106</v>
      </c>
      <c r="AU6" s="324">
        <v>10</v>
      </c>
      <c r="AV6" s="325">
        <v>20</v>
      </c>
      <c r="AW6" s="325">
        <v>30</v>
      </c>
      <c r="AX6" s="325">
        <v>40</v>
      </c>
      <c r="AY6" s="325">
        <v>50</v>
      </c>
      <c r="AZ6" s="325">
        <v>60</v>
      </c>
      <c r="BA6" s="325">
        <v>70</v>
      </c>
      <c r="BB6" s="326">
        <v>80</v>
      </c>
      <c r="BC6" s="30" t="s">
        <v>106</v>
      </c>
      <c r="BD6" s="324">
        <v>10</v>
      </c>
      <c r="BE6" s="325">
        <v>20</v>
      </c>
      <c r="BF6" s="325">
        <v>30</v>
      </c>
      <c r="BG6" s="325">
        <v>40</v>
      </c>
      <c r="BH6" s="325">
        <v>50</v>
      </c>
      <c r="BI6" s="325">
        <v>60</v>
      </c>
      <c r="BJ6" s="325">
        <v>70</v>
      </c>
      <c r="BK6" s="326">
        <v>80</v>
      </c>
    </row>
    <row r="7" spans="1:63">
      <c r="A7" s="36" t="s">
        <v>107</v>
      </c>
      <c r="B7" s="44">
        <f t="shared" ref="B7:I7" si="1">ROUND(B6/3.6,2)</f>
        <v>2.78</v>
      </c>
      <c r="C7" s="38">
        <f t="shared" si="1"/>
        <v>5.56</v>
      </c>
      <c r="D7" s="38">
        <f t="shared" si="1"/>
        <v>8.33</v>
      </c>
      <c r="E7" s="38">
        <f t="shared" si="1"/>
        <v>11.11</v>
      </c>
      <c r="F7" s="38">
        <f t="shared" si="1"/>
        <v>13.89</v>
      </c>
      <c r="G7" s="38">
        <f t="shared" si="1"/>
        <v>16.670000000000002</v>
      </c>
      <c r="H7" s="63">
        <f t="shared" si="1"/>
        <v>19.440000000000001</v>
      </c>
      <c r="I7" s="39">
        <f t="shared" si="1"/>
        <v>22.22</v>
      </c>
      <c r="J7" s="36" t="s">
        <v>107</v>
      </c>
      <c r="K7" s="62">
        <f t="shared" ref="K7:R7" si="2">ROUND(K6/3.6,2)</f>
        <v>2.78</v>
      </c>
      <c r="L7" s="38">
        <f t="shared" si="2"/>
        <v>5.56</v>
      </c>
      <c r="M7" s="38">
        <f t="shared" si="2"/>
        <v>8.33</v>
      </c>
      <c r="N7" s="38">
        <f t="shared" si="2"/>
        <v>11.11</v>
      </c>
      <c r="O7" s="38">
        <f t="shared" si="2"/>
        <v>13.89</v>
      </c>
      <c r="P7" s="38">
        <f t="shared" si="2"/>
        <v>16.670000000000002</v>
      </c>
      <c r="Q7" s="38">
        <f t="shared" si="2"/>
        <v>19.440000000000001</v>
      </c>
      <c r="R7" s="39">
        <f t="shared" si="2"/>
        <v>22.22</v>
      </c>
      <c r="S7" s="36" t="s">
        <v>107</v>
      </c>
      <c r="T7" s="44">
        <f t="shared" ref="T7:AA7" si="3">ROUND(T6/3.6,2)</f>
        <v>2.78</v>
      </c>
      <c r="U7" s="38">
        <f t="shared" si="3"/>
        <v>5.56</v>
      </c>
      <c r="V7" s="38">
        <f t="shared" si="3"/>
        <v>8.33</v>
      </c>
      <c r="W7" s="38">
        <f t="shared" si="3"/>
        <v>11.11</v>
      </c>
      <c r="X7" s="38">
        <f t="shared" si="3"/>
        <v>13.89</v>
      </c>
      <c r="Y7" s="38">
        <f t="shared" si="3"/>
        <v>16.670000000000002</v>
      </c>
      <c r="Z7" s="38">
        <f t="shared" si="3"/>
        <v>19.440000000000001</v>
      </c>
      <c r="AA7" s="39">
        <f t="shared" si="3"/>
        <v>22.22</v>
      </c>
      <c r="AB7" s="36" t="s">
        <v>121</v>
      </c>
      <c r="AC7" s="127">
        <v>2.25</v>
      </c>
      <c r="AD7" s="38">
        <f t="shared" ref="AD7:AJ7" si="4">AC7</f>
        <v>2.25</v>
      </c>
      <c r="AE7" s="38">
        <f t="shared" si="4"/>
        <v>2.25</v>
      </c>
      <c r="AF7" s="38">
        <f t="shared" si="4"/>
        <v>2.25</v>
      </c>
      <c r="AG7" s="38">
        <f t="shared" si="4"/>
        <v>2.25</v>
      </c>
      <c r="AH7" s="63">
        <f t="shared" si="4"/>
        <v>2.25</v>
      </c>
      <c r="AI7" s="38">
        <f t="shared" si="4"/>
        <v>2.25</v>
      </c>
      <c r="AJ7" s="39">
        <f t="shared" si="4"/>
        <v>2.25</v>
      </c>
      <c r="AK7" s="164" t="s">
        <v>246</v>
      </c>
      <c r="AL7" s="40">
        <f t="shared" ref="AL7:AS7" si="5">B31</f>
        <v>1</v>
      </c>
      <c r="AM7" s="40">
        <f t="shared" si="5"/>
        <v>0</v>
      </c>
      <c r="AN7" s="40">
        <f t="shared" si="5"/>
        <v>0</v>
      </c>
      <c r="AO7" s="40">
        <f t="shared" si="5"/>
        <v>0</v>
      </c>
      <c r="AP7" s="40">
        <f t="shared" si="5"/>
        <v>0</v>
      </c>
      <c r="AQ7" s="40">
        <f t="shared" si="5"/>
        <v>0</v>
      </c>
      <c r="AR7" s="139">
        <f t="shared" si="5"/>
        <v>0</v>
      </c>
      <c r="AS7" s="41">
        <f t="shared" si="5"/>
        <v>0</v>
      </c>
      <c r="AT7" s="36" t="s">
        <v>107</v>
      </c>
      <c r="AU7" s="327">
        <f t="shared" ref="AU7:BB7" si="6">ROUND(AU6/3.6,2)</f>
        <v>2.78</v>
      </c>
      <c r="AV7" s="328">
        <f t="shared" si="6"/>
        <v>5.56</v>
      </c>
      <c r="AW7" s="328">
        <f t="shared" si="6"/>
        <v>8.33</v>
      </c>
      <c r="AX7" s="328">
        <f t="shared" si="6"/>
        <v>11.11</v>
      </c>
      <c r="AY7" s="328">
        <f t="shared" si="6"/>
        <v>13.89</v>
      </c>
      <c r="AZ7" s="328">
        <f t="shared" si="6"/>
        <v>16.670000000000002</v>
      </c>
      <c r="BA7" s="328">
        <f t="shared" si="6"/>
        <v>19.440000000000001</v>
      </c>
      <c r="BB7" s="342">
        <f t="shared" si="6"/>
        <v>22.22</v>
      </c>
      <c r="BC7" s="36" t="s">
        <v>107</v>
      </c>
      <c r="BD7" s="327">
        <f t="shared" ref="BD7:BK7" si="7">ROUND(BD6/3.6,2)</f>
        <v>2.78</v>
      </c>
      <c r="BE7" s="328">
        <f t="shared" si="7"/>
        <v>5.56</v>
      </c>
      <c r="BF7" s="328">
        <f t="shared" si="7"/>
        <v>8.33</v>
      </c>
      <c r="BG7" s="328">
        <f t="shared" si="7"/>
        <v>11.11</v>
      </c>
      <c r="BH7" s="328">
        <f t="shared" si="7"/>
        <v>13.89</v>
      </c>
      <c r="BI7" s="328">
        <f t="shared" si="7"/>
        <v>16.670000000000002</v>
      </c>
      <c r="BJ7" s="328">
        <f t="shared" si="7"/>
        <v>19.440000000000001</v>
      </c>
      <c r="BK7" s="342">
        <f t="shared" si="7"/>
        <v>22.22</v>
      </c>
    </row>
    <row r="8" spans="1:63">
      <c r="A8" s="36" t="s">
        <v>108</v>
      </c>
      <c r="B8" s="180">
        <f>'환기량 산정'!B1511</f>
        <v>6</v>
      </c>
      <c r="C8" s="42">
        <f>'환기량 산정'!D$704</f>
        <v>9</v>
      </c>
      <c r="D8" s="42">
        <f>'환기량 산정'!E$704</f>
        <v>9</v>
      </c>
      <c r="E8" s="42">
        <f>'환기량 산정'!F$704</f>
        <v>10</v>
      </c>
      <c r="F8" s="42">
        <f>'환기량 산정'!G$704</f>
        <v>14</v>
      </c>
      <c r="G8" s="42">
        <f>'환기량 산정'!H$704</f>
        <v>14</v>
      </c>
      <c r="H8" s="61">
        <f>'환기량 산정'!I$704</f>
        <v>14</v>
      </c>
      <c r="I8" s="43">
        <f>'환기량 산정'!J$704</f>
        <v>14</v>
      </c>
      <c r="J8" s="36" t="s">
        <v>108</v>
      </c>
      <c r="K8" s="187">
        <f>'환기량 산정'!B1513</f>
        <v>15</v>
      </c>
      <c r="L8" s="42">
        <f>'환기량 산정'!C1513</f>
        <v>13</v>
      </c>
      <c r="M8" s="42">
        <f>'환기량 산정'!D1513</f>
        <v>9</v>
      </c>
      <c r="N8" s="42">
        <f>'환기량 산정'!E1513</f>
        <v>8</v>
      </c>
      <c r="O8" s="42">
        <f>'환기량 산정'!F1513</f>
        <v>7</v>
      </c>
      <c r="P8" s="42">
        <f>'환기량 산정'!G1513</f>
        <v>6</v>
      </c>
      <c r="Q8" s="42">
        <f>'환기량 산정'!H1513</f>
        <v>7</v>
      </c>
      <c r="R8" s="43">
        <f>'환기량 산정'!I1513</f>
        <v>7</v>
      </c>
      <c r="S8" s="36" t="s">
        <v>108</v>
      </c>
      <c r="T8" s="180">
        <f>'환기량 산정'!B1515</f>
        <v>3</v>
      </c>
      <c r="U8" s="42">
        <f>'환기량 산정'!C1515</f>
        <v>2</v>
      </c>
      <c r="V8" s="42">
        <f>'환기량 산정'!D1515</f>
        <v>2</v>
      </c>
      <c r="W8" s="42">
        <f>'환기량 산정'!E1515</f>
        <v>2</v>
      </c>
      <c r="X8" s="42">
        <f>'환기량 산정'!F1515</f>
        <v>1</v>
      </c>
      <c r="Y8" s="42">
        <f>'환기량 산정'!G1515</f>
        <v>1</v>
      </c>
      <c r="Z8" s="42">
        <f>'환기량 산정'!H1515</f>
        <v>1</v>
      </c>
      <c r="AA8" s="43">
        <f>'환기량 산정'!I1515</f>
        <v>1</v>
      </c>
      <c r="AB8" s="36" t="s">
        <v>111</v>
      </c>
      <c r="AC8" s="44">
        <f>'환기량 산정'!B1504</f>
        <v>1060</v>
      </c>
      <c r="AD8" s="38">
        <f>'환기량 산정'!C1504</f>
        <v>1536</v>
      </c>
      <c r="AE8" s="38">
        <f>'환기량 산정'!D1504</f>
        <v>1779</v>
      </c>
      <c r="AF8" s="38">
        <f>'환기량 산정'!E1504</f>
        <v>1867</v>
      </c>
      <c r="AG8" s="38">
        <f>'환기량 산정'!F1504</f>
        <v>1944</v>
      </c>
      <c r="AH8" s="38">
        <f>'환기량 산정'!G1504</f>
        <v>1925</v>
      </c>
      <c r="AI8" s="38">
        <f>'환기량 산정'!H1504</f>
        <v>1906</v>
      </c>
      <c r="AJ8" s="39">
        <f>'환기량 산정'!I1504</f>
        <v>1944</v>
      </c>
      <c r="AK8" s="69" t="s">
        <v>247</v>
      </c>
      <c r="AL8" s="44">
        <f t="shared" ref="AL8:AS8" si="8">K31</f>
        <v>1</v>
      </c>
      <c r="AM8" s="38">
        <f t="shared" si="8"/>
        <v>0</v>
      </c>
      <c r="AN8" s="38">
        <f t="shared" si="8"/>
        <v>0</v>
      </c>
      <c r="AO8" s="38">
        <f t="shared" si="8"/>
        <v>0</v>
      </c>
      <c r="AP8" s="38">
        <f t="shared" si="8"/>
        <v>0</v>
      </c>
      <c r="AQ8" s="38">
        <f t="shared" si="8"/>
        <v>0</v>
      </c>
      <c r="AR8" s="63">
        <f t="shared" si="8"/>
        <v>0</v>
      </c>
      <c r="AS8" s="39">
        <f t="shared" si="8"/>
        <v>0</v>
      </c>
      <c r="AT8" s="36" t="s">
        <v>108</v>
      </c>
      <c r="AU8" s="330">
        <f>'환기량 산정'!H1540</f>
        <v>137</v>
      </c>
      <c r="AV8" s="331">
        <f t="shared" ref="AV8:BB8" si="9">AU8</f>
        <v>137</v>
      </c>
      <c r="AW8" s="331">
        <f t="shared" si="9"/>
        <v>137</v>
      </c>
      <c r="AX8" s="331">
        <f t="shared" si="9"/>
        <v>137</v>
      </c>
      <c r="AY8" s="331">
        <f t="shared" si="9"/>
        <v>137</v>
      </c>
      <c r="AZ8" s="331">
        <f t="shared" si="9"/>
        <v>137</v>
      </c>
      <c r="BA8" s="331">
        <f t="shared" si="9"/>
        <v>137</v>
      </c>
      <c r="BB8" s="343">
        <f t="shared" si="9"/>
        <v>137</v>
      </c>
      <c r="BC8" s="36" t="s">
        <v>108</v>
      </c>
      <c r="BD8" s="330">
        <f>'환기량 산정'!H1545</f>
        <v>89</v>
      </c>
      <c r="BE8" s="331">
        <f t="shared" ref="BE8:BK8" si="10">BD8</f>
        <v>89</v>
      </c>
      <c r="BF8" s="331">
        <f t="shared" si="10"/>
        <v>89</v>
      </c>
      <c r="BG8" s="331">
        <f t="shared" si="10"/>
        <v>89</v>
      </c>
      <c r="BH8" s="331">
        <f t="shared" si="10"/>
        <v>89</v>
      </c>
      <c r="BI8" s="331">
        <f t="shared" si="10"/>
        <v>89</v>
      </c>
      <c r="BJ8" s="331">
        <f t="shared" si="10"/>
        <v>89</v>
      </c>
      <c r="BK8" s="343">
        <f t="shared" si="10"/>
        <v>89</v>
      </c>
    </row>
    <row r="9" spans="1:63">
      <c r="A9" s="69" t="s">
        <v>109</v>
      </c>
      <c r="B9" s="242">
        <f t="shared" ref="B9:I9" si="11">ROUND(B8/B12,4)</f>
        <v>0.1023</v>
      </c>
      <c r="C9" s="38">
        <f t="shared" si="11"/>
        <v>0.15340000000000001</v>
      </c>
      <c r="D9" s="38">
        <f t="shared" si="11"/>
        <v>0.15340000000000001</v>
      </c>
      <c r="E9" s="38">
        <f t="shared" si="11"/>
        <v>0.1704</v>
      </c>
      <c r="F9" s="38">
        <f t="shared" si="11"/>
        <v>0.23860000000000001</v>
      </c>
      <c r="G9" s="38">
        <f t="shared" si="11"/>
        <v>0.23860000000000001</v>
      </c>
      <c r="H9" s="63">
        <f t="shared" si="11"/>
        <v>0.23860000000000001</v>
      </c>
      <c r="I9" s="39">
        <f t="shared" si="11"/>
        <v>0.23860000000000001</v>
      </c>
      <c r="J9" s="36" t="s">
        <v>109</v>
      </c>
      <c r="K9" s="62">
        <f t="shared" ref="K9:R9" si="12">ROUND(K8/K12,4)</f>
        <v>0.25569999999999998</v>
      </c>
      <c r="L9" s="38">
        <f t="shared" si="12"/>
        <v>0.22159999999999999</v>
      </c>
      <c r="M9" s="38">
        <f t="shared" si="12"/>
        <v>0.15340000000000001</v>
      </c>
      <c r="N9" s="38">
        <f t="shared" si="12"/>
        <v>0.13639999999999999</v>
      </c>
      <c r="O9" s="38">
        <f t="shared" si="12"/>
        <v>0.1193</v>
      </c>
      <c r="P9" s="38">
        <f t="shared" si="12"/>
        <v>0.1023</v>
      </c>
      <c r="Q9" s="38">
        <f t="shared" si="12"/>
        <v>0.1193</v>
      </c>
      <c r="R9" s="39">
        <f t="shared" si="12"/>
        <v>0.1193</v>
      </c>
      <c r="S9" s="36" t="s">
        <v>109</v>
      </c>
      <c r="T9" s="44">
        <f t="shared" ref="T9:AA9" si="13">ROUND(T8/T12,4)</f>
        <v>5.11E-2</v>
      </c>
      <c r="U9" s="38">
        <f t="shared" si="13"/>
        <v>3.4099999999999998E-2</v>
      </c>
      <c r="V9" s="38">
        <f t="shared" si="13"/>
        <v>3.4099999999999998E-2</v>
      </c>
      <c r="W9" s="38">
        <f t="shared" si="13"/>
        <v>3.4099999999999998E-2</v>
      </c>
      <c r="X9" s="38">
        <f t="shared" si="13"/>
        <v>1.7000000000000001E-2</v>
      </c>
      <c r="Y9" s="38">
        <f t="shared" si="13"/>
        <v>1.7000000000000001E-2</v>
      </c>
      <c r="Z9" s="38">
        <f t="shared" si="13"/>
        <v>1.7000000000000001E-2</v>
      </c>
      <c r="AA9" s="39">
        <f t="shared" si="13"/>
        <v>1.7000000000000001E-2</v>
      </c>
      <c r="AB9" s="36" t="s">
        <v>535</v>
      </c>
      <c r="AC9" s="37">
        <f>차량정체길이산정!B9</f>
        <v>144</v>
      </c>
      <c r="AD9" s="38">
        <f>차량정체길이산정!C9</f>
        <v>144</v>
      </c>
      <c r="AE9" s="38">
        <f>차량정체길이산정!D9</f>
        <v>144</v>
      </c>
      <c r="AF9" s="38">
        <f>차량정체길이산정!E9</f>
        <v>140</v>
      </c>
      <c r="AG9" s="38">
        <f>차량정체길이산정!F9</f>
        <v>136</v>
      </c>
      <c r="AH9" s="63">
        <f>차량정체길이산정!G9</f>
        <v>129</v>
      </c>
      <c r="AI9" s="38">
        <f>차량정체길이산정!H9</f>
        <v>123</v>
      </c>
      <c r="AJ9" s="39">
        <f>차량정체길이산정!I9</f>
        <v>122</v>
      </c>
      <c r="AK9" s="69" t="s">
        <v>248</v>
      </c>
      <c r="AL9" s="44">
        <f t="shared" ref="AL9:AS9" si="14">T31</f>
        <v>1</v>
      </c>
      <c r="AM9" s="38">
        <f t="shared" si="14"/>
        <v>0</v>
      </c>
      <c r="AN9" s="38">
        <f t="shared" si="14"/>
        <v>0</v>
      </c>
      <c r="AO9" s="38">
        <f t="shared" si="14"/>
        <v>0</v>
      </c>
      <c r="AP9" s="38">
        <f t="shared" si="14"/>
        <v>0</v>
      </c>
      <c r="AQ9" s="38">
        <f t="shared" si="14"/>
        <v>0</v>
      </c>
      <c r="AR9" s="63">
        <f t="shared" si="14"/>
        <v>0</v>
      </c>
      <c r="AS9" s="39">
        <f t="shared" si="14"/>
        <v>0</v>
      </c>
      <c r="AT9" s="36" t="s">
        <v>109</v>
      </c>
      <c r="AU9" s="327">
        <f t="shared" ref="AU9:BB9" si="15">ROUND(AU8/AU12,4)</f>
        <v>2.335</v>
      </c>
      <c r="AV9" s="328">
        <f t="shared" si="15"/>
        <v>2.335</v>
      </c>
      <c r="AW9" s="328">
        <f t="shared" si="15"/>
        <v>2.335</v>
      </c>
      <c r="AX9" s="328">
        <f t="shared" si="15"/>
        <v>2.335</v>
      </c>
      <c r="AY9" s="328">
        <f t="shared" si="15"/>
        <v>2.335</v>
      </c>
      <c r="AZ9" s="328">
        <f t="shared" si="15"/>
        <v>2.335</v>
      </c>
      <c r="BA9" s="328">
        <f t="shared" si="15"/>
        <v>2.335</v>
      </c>
      <c r="BB9" s="329">
        <f t="shared" si="15"/>
        <v>2.335</v>
      </c>
      <c r="BC9" s="36" t="s">
        <v>109</v>
      </c>
      <c r="BD9" s="327">
        <f t="shared" ref="BD9:BK9" si="16">ROUND(BD8/BD12,4)</f>
        <v>1.5168999999999999</v>
      </c>
      <c r="BE9" s="328">
        <f t="shared" si="16"/>
        <v>1.5168999999999999</v>
      </c>
      <c r="BF9" s="328">
        <f t="shared" si="16"/>
        <v>1.5168999999999999</v>
      </c>
      <c r="BG9" s="328">
        <f t="shared" si="16"/>
        <v>1.5168999999999999</v>
      </c>
      <c r="BH9" s="328">
        <f t="shared" si="16"/>
        <v>1.5168999999999999</v>
      </c>
      <c r="BI9" s="328">
        <f t="shared" si="16"/>
        <v>1.5168999999999999</v>
      </c>
      <c r="BJ9" s="328">
        <f t="shared" si="16"/>
        <v>1.5168999999999999</v>
      </c>
      <c r="BK9" s="329">
        <f t="shared" si="16"/>
        <v>1.5168999999999999</v>
      </c>
    </row>
    <row r="10" spans="1:63">
      <c r="A10" s="36" t="s">
        <v>110</v>
      </c>
      <c r="B10" s="360">
        <f>'환기량 산정'!$C1490</f>
        <v>2.5</v>
      </c>
      <c r="C10" s="361">
        <f>'환기량 산정'!$C1490</f>
        <v>2.5</v>
      </c>
      <c r="D10" s="361">
        <f>'환기량 산정'!$C1490</f>
        <v>2.5</v>
      </c>
      <c r="E10" s="361">
        <f>'환기량 산정'!$C1490</f>
        <v>2.5</v>
      </c>
      <c r="F10" s="361">
        <f>'환기량 산정'!$C1490</f>
        <v>2.5</v>
      </c>
      <c r="G10" s="361">
        <f>'환기량 산정'!$C1490</f>
        <v>2.5</v>
      </c>
      <c r="H10" s="362">
        <f>'환기량 산정'!$C1490</f>
        <v>2.5</v>
      </c>
      <c r="I10" s="363">
        <f>'환기량 산정'!$C1490</f>
        <v>2.5</v>
      </c>
      <c r="J10" s="36" t="s">
        <v>110</v>
      </c>
      <c r="K10" s="364">
        <f>'환기량 산정'!$C1490</f>
        <v>2.5</v>
      </c>
      <c r="L10" s="361">
        <f>'환기량 산정'!$C1490</f>
        <v>2.5</v>
      </c>
      <c r="M10" s="361">
        <f>'환기량 산정'!$C1490</f>
        <v>2.5</v>
      </c>
      <c r="N10" s="361">
        <f>'환기량 산정'!$C1490</f>
        <v>2.5</v>
      </c>
      <c r="O10" s="361">
        <f>'환기량 산정'!$C1490</f>
        <v>2.5</v>
      </c>
      <c r="P10" s="361">
        <f>'환기량 산정'!$C1490</f>
        <v>2.5</v>
      </c>
      <c r="Q10" s="361">
        <f>'환기량 산정'!$C1490</f>
        <v>2.5</v>
      </c>
      <c r="R10" s="363">
        <f>'환기량 산정'!$C1490</f>
        <v>2.5</v>
      </c>
      <c r="S10" s="36" t="s">
        <v>110</v>
      </c>
      <c r="T10" s="360">
        <f>'환기량 산정'!$C1490</f>
        <v>2.5</v>
      </c>
      <c r="U10" s="361">
        <f>'환기량 산정'!$C1490</f>
        <v>2.5</v>
      </c>
      <c r="V10" s="361">
        <f>'환기량 산정'!$C1490</f>
        <v>2.5</v>
      </c>
      <c r="W10" s="361">
        <f>'환기량 산정'!$C1490</f>
        <v>2.5</v>
      </c>
      <c r="X10" s="361">
        <f>'환기량 산정'!$C1490</f>
        <v>2.5</v>
      </c>
      <c r="Y10" s="361">
        <f>'환기량 산정'!$C1490</f>
        <v>2.5</v>
      </c>
      <c r="Z10" s="361">
        <f>'환기량 산정'!$C1490</f>
        <v>2.5</v>
      </c>
      <c r="AA10" s="363">
        <f>'환기량 산정'!$C1490</f>
        <v>2.5</v>
      </c>
      <c r="AB10" s="36"/>
      <c r="AC10" s="37"/>
      <c r="AD10" s="38"/>
      <c r="AE10" s="38"/>
      <c r="AF10" s="38"/>
      <c r="AG10" s="38"/>
      <c r="AH10" s="63"/>
      <c r="AI10" s="38"/>
      <c r="AJ10" s="39"/>
      <c r="AK10" s="166" t="s">
        <v>425</v>
      </c>
      <c r="AL10" s="355">
        <f t="shared" ref="AL10:AS10" si="17">AU31</f>
        <v>3</v>
      </c>
      <c r="AM10" s="65">
        <f t="shared" si="17"/>
        <v>2</v>
      </c>
      <c r="AN10" s="65">
        <f t="shared" si="17"/>
        <v>1</v>
      </c>
      <c r="AO10" s="65">
        <f t="shared" si="17"/>
        <v>0</v>
      </c>
      <c r="AP10" s="65">
        <f t="shared" si="17"/>
        <v>0</v>
      </c>
      <c r="AQ10" s="65">
        <f t="shared" si="17"/>
        <v>0</v>
      </c>
      <c r="AR10" s="65">
        <f t="shared" si="17"/>
        <v>0</v>
      </c>
      <c r="AS10" s="66">
        <f t="shared" si="17"/>
        <v>0</v>
      </c>
      <c r="AT10" s="36" t="s">
        <v>110</v>
      </c>
      <c r="AU10" s="357">
        <f>'환기량 산정'!$C1490</f>
        <v>2.5</v>
      </c>
      <c r="AV10" s="358">
        <f>'환기량 산정'!$C1490</f>
        <v>2.5</v>
      </c>
      <c r="AW10" s="358">
        <f>'환기량 산정'!$C1490</f>
        <v>2.5</v>
      </c>
      <c r="AX10" s="358">
        <f>'환기량 산정'!$C1490</f>
        <v>2.5</v>
      </c>
      <c r="AY10" s="358">
        <f>'환기량 산정'!$C1490</f>
        <v>2.5</v>
      </c>
      <c r="AZ10" s="358">
        <f>'환기량 산정'!$C1490</f>
        <v>2.5</v>
      </c>
      <c r="BA10" s="358">
        <f>'환기량 산정'!$C1490</f>
        <v>2.5</v>
      </c>
      <c r="BB10" s="359">
        <f>'환기량 산정'!$C1490</f>
        <v>2.5</v>
      </c>
      <c r="BC10" s="36" t="s">
        <v>110</v>
      </c>
      <c r="BD10" s="357">
        <f>'환기량 산정'!$C1490</f>
        <v>2.5</v>
      </c>
      <c r="BE10" s="358">
        <f>'환기량 산정'!$C1490</f>
        <v>2.5</v>
      </c>
      <c r="BF10" s="358">
        <f>'환기량 산정'!$C1490</f>
        <v>2.5</v>
      </c>
      <c r="BG10" s="358">
        <f>'환기량 산정'!$C1490</f>
        <v>2.5</v>
      </c>
      <c r="BH10" s="358">
        <f>'환기량 산정'!$C1490</f>
        <v>2.5</v>
      </c>
      <c r="BI10" s="358">
        <f>'환기량 산정'!$C1490</f>
        <v>2.5</v>
      </c>
      <c r="BJ10" s="358">
        <f>'환기량 산정'!$C1490</f>
        <v>2.5</v>
      </c>
      <c r="BK10" s="359">
        <f>'환기량 산정'!$C1490</f>
        <v>2.5</v>
      </c>
    </row>
    <row r="11" spans="1:63" ht="15.75">
      <c r="A11" s="36" t="s">
        <v>111</v>
      </c>
      <c r="B11" s="44">
        <f>'환기량 산정'!B1504</f>
        <v>1060</v>
      </c>
      <c r="C11" s="38">
        <f>'환기량 산정'!C1504</f>
        <v>1536</v>
      </c>
      <c r="D11" s="38">
        <f>'환기량 산정'!D1504</f>
        <v>1779</v>
      </c>
      <c r="E11" s="38">
        <f>'환기량 산정'!E1504</f>
        <v>1867</v>
      </c>
      <c r="F11" s="38">
        <f>'환기량 산정'!F1504</f>
        <v>1944</v>
      </c>
      <c r="G11" s="38">
        <f>'환기량 산정'!G1504</f>
        <v>1925</v>
      </c>
      <c r="H11" s="63">
        <f>'환기량 산정'!H1504</f>
        <v>1906</v>
      </c>
      <c r="I11" s="39">
        <f>'환기량 산정'!I1504</f>
        <v>1944</v>
      </c>
      <c r="J11" s="36" t="s">
        <v>111</v>
      </c>
      <c r="K11" s="62">
        <f t="shared" ref="K11:R11" si="18">B11</f>
        <v>1060</v>
      </c>
      <c r="L11" s="38">
        <f t="shared" si="18"/>
        <v>1536</v>
      </c>
      <c r="M11" s="38">
        <f t="shared" si="18"/>
        <v>1779</v>
      </c>
      <c r="N11" s="38">
        <f t="shared" si="18"/>
        <v>1867</v>
      </c>
      <c r="O11" s="38">
        <f t="shared" si="18"/>
        <v>1944</v>
      </c>
      <c r="P11" s="38">
        <f t="shared" si="18"/>
        <v>1925</v>
      </c>
      <c r="Q11" s="38">
        <f t="shared" si="18"/>
        <v>1906</v>
      </c>
      <c r="R11" s="39">
        <f t="shared" si="18"/>
        <v>1944</v>
      </c>
      <c r="S11" s="36" t="s">
        <v>111</v>
      </c>
      <c r="T11" s="44">
        <f t="shared" ref="T11:AA11" si="19">K11</f>
        <v>1060</v>
      </c>
      <c r="U11" s="38">
        <f t="shared" si="19"/>
        <v>1536</v>
      </c>
      <c r="V11" s="38">
        <f t="shared" si="19"/>
        <v>1779</v>
      </c>
      <c r="W11" s="38">
        <f t="shared" si="19"/>
        <v>1867</v>
      </c>
      <c r="X11" s="38">
        <f t="shared" si="19"/>
        <v>1944</v>
      </c>
      <c r="Y11" s="38">
        <f t="shared" si="19"/>
        <v>1925</v>
      </c>
      <c r="Z11" s="38">
        <f t="shared" si="19"/>
        <v>1906</v>
      </c>
      <c r="AA11" s="39">
        <f t="shared" si="19"/>
        <v>1944</v>
      </c>
      <c r="AB11" s="36" t="s">
        <v>154</v>
      </c>
      <c r="AC11" s="37">
        <f>ROUND((1+B15+B16*B13/B17)*B14/2*AC7^2,4)</f>
        <v>14.478999999999999</v>
      </c>
      <c r="AD11" s="38">
        <f t="shared" ref="AD11:AJ11" si="20">ROUND((1+C15+C16*C13/C17)*C14/2*AD7^2,4)</f>
        <v>14.478999999999999</v>
      </c>
      <c r="AE11" s="38">
        <f t="shared" si="20"/>
        <v>14.478999999999999</v>
      </c>
      <c r="AF11" s="38">
        <f t="shared" si="20"/>
        <v>14.478999999999999</v>
      </c>
      <c r="AG11" s="38">
        <f t="shared" si="20"/>
        <v>14.478999999999999</v>
      </c>
      <c r="AH11" s="63">
        <f t="shared" si="20"/>
        <v>14.478999999999999</v>
      </c>
      <c r="AI11" s="38">
        <f t="shared" si="20"/>
        <v>14.478999999999999</v>
      </c>
      <c r="AJ11" s="39">
        <f t="shared" si="20"/>
        <v>14.478999999999999</v>
      </c>
      <c r="AK11" s="166" t="s">
        <v>249</v>
      </c>
      <c r="AL11" s="67">
        <f t="shared" ref="AL11:AS11" si="21">AC19</f>
        <v>5</v>
      </c>
      <c r="AM11" s="65">
        <f t="shared" si="21"/>
        <v>5</v>
      </c>
      <c r="AN11" s="65">
        <f t="shared" si="21"/>
        <v>5</v>
      </c>
      <c r="AO11" s="65">
        <f t="shared" si="21"/>
        <v>5</v>
      </c>
      <c r="AP11" s="65">
        <f t="shared" si="21"/>
        <v>5</v>
      </c>
      <c r="AQ11" s="65">
        <f t="shared" si="21"/>
        <v>5</v>
      </c>
      <c r="AR11" s="65">
        <f t="shared" si="21"/>
        <v>5</v>
      </c>
      <c r="AS11" s="66">
        <f t="shared" si="21"/>
        <v>5</v>
      </c>
      <c r="AT11" s="36" t="s">
        <v>111</v>
      </c>
      <c r="AU11" s="327">
        <f t="shared" ref="AU11:BB11" si="22">B11</f>
        <v>1060</v>
      </c>
      <c r="AV11" s="332">
        <f t="shared" si="22"/>
        <v>1536</v>
      </c>
      <c r="AW11" s="332">
        <f t="shared" si="22"/>
        <v>1779</v>
      </c>
      <c r="AX11" s="332">
        <f t="shared" si="22"/>
        <v>1867</v>
      </c>
      <c r="AY11" s="332">
        <f t="shared" si="22"/>
        <v>1944</v>
      </c>
      <c r="AZ11" s="332">
        <f t="shared" si="22"/>
        <v>1925</v>
      </c>
      <c r="BA11" s="332">
        <f t="shared" si="22"/>
        <v>1906</v>
      </c>
      <c r="BB11" s="338">
        <f t="shared" si="22"/>
        <v>1944</v>
      </c>
      <c r="BC11" s="36" t="s">
        <v>111</v>
      </c>
      <c r="BD11" s="327">
        <f t="shared" ref="BD11:BK11" si="23">K11</f>
        <v>1060</v>
      </c>
      <c r="BE11" s="332">
        <f t="shared" si="23"/>
        <v>1536</v>
      </c>
      <c r="BF11" s="332">
        <f t="shared" si="23"/>
        <v>1779</v>
      </c>
      <c r="BG11" s="332">
        <f t="shared" si="23"/>
        <v>1867</v>
      </c>
      <c r="BH11" s="332">
        <f t="shared" si="23"/>
        <v>1944</v>
      </c>
      <c r="BI11" s="332">
        <f t="shared" si="23"/>
        <v>1925</v>
      </c>
      <c r="BJ11" s="332">
        <f t="shared" si="23"/>
        <v>1906</v>
      </c>
      <c r="BK11" s="338">
        <f t="shared" si="23"/>
        <v>1944</v>
      </c>
    </row>
    <row r="12" spans="1:63" ht="15.75">
      <c r="A12" s="36" t="s">
        <v>90</v>
      </c>
      <c r="B12" s="44">
        <f>'환기량 산정'!$C1488</f>
        <v>58.672159999999998</v>
      </c>
      <c r="C12" s="38">
        <f>'환기량 산정'!$C1488</f>
        <v>58.672159999999998</v>
      </c>
      <c r="D12" s="38">
        <f>'환기량 산정'!$C1488</f>
        <v>58.672159999999998</v>
      </c>
      <c r="E12" s="38">
        <f>'환기량 산정'!$C1488</f>
        <v>58.672159999999998</v>
      </c>
      <c r="F12" s="38">
        <f>'환기량 산정'!$C1488</f>
        <v>58.672159999999998</v>
      </c>
      <c r="G12" s="38">
        <f>'환기량 산정'!$C1488</f>
        <v>58.672159999999998</v>
      </c>
      <c r="H12" s="63">
        <f>'환기량 산정'!$C1488</f>
        <v>58.672159999999998</v>
      </c>
      <c r="I12" s="39">
        <f>'환기량 산정'!$C1488</f>
        <v>58.672159999999998</v>
      </c>
      <c r="J12" s="36" t="s">
        <v>90</v>
      </c>
      <c r="K12" s="62">
        <f>'환기량 산정'!$C1488</f>
        <v>58.672159999999998</v>
      </c>
      <c r="L12" s="38">
        <f>'환기량 산정'!$C1488</f>
        <v>58.672159999999998</v>
      </c>
      <c r="M12" s="38">
        <f>'환기량 산정'!$C1488</f>
        <v>58.672159999999998</v>
      </c>
      <c r="N12" s="38">
        <f>'환기량 산정'!$C1488</f>
        <v>58.672159999999998</v>
      </c>
      <c r="O12" s="38">
        <f>'환기량 산정'!$C1488</f>
        <v>58.672159999999998</v>
      </c>
      <c r="P12" s="38">
        <f>'환기량 산정'!$C1488</f>
        <v>58.672159999999998</v>
      </c>
      <c r="Q12" s="38">
        <f>'환기량 산정'!$C1488</f>
        <v>58.672159999999998</v>
      </c>
      <c r="R12" s="39">
        <f>'환기량 산정'!$C1488</f>
        <v>58.672159999999998</v>
      </c>
      <c r="S12" s="36" t="s">
        <v>90</v>
      </c>
      <c r="T12" s="44">
        <f>'환기량 산정'!$C1488</f>
        <v>58.672159999999998</v>
      </c>
      <c r="U12" s="38">
        <f>'환기량 산정'!$C1488</f>
        <v>58.672159999999998</v>
      </c>
      <c r="V12" s="38">
        <f>'환기량 산정'!$C1488</f>
        <v>58.672159999999998</v>
      </c>
      <c r="W12" s="38">
        <f>'환기량 산정'!$C1488</f>
        <v>58.672159999999998</v>
      </c>
      <c r="X12" s="38">
        <f>'환기량 산정'!$C1488</f>
        <v>58.672159999999998</v>
      </c>
      <c r="Y12" s="38">
        <f>'환기량 산정'!$C1488</f>
        <v>58.672159999999998</v>
      </c>
      <c r="Z12" s="38">
        <f>'환기량 산정'!$C1488</f>
        <v>58.672159999999998</v>
      </c>
      <c r="AA12" s="39">
        <f>'환기량 산정'!$C1488</f>
        <v>58.672159999999998</v>
      </c>
      <c r="AB12" s="36" t="s">
        <v>155</v>
      </c>
      <c r="AC12" s="37">
        <f>B24</f>
        <v>17.875299999999999</v>
      </c>
      <c r="AD12" s="38">
        <f t="shared" ref="AD12:AJ12" si="24">C24</f>
        <v>17.875299999999999</v>
      </c>
      <c r="AE12" s="38">
        <f t="shared" si="24"/>
        <v>17.875299999999999</v>
      </c>
      <c r="AF12" s="38">
        <f t="shared" si="24"/>
        <v>17.875299999999999</v>
      </c>
      <c r="AG12" s="38">
        <f t="shared" si="24"/>
        <v>17.875299999999999</v>
      </c>
      <c r="AH12" s="63">
        <f t="shared" si="24"/>
        <v>17.875299999999999</v>
      </c>
      <c r="AI12" s="38">
        <f t="shared" si="24"/>
        <v>17.875299999999999</v>
      </c>
      <c r="AJ12" s="39">
        <f t="shared" si="24"/>
        <v>17.875299999999999</v>
      </c>
      <c r="AK12" s="356" t="s">
        <v>262</v>
      </c>
      <c r="AL12" s="170">
        <f t="shared" ref="AL12:AS12" si="25">IF(MAX(AL28:AL30)&gt;AU8,MAX(AL7:AL9),AL10)</f>
        <v>3</v>
      </c>
      <c r="AM12" s="171">
        <f t="shared" si="25"/>
        <v>2</v>
      </c>
      <c r="AN12" s="171">
        <f t="shared" si="25"/>
        <v>1</v>
      </c>
      <c r="AO12" s="171">
        <f t="shared" si="25"/>
        <v>0</v>
      </c>
      <c r="AP12" s="171">
        <f t="shared" si="25"/>
        <v>0</v>
      </c>
      <c r="AQ12" s="171">
        <f t="shared" si="25"/>
        <v>0</v>
      </c>
      <c r="AR12" s="171">
        <f t="shared" si="25"/>
        <v>0</v>
      </c>
      <c r="AS12" s="172">
        <f t="shared" si="25"/>
        <v>0</v>
      </c>
      <c r="AT12" s="36" t="s">
        <v>90</v>
      </c>
      <c r="AU12" s="327">
        <f>'환기량 산정'!$C1488</f>
        <v>58.672159999999998</v>
      </c>
      <c r="AV12" s="328">
        <f>'환기량 산정'!$C1488</f>
        <v>58.672159999999998</v>
      </c>
      <c r="AW12" s="328">
        <f>'환기량 산정'!$C1488</f>
        <v>58.672159999999998</v>
      </c>
      <c r="AX12" s="328">
        <f>'환기량 산정'!$C1488</f>
        <v>58.672159999999998</v>
      </c>
      <c r="AY12" s="328">
        <f>'환기량 산정'!$C1488</f>
        <v>58.672159999999998</v>
      </c>
      <c r="AZ12" s="328">
        <f>'환기량 산정'!$C1488</f>
        <v>58.672159999999998</v>
      </c>
      <c r="BA12" s="328">
        <f>'환기량 산정'!$C1488</f>
        <v>58.672159999999998</v>
      </c>
      <c r="BB12" s="329">
        <f>'환기량 산정'!$C1488</f>
        <v>58.672159999999998</v>
      </c>
      <c r="BC12" s="36" t="s">
        <v>90</v>
      </c>
      <c r="BD12" s="327">
        <f>'환기량 산정'!$C1488</f>
        <v>58.672159999999998</v>
      </c>
      <c r="BE12" s="328">
        <f>'환기량 산정'!$C1488</f>
        <v>58.672159999999998</v>
      </c>
      <c r="BF12" s="328">
        <f>'환기량 산정'!$C1488</f>
        <v>58.672159999999998</v>
      </c>
      <c r="BG12" s="328">
        <f>'환기량 산정'!$C1488</f>
        <v>58.672159999999998</v>
      </c>
      <c r="BH12" s="328">
        <f>'환기량 산정'!$C1488</f>
        <v>58.672159999999998</v>
      </c>
      <c r="BI12" s="328">
        <f>'환기량 산정'!$C1488</f>
        <v>58.672159999999998</v>
      </c>
      <c r="BJ12" s="328">
        <f>'환기량 산정'!$C1488</f>
        <v>58.672159999999998</v>
      </c>
      <c r="BK12" s="329">
        <f>'환기량 산정'!$C1488</f>
        <v>58.672159999999998</v>
      </c>
    </row>
    <row r="13" spans="1:63">
      <c r="A13" s="36" t="s">
        <v>112</v>
      </c>
      <c r="B13" s="44">
        <f>'환기량 산정'!$C1494</f>
        <v>1000</v>
      </c>
      <c r="C13" s="38">
        <f>'환기량 산정'!$C1494</f>
        <v>1000</v>
      </c>
      <c r="D13" s="38">
        <f>'환기량 산정'!$C1494</f>
        <v>1000</v>
      </c>
      <c r="E13" s="38">
        <f>'환기량 산정'!$C1494</f>
        <v>1000</v>
      </c>
      <c r="F13" s="38">
        <f>'환기량 산정'!$C1494</f>
        <v>1000</v>
      </c>
      <c r="G13" s="38">
        <f>'환기량 산정'!$C1494</f>
        <v>1000</v>
      </c>
      <c r="H13" s="63">
        <f>'환기량 산정'!$C1494</f>
        <v>1000</v>
      </c>
      <c r="I13" s="39">
        <f>'환기량 산정'!$C1494</f>
        <v>1000</v>
      </c>
      <c r="J13" s="36" t="s">
        <v>112</v>
      </c>
      <c r="K13" s="62">
        <f>'환기량 산정'!$C1494</f>
        <v>1000</v>
      </c>
      <c r="L13" s="38">
        <f>'환기량 산정'!$C1494</f>
        <v>1000</v>
      </c>
      <c r="M13" s="38">
        <f>'환기량 산정'!$C1494</f>
        <v>1000</v>
      </c>
      <c r="N13" s="38">
        <f>'환기량 산정'!$C1494</f>
        <v>1000</v>
      </c>
      <c r="O13" s="38">
        <f>'환기량 산정'!$C1494</f>
        <v>1000</v>
      </c>
      <c r="P13" s="38">
        <f>'환기량 산정'!$C1494</f>
        <v>1000</v>
      </c>
      <c r="Q13" s="38">
        <f>'환기량 산정'!$C1494</f>
        <v>1000</v>
      </c>
      <c r="R13" s="39">
        <f>'환기량 산정'!$C1494</f>
        <v>1000</v>
      </c>
      <c r="S13" s="36" t="s">
        <v>112</v>
      </c>
      <c r="T13" s="44">
        <f>'환기량 산정'!$C1494</f>
        <v>1000</v>
      </c>
      <c r="U13" s="38">
        <f>'환기량 산정'!$C1494</f>
        <v>1000</v>
      </c>
      <c r="V13" s="38">
        <f>'환기량 산정'!$C1494</f>
        <v>1000</v>
      </c>
      <c r="W13" s="38">
        <f>'환기량 산정'!$C1494</f>
        <v>1000</v>
      </c>
      <c r="X13" s="38">
        <f>'환기량 산정'!$C1494</f>
        <v>1000</v>
      </c>
      <c r="Y13" s="38">
        <f>'환기량 산정'!$C1494</f>
        <v>1000</v>
      </c>
      <c r="Z13" s="38">
        <f>'환기량 산정'!$C1494</f>
        <v>1000</v>
      </c>
      <c r="AA13" s="39">
        <f>'환기량 산정'!$C1494</f>
        <v>1000</v>
      </c>
      <c r="AB13" s="3" t="s">
        <v>534</v>
      </c>
      <c r="AC13" s="37">
        <f>ROUND(0.86*B18,4)</f>
        <v>0.92459999999999998</v>
      </c>
      <c r="AD13" s="38">
        <f t="shared" ref="AD13:AJ13" si="26">ROUND(0.86*C18,4)</f>
        <v>0.92459999999999998</v>
      </c>
      <c r="AE13" s="38">
        <f t="shared" si="26"/>
        <v>0.92459999999999998</v>
      </c>
      <c r="AF13" s="38">
        <f t="shared" si="26"/>
        <v>0.92459999999999998</v>
      </c>
      <c r="AG13" s="38">
        <f t="shared" si="26"/>
        <v>0.92459999999999998</v>
      </c>
      <c r="AH13" s="63">
        <f t="shared" si="26"/>
        <v>0.92459999999999998</v>
      </c>
      <c r="AI13" s="38">
        <f t="shared" si="26"/>
        <v>0.92459999999999998</v>
      </c>
      <c r="AJ13" s="39">
        <f t="shared" si="26"/>
        <v>0.92459999999999998</v>
      </c>
      <c r="AK13" s="69" t="s">
        <v>123</v>
      </c>
      <c r="AL13" s="44">
        <f t="shared" ref="AL13:AS13" si="27">ROUND((1+B15+B16*B13/B17)*B14/2,4)</f>
        <v>2.86</v>
      </c>
      <c r="AM13" s="38">
        <f t="shared" si="27"/>
        <v>2.86</v>
      </c>
      <c r="AN13" s="38">
        <f t="shared" si="27"/>
        <v>2.86</v>
      </c>
      <c r="AO13" s="38">
        <f t="shared" si="27"/>
        <v>2.86</v>
      </c>
      <c r="AP13" s="38">
        <f t="shared" si="27"/>
        <v>2.86</v>
      </c>
      <c r="AQ13" s="38">
        <f t="shared" si="27"/>
        <v>2.86</v>
      </c>
      <c r="AR13" s="38">
        <f t="shared" si="27"/>
        <v>2.86</v>
      </c>
      <c r="AS13" s="39">
        <f t="shared" si="27"/>
        <v>2.86</v>
      </c>
      <c r="AT13" s="36" t="s">
        <v>112</v>
      </c>
      <c r="AU13" s="327">
        <f>'환기량 산정'!$C1494</f>
        <v>1000</v>
      </c>
      <c r="AV13" s="328">
        <f>'환기량 산정'!$C1494</f>
        <v>1000</v>
      </c>
      <c r="AW13" s="328">
        <f>'환기량 산정'!$C1494</f>
        <v>1000</v>
      </c>
      <c r="AX13" s="328">
        <f>'환기량 산정'!$C1494</f>
        <v>1000</v>
      </c>
      <c r="AY13" s="328">
        <f>'환기량 산정'!$C1494</f>
        <v>1000</v>
      </c>
      <c r="AZ13" s="328">
        <f>'환기량 산정'!$C1494</f>
        <v>1000</v>
      </c>
      <c r="BA13" s="328">
        <f>'환기량 산정'!$C1494</f>
        <v>1000</v>
      </c>
      <c r="BB13" s="329">
        <f>'환기량 산정'!$C1494</f>
        <v>1000</v>
      </c>
      <c r="BC13" s="36" t="s">
        <v>112</v>
      </c>
      <c r="BD13" s="327">
        <f>'환기량 산정'!$C1494</f>
        <v>1000</v>
      </c>
      <c r="BE13" s="328">
        <f>'환기량 산정'!$C1494</f>
        <v>1000</v>
      </c>
      <c r="BF13" s="328">
        <f>'환기량 산정'!$C1494</f>
        <v>1000</v>
      </c>
      <c r="BG13" s="328">
        <f>'환기량 산정'!$C1494</f>
        <v>1000</v>
      </c>
      <c r="BH13" s="328">
        <f>'환기량 산정'!$C1494</f>
        <v>1000</v>
      </c>
      <c r="BI13" s="328">
        <f>'환기량 산정'!$C1494</f>
        <v>1000</v>
      </c>
      <c r="BJ13" s="328">
        <f>'환기량 산정'!$C1494</f>
        <v>1000</v>
      </c>
      <c r="BK13" s="329">
        <f>'환기량 산정'!$C1494</f>
        <v>1000</v>
      </c>
    </row>
    <row r="14" spans="1:63" ht="15.75">
      <c r="A14" s="36" t="s">
        <v>113</v>
      </c>
      <c r="B14" s="44">
        <f>'환기량 산정'!$C1493</f>
        <v>1.2</v>
      </c>
      <c r="C14" s="38">
        <f>'환기량 산정'!$C1493</f>
        <v>1.2</v>
      </c>
      <c r="D14" s="38">
        <f>'환기량 산정'!$C1493</f>
        <v>1.2</v>
      </c>
      <c r="E14" s="38">
        <f>'환기량 산정'!$C1493</f>
        <v>1.2</v>
      </c>
      <c r="F14" s="38">
        <f>'환기량 산정'!$C1493</f>
        <v>1.2</v>
      </c>
      <c r="G14" s="38">
        <f>'환기량 산정'!$C1493</f>
        <v>1.2</v>
      </c>
      <c r="H14" s="63">
        <f>'환기량 산정'!$C1493</f>
        <v>1.2</v>
      </c>
      <c r="I14" s="39">
        <f>'환기량 산정'!$C1493</f>
        <v>1.2</v>
      </c>
      <c r="J14" s="36" t="s">
        <v>113</v>
      </c>
      <c r="K14" s="62">
        <f>'환기량 산정'!$C1493</f>
        <v>1.2</v>
      </c>
      <c r="L14" s="38">
        <f>'환기량 산정'!$C1493</f>
        <v>1.2</v>
      </c>
      <c r="M14" s="38">
        <f>'환기량 산정'!$C1493</f>
        <v>1.2</v>
      </c>
      <c r="N14" s="38">
        <f>'환기량 산정'!$C1493</f>
        <v>1.2</v>
      </c>
      <c r="O14" s="38">
        <f>'환기량 산정'!$C1493</f>
        <v>1.2</v>
      </c>
      <c r="P14" s="38">
        <f>'환기량 산정'!$C1493</f>
        <v>1.2</v>
      </c>
      <c r="Q14" s="38">
        <f>'환기량 산정'!$C1493</f>
        <v>1.2</v>
      </c>
      <c r="R14" s="39">
        <f>'환기량 산정'!$C1493</f>
        <v>1.2</v>
      </c>
      <c r="S14" s="36" t="s">
        <v>113</v>
      </c>
      <c r="T14" s="44">
        <f>'환기량 산정'!$C1493</f>
        <v>1.2</v>
      </c>
      <c r="U14" s="38">
        <f>'환기량 산정'!$C1493</f>
        <v>1.2</v>
      </c>
      <c r="V14" s="38">
        <f>'환기량 산정'!$C1493</f>
        <v>1.2</v>
      </c>
      <c r="W14" s="38">
        <f>'환기량 산정'!$C1493</f>
        <v>1.2</v>
      </c>
      <c r="X14" s="38">
        <f>'환기량 산정'!$C1493</f>
        <v>1.2</v>
      </c>
      <c r="Y14" s="38">
        <f>'환기량 산정'!$C1493</f>
        <v>1.2</v>
      </c>
      <c r="Z14" s="38">
        <f>'환기량 산정'!$C1493</f>
        <v>1.2</v>
      </c>
      <c r="AA14" s="39">
        <f>'환기량 산정'!$C1493</f>
        <v>1.2</v>
      </c>
      <c r="AB14" s="36" t="s">
        <v>159</v>
      </c>
      <c r="AC14" s="37">
        <f>ROUND(-AC13/B12*B14/2*AC9*AC7^2,4)</f>
        <v>-6.8929</v>
      </c>
      <c r="AD14" s="38">
        <f t="shared" ref="AD14:AJ14" si="28">ROUND(-AD13/C12*C14/2*AD9*AD7^2,4)</f>
        <v>-6.8929</v>
      </c>
      <c r="AE14" s="38">
        <f t="shared" si="28"/>
        <v>-6.8929</v>
      </c>
      <c r="AF14" s="38">
        <f t="shared" si="28"/>
        <v>-6.7013999999999996</v>
      </c>
      <c r="AG14" s="38">
        <f t="shared" si="28"/>
        <v>-6.5099</v>
      </c>
      <c r="AH14" s="63">
        <f t="shared" si="28"/>
        <v>-6.1749000000000001</v>
      </c>
      <c r="AI14" s="38">
        <f t="shared" si="28"/>
        <v>-5.8876999999999997</v>
      </c>
      <c r="AJ14" s="39">
        <f t="shared" si="28"/>
        <v>-5.8398000000000003</v>
      </c>
      <c r="AK14" s="69" t="s">
        <v>124</v>
      </c>
      <c r="AL14" s="188">
        <f>ROUND(-B14/2*B18/B12*B21,4)</f>
        <v>-1.1654</v>
      </c>
      <c r="AM14" s="38">
        <f t="shared" ref="AM14:AS14" si="29">IF(C7&gt;=C9,ROUND(C14/2*C18/C12*C21,4),IF(C7&lt;C9,ROUND(-C14/2*C18/C12*C21,4)))</f>
        <v>0.84660000000000002</v>
      </c>
      <c r="AN14" s="38">
        <f t="shared" si="29"/>
        <v>0.65969999999999995</v>
      </c>
      <c r="AO14" s="38">
        <f t="shared" si="29"/>
        <v>0.51670000000000005</v>
      </c>
      <c r="AP14" s="38">
        <f t="shared" si="29"/>
        <v>0.42880000000000001</v>
      </c>
      <c r="AQ14" s="38">
        <f t="shared" si="29"/>
        <v>0.3518</v>
      </c>
      <c r="AR14" s="38">
        <f t="shared" si="29"/>
        <v>0.30780000000000002</v>
      </c>
      <c r="AS14" s="39">
        <f t="shared" si="29"/>
        <v>0.27489999999999998</v>
      </c>
      <c r="AT14" s="36" t="s">
        <v>113</v>
      </c>
      <c r="AU14" s="327">
        <f>'환기량 산정'!$C1493</f>
        <v>1.2</v>
      </c>
      <c r="AV14" s="328">
        <f>'환기량 산정'!$C1493</f>
        <v>1.2</v>
      </c>
      <c r="AW14" s="328">
        <f>'환기량 산정'!$C1493</f>
        <v>1.2</v>
      </c>
      <c r="AX14" s="328">
        <f>'환기량 산정'!$C1493</f>
        <v>1.2</v>
      </c>
      <c r="AY14" s="328">
        <f>'환기량 산정'!$C1493</f>
        <v>1.2</v>
      </c>
      <c r="AZ14" s="328">
        <f>'환기량 산정'!$C1493</f>
        <v>1.2</v>
      </c>
      <c r="BA14" s="328">
        <f>'환기량 산정'!$C1493</f>
        <v>1.2</v>
      </c>
      <c r="BB14" s="329">
        <f>'환기량 산정'!$C1493</f>
        <v>1.2</v>
      </c>
      <c r="BC14" s="36" t="s">
        <v>113</v>
      </c>
      <c r="BD14" s="327">
        <f>'환기량 산정'!$C1493</f>
        <v>1.2</v>
      </c>
      <c r="BE14" s="328">
        <f>'환기량 산정'!$C1493</f>
        <v>1.2</v>
      </c>
      <c r="BF14" s="328">
        <f>'환기량 산정'!$C1493</f>
        <v>1.2</v>
      </c>
      <c r="BG14" s="328">
        <f>'환기량 산정'!$C1493</f>
        <v>1.2</v>
      </c>
      <c r="BH14" s="328">
        <f>'환기량 산정'!$C1493</f>
        <v>1.2</v>
      </c>
      <c r="BI14" s="328">
        <f>'환기량 산정'!$C1493</f>
        <v>1.2</v>
      </c>
      <c r="BJ14" s="328">
        <f>'환기량 산정'!$C1493</f>
        <v>1.2</v>
      </c>
      <c r="BK14" s="329">
        <f>'환기량 산정'!$C1493</f>
        <v>1.2</v>
      </c>
    </row>
    <row r="15" spans="1:63">
      <c r="A15" s="36" t="s">
        <v>114</v>
      </c>
      <c r="B15" s="44">
        <f>'환기량 산정'!$C1491</f>
        <v>0.6</v>
      </c>
      <c r="C15" s="38">
        <f>'환기량 산정'!$C1491</f>
        <v>0.6</v>
      </c>
      <c r="D15" s="38">
        <f>'환기량 산정'!$C1491</f>
        <v>0.6</v>
      </c>
      <c r="E15" s="38">
        <f>'환기량 산정'!$C1491</f>
        <v>0.6</v>
      </c>
      <c r="F15" s="38">
        <f>'환기량 산정'!$C1491</f>
        <v>0.6</v>
      </c>
      <c r="G15" s="38">
        <f>'환기량 산정'!$C1491</f>
        <v>0.6</v>
      </c>
      <c r="H15" s="63">
        <f>'환기량 산정'!$C1491</f>
        <v>0.6</v>
      </c>
      <c r="I15" s="39">
        <f>'환기량 산정'!$C1491</f>
        <v>0.6</v>
      </c>
      <c r="J15" s="36" t="s">
        <v>114</v>
      </c>
      <c r="K15" s="62">
        <f>'환기량 산정'!$C1491</f>
        <v>0.6</v>
      </c>
      <c r="L15" s="38">
        <f>'환기량 산정'!$C1491</f>
        <v>0.6</v>
      </c>
      <c r="M15" s="38">
        <f>'환기량 산정'!$C1491</f>
        <v>0.6</v>
      </c>
      <c r="N15" s="38">
        <f>'환기량 산정'!$C1491</f>
        <v>0.6</v>
      </c>
      <c r="O15" s="38">
        <f>'환기량 산정'!$C1491</f>
        <v>0.6</v>
      </c>
      <c r="P15" s="38">
        <f>'환기량 산정'!$C1491</f>
        <v>0.6</v>
      </c>
      <c r="Q15" s="38">
        <f>'환기량 산정'!$C1491</f>
        <v>0.6</v>
      </c>
      <c r="R15" s="39">
        <f>'환기량 산정'!$C1491</f>
        <v>0.6</v>
      </c>
      <c r="S15" s="36" t="s">
        <v>114</v>
      </c>
      <c r="T15" s="44">
        <f>'환기량 산정'!$C1491</f>
        <v>0.6</v>
      </c>
      <c r="U15" s="38">
        <f>'환기량 산정'!$C1491</f>
        <v>0.6</v>
      </c>
      <c r="V15" s="38">
        <f>'환기량 산정'!$C1491</f>
        <v>0.6</v>
      </c>
      <c r="W15" s="38">
        <f>'환기량 산정'!$C1491</f>
        <v>0.6</v>
      </c>
      <c r="X15" s="38">
        <f>'환기량 산정'!$C1491</f>
        <v>0.6</v>
      </c>
      <c r="Y15" s="38">
        <f>'환기량 산정'!$C1491</f>
        <v>0.6</v>
      </c>
      <c r="Z15" s="38">
        <f>'환기량 산정'!$C1491</f>
        <v>0.6</v>
      </c>
      <c r="AA15" s="39">
        <f>'환기량 산정'!$C1491</f>
        <v>0.6</v>
      </c>
      <c r="AB15" s="36" t="s">
        <v>157</v>
      </c>
      <c r="AC15" s="183">
        <f>AC11+AC12-AC14</f>
        <v>39.247199999999992</v>
      </c>
      <c r="AD15" s="45">
        <f t="shared" ref="AD15:AJ15" si="30">AD11+AD12-AD14</f>
        <v>39.247199999999992</v>
      </c>
      <c r="AE15" s="45">
        <f t="shared" si="30"/>
        <v>39.247199999999992</v>
      </c>
      <c r="AF15" s="45">
        <f t="shared" si="30"/>
        <v>39.055699999999995</v>
      </c>
      <c r="AG15" s="45">
        <f t="shared" si="30"/>
        <v>38.864199999999997</v>
      </c>
      <c r="AH15" s="138">
        <f t="shared" si="30"/>
        <v>38.529199999999996</v>
      </c>
      <c r="AI15" s="45">
        <f t="shared" si="30"/>
        <v>38.241999999999997</v>
      </c>
      <c r="AJ15" s="46">
        <f t="shared" si="30"/>
        <v>38.194099999999992</v>
      </c>
      <c r="AK15" s="69" t="s">
        <v>250</v>
      </c>
      <c r="AL15" s="44">
        <f t="shared" ref="AL15:AS15" si="31">ROUND(B14/2*B20*2*B19/B12*B28,4)</f>
        <v>0.48380000000000001</v>
      </c>
      <c r="AM15" s="38">
        <f t="shared" si="31"/>
        <v>0.48380000000000001</v>
      </c>
      <c r="AN15" s="38">
        <f t="shared" si="31"/>
        <v>0.48380000000000001</v>
      </c>
      <c r="AO15" s="38">
        <f t="shared" si="31"/>
        <v>0.48380000000000001</v>
      </c>
      <c r="AP15" s="38">
        <f t="shared" si="31"/>
        <v>0.48380000000000001</v>
      </c>
      <c r="AQ15" s="38">
        <f t="shared" si="31"/>
        <v>0.48380000000000001</v>
      </c>
      <c r="AR15" s="38">
        <f t="shared" si="31"/>
        <v>0.48380000000000001</v>
      </c>
      <c r="AS15" s="39">
        <f t="shared" si="31"/>
        <v>0.48380000000000001</v>
      </c>
      <c r="AT15" s="36" t="s">
        <v>114</v>
      </c>
      <c r="AU15" s="327">
        <f>'환기량 산정'!$C1491</f>
        <v>0.6</v>
      </c>
      <c r="AV15" s="328">
        <f>'환기량 산정'!$C1491</f>
        <v>0.6</v>
      </c>
      <c r="AW15" s="328">
        <f>'환기량 산정'!$C1491</f>
        <v>0.6</v>
      </c>
      <c r="AX15" s="328">
        <f>'환기량 산정'!$C1491</f>
        <v>0.6</v>
      </c>
      <c r="AY15" s="328">
        <f>'환기량 산정'!$C1491</f>
        <v>0.6</v>
      </c>
      <c r="AZ15" s="328">
        <f>'환기량 산정'!$C1491</f>
        <v>0.6</v>
      </c>
      <c r="BA15" s="328">
        <f>'환기량 산정'!$C1491</f>
        <v>0.6</v>
      </c>
      <c r="BB15" s="329">
        <f>'환기량 산정'!$C1491</f>
        <v>0.6</v>
      </c>
      <c r="BC15" s="36" t="s">
        <v>114</v>
      </c>
      <c r="BD15" s="327">
        <f>'환기량 산정'!$C1491</f>
        <v>0.6</v>
      </c>
      <c r="BE15" s="328">
        <f>'환기량 산정'!$C1491</f>
        <v>0.6</v>
      </c>
      <c r="BF15" s="328">
        <f>'환기량 산정'!$C1491</f>
        <v>0.6</v>
      </c>
      <c r="BG15" s="328">
        <f>'환기량 산정'!$C1491</f>
        <v>0.6</v>
      </c>
      <c r="BH15" s="328">
        <f>'환기량 산정'!$C1491</f>
        <v>0.6</v>
      </c>
      <c r="BI15" s="328">
        <f>'환기량 산정'!$C1491</f>
        <v>0.6</v>
      </c>
      <c r="BJ15" s="328">
        <f>'환기량 산정'!$C1491</f>
        <v>0.6</v>
      </c>
      <c r="BK15" s="329">
        <f>'환기량 산정'!$C1491</f>
        <v>0.6</v>
      </c>
    </row>
    <row r="16" spans="1:63" ht="15.75">
      <c r="A16" s="36" t="s">
        <v>115</v>
      </c>
      <c r="B16" s="44">
        <f>'환기량 산정'!$C1492</f>
        <v>2.5000000000000001E-2</v>
      </c>
      <c r="C16" s="38">
        <f>'환기량 산정'!$C1492</f>
        <v>2.5000000000000001E-2</v>
      </c>
      <c r="D16" s="38">
        <f>'환기량 산정'!$C1492</f>
        <v>2.5000000000000001E-2</v>
      </c>
      <c r="E16" s="38">
        <f>'환기량 산정'!$C1492</f>
        <v>2.5000000000000001E-2</v>
      </c>
      <c r="F16" s="38">
        <f>'환기량 산정'!$C1492</f>
        <v>2.5000000000000001E-2</v>
      </c>
      <c r="G16" s="38">
        <f>'환기량 산정'!$C1492</f>
        <v>2.5000000000000001E-2</v>
      </c>
      <c r="H16" s="63">
        <f>'환기량 산정'!$C1492</f>
        <v>2.5000000000000001E-2</v>
      </c>
      <c r="I16" s="39">
        <f>'환기량 산정'!$C1492</f>
        <v>2.5000000000000001E-2</v>
      </c>
      <c r="J16" s="36" t="s">
        <v>115</v>
      </c>
      <c r="K16" s="62">
        <f>'환기량 산정'!$C1492</f>
        <v>2.5000000000000001E-2</v>
      </c>
      <c r="L16" s="38">
        <f>'환기량 산정'!$C1492</f>
        <v>2.5000000000000001E-2</v>
      </c>
      <c r="M16" s="38">
        <f>'환기량 산정'!$C1492</f>
        <v>2.5000000000000001E-2</v>
      </c>
      <c r="N16" s="38">
        <f>'환기량 산정'!$C1492</f>
        <v>2.5000000000000001E-2</v>
      </c>
      <c r="O16" s="38">
        <f>'환기량 산정'!$C1492</f>
        <v>2.5000000000000001E-2</v>
      </c>
      <c r="P16" s="38">
        <f>'환기량 산정'!$C1492</f>
        <v>2.5000000000000001E-2</v>
      </c>
      <c r="Q16" s="38">
        <f>'환기량 산정'!$C1492</f>
        <v>2.5000000000000001E-2</v>
      </c>
      <c r="R16" s="39">
        <f>'환기량 산정'!$C1492</f>
        <v>2.5000000000000001E-2</v>
      </c>
      <c r="S16" s="36" t="s">
        <v>115</v>
      </c>
      <c r="T16" s="44">
        <f>'환기량 산정'!$C1492</f>
        <v>2.5000000000000001E-2</v>
      </c>
      <c r="U16" s="38">
        <f>'환기량 산정'!$C1492</f>
        <v>2.5000000000000001E-2</v>
      </c>
      <c r="V16" s="38">
        <f>'환기량 산정'!$C1492</f>
        <v>2.5000000000000001E-2</v>
      </c>
      <c r="W16" s="38">
        <f>'환기량 산정'!$C1492</f>
        <v>2.5000000000000001E-2</v>
      </c>
      <c r="X16" s="38">
        <f>'환기량 산정'!$C1492</f>
        <v>2.5000000000000001E-2</v>
      </c>
      <c r="Y16" s="38">
        <f>'환기량 산정'!$C1492</f>
        <v>2.5000000000000001E-2</v>
      </c>
      <c r="Z16" s="38">
        <f>'환기량 산정'!$C1492</f>
        <v>2.5000000000000001E-2</v>
      </c>
      <c r="AA16" s="39">
        <f>'환기량 산정'!$C1492</f>
        <v>2.5000000000000001E-2</v>
      </c>
      <c r="AB16" s="36" t="s">
        <v>342</v>
      </c>
      <c r="AC16" s="44">
        <f t="shared" ref="AC16" si="32">ROUND(B22*B14*B20^2*B19/B12*(1-AC7/B20)*B28,4)</f>
        <v>13.291399999999999</v>
      </c>
      <c r="AD16" s="38">
        <f t="shared" ref="AD16:AJ16" si="33">ROUND($B$22*C14*C20^2*C19/C12*(1-AD7/C20)*C28,4)</f>
        <v>13.291399999999999</v>
      </c>
      <c r="AE16" s="38">
        <f t="shared" si="33"/>
        <v>13.291399999999999</v>
      </c>
      <c r="AF16" s="38">
        <f t="shared" si="33"/>
        <v>13.291399999999999</v>
      </c>
      <c r="AG16" s="38">
        <f t="shared" si="33"/>
        <v>13.291399999999999</v>
      </c>
      <c r="AH16" s="38">
        <f t="shared" si="33"/>
        <v>13.291399999999999</v>
      </c>
      <c r="AI16" s="38">
        <f t="shared" si="33"/>
        <v>13.291399999999999</v>
      </c>
      <c r="AJ16" s="38">
        <f t="shared" si="33"/>
        <v>13.291399999999999</v>
      </c>
      <c r="AK16" s="165" t="s">
        <v>152</v>
      </c>
      <c r="AL16" s="170">
        <f>IF(AL17&gt;0,ROUND((-AL19+SQRT(AL19^2-4*AL18*AL20))/(2*AL18),4))</f>
        <v>2.7526999999999999</v>
      </c>
      <c r="AM16" s="171">
        <f t="shared" ref="AM16:AS16" si="34">IF(AM17&gt;0,ROUND((-AM19+SQRT(AM19^2-4*AM18*AM20))/(2*AM18),4))</f>
        <v>2.4403000000000001</v>
      </c>
      <c r="AN16" s="171">
        <f t="shared" si="34"/>
        <v>2.4990000000000001</v>
      </c>
      <c r="AO16" s="171">
        <f t="shared" si="34"/>
        <v>2.6089000000000002</v>
      </c>
      <c r="AP16" s="171">
        <f t="shared" si="34"/>
        <v>3.2665999999999999</v>
      </c>
      <c r="AQ16" s="171">
        <f t="shared" si="34"/>
        <v>3.7706</v>
      </c>
      <c r="AR16" s="171">
        <f t="shared" si="34"/>
        <v>4.2939999999999996</v>
      </c>
      <c r="AS16" s="172">
        <f t="shared" si="34"/>
        <v>4.7906000000000004</v>
      </c>
      <c r="AT16" s="36" t="s">
        <v>115</v>
      </c>
      <c r="AU16" s="327">
        <f>'환기량 산정'!$C1492</f>
        <v>2.5000000000000001E-2</v>
      </c>
      <c r="AV16" s="328">
        <f>'환기량 산정'!$C1492</f>
        <v>2.5000000000000001E-2</v>
      </c>
      <c r="AW16" s="328">
        <f>'환기량 산정'!$C1492</f>
        <v>2.5000000000000001E-2</v>
      </c>
      <c r="AX16" s="328">
        <f>'환기량 산정'!$C1492</f>
        <v>2.5000000000000001E-2</v>
      </c>
      <c r="AY16" s="328">
        <f>'환기량 산정'!$C1492</f>
        <v>2.5000000000000001E-2</v>
      </c>
      <c r="AZ16" s="328">
        <f>'환기량 산정'!$C1492</f>
        <v>2.5000000000000001E-2</v>
      </c>
      <c r="BA16" s="328">
        <f>'환기량 산정'!$C1492</f>
        <v>2.5000000000000001E-2</v>
      </c>
      <c r="BB16" s="329">
        <f>'환기량 산정'!$C1492</f>
        <v>2.5000000000000001E-2</v>
      </c>
      <c r="BC16" s="36" t="s">
        <v>115</v>
      </c>
      <c r="BD16" s="327">
        <f>'환기량 산정'!$C1492</f>
        <v>2.5000000000000001E-2</v>
      </c>
      <c r="BE16" s="328">
        <f>'환기량 산정'!$C1492</f>
        <v>2.5000000000000001E-2</v>
      </c>
      <c r="BF16" s="328">
        <f>'환기량 산정'!$C1492</f>
        <v>2.5000000000000001E-2</v>
      </c>
      <c r="BG16" s="328">
        <f>'환기량 산정'!$C1492</f>
        <v>2.5000000000000001E-2</v>
      </c>
      <c r="BH16" s="328">
        <f>'환기량 산정'!$C1492</f>
        <v>2.5000000000000001E-2</v>
      </c>
      <c r="BI16" s="328">
        <f>'환기량 산정'!$C1492</f>
        <v>2.5000000000000001E-2</v>
      </c>
      <c r="BJ16" s="328">
        <f>'환기량 산정'!$C1492</f>
        <v>2.5000000000000001E-2</v>
      </c>
      <c r="BK16" s="329">
        <f>'환기량 산정'!$C1492</f>
        <v>2.5000000000000001E-2</v>
      </c>
    </row>
    <row r="17" spans="1:63" ht="15.75">
      <c r="A17" s="36" t="s">
        <v>91</v>
      </c>
      <c r="B17" s="44">
        <f>'환기량 산정'!$C1489</f>
        <v>7.8945309999999997</v>
      </c>
      <c r="C17" s="38">
        <f>'환기량 산정'!$C1489</f>
        <v>7.8945309999999997</v>
      </c>
      <c r="D17" s="38">
        <f>'환기량 산정'!$C1489</f>
        <v>7.8945309999999997</v>
      </c>
      <c r="E17" s="38">
        <f>'환기량 산정'!$C1489</f>
        <v>7.8945309999999997</v>
      </c>
      <c r="F17" s="38">
        <f>'환기량 산정'!$C1489</f>
        <v>7.8945309999999997</v>
      </c>
      <c r="G17" s="38">
        <f>'환기량 산정'!$C1489</f>
        <v>7.8945309999999997</v>
      </c>
      <c r="H17" s="63">
        <f>'환기량 산정'!$C1489</f>
        <v>7.8945309999999997</v>
      </c>
      <c r="I17" s="39">
        <f>'환기량 산정'!$C1489</f>
        <v>7.8945309999999997</v>
      </c>
      <c r="J17" s="36" t="s">
        <v>91</v>
      </c>
      <c r="K17" s="62">
        <f>'환기량 산정'!$C1489</f>
        <v>7.8945309999999997</v>
      </c>
      <c r="L17" s="38">
        <f>'환기량 산정'!$C1489</f>
        <v>7.8945309999999997</v>
      </c>
      <c r="M17" s="38">
        <f>'환기량 산정'!$C1489</f>
        <v>7.8945309999999997</v>
      </c>
      <c r="N17" s="38">
        <f>'환기량 산정'!$C1489</f>
        <v>7.8945309999999997</v>
      </c>
      <c r="O17" s="38">
        <f>'환기량 산정'!$C1489</f>
        <v>7.8945309999999997</v>
      </c>
      <c r="P17" s="38">
        <f>'환기량 산정'!$C1489</f>
        <v>7.8945309999999997</v>
      </c>
      <c r="Q17" s="38">
        <f>'환기량 산정'!$C1489</f>
        <v>7.8945309999999997</v>
      </c>
      <c r="R17" s="39">
        <f>'환기량 산정'!$C1489</f>
        <v>7.8945309999999997</v>
      </c>
      <c r="S17" s="36" t="s">
        <v>91</v>
      </c>
      <c r="T17" s="44">
        <f>'환기량 산정'!$C1489</f>
        <v>7.8945309999999997</v>
      </c>
      <c r="U17" s="38">
        <f>'환기량 산정'!$C1489</f>
        <v>7.8945309999999997</v>
      </c>
      <c r="V17" s="38">
        <f>'환기량 산정'!$C1489</f>
        <v>7.8945309999999997</v>
      </c>
      <c r="W17" s="38">
        <f>'환기량 산정'!$C1489</f>
        <v>7.8945309999999997</v>
      </c>
      <c r="X17" s="38">
        <f>'환기량 산정'!$C1489</f>
        <v>7.8945309999999997</v>
      </c>
      <c r="Y17" s="38">
        <f>'환기량 산정'!$C1489</f>
        <v>7.8945309999999997</v>
      </c>
      <c r="Z17" s="38">
        <f>'환기량 산정'!$C1489</f>
        <v>7.8945309999999997</v>
      </c>
      <c r="AA17" s="39">
        <f>'환기량 산정'!$C1489</f>
        <v>7.8945309999999997</v>
      </c>
      <c r="AB17" s="36" t="s">
        <v>172</v>
      </c>
      <c r="AC17" s="44">
        <f t="shared" ref="AC17:AJ17" si="35">ROUND(AC15/AC16,2)</f>
        <v>2.95</v>
      </c>
      <c r="AD17" s="38">
        <f t="shared" si="35"/>
        <v>2.95</v>
      </c>
      <c r="AE17" s="38">
        <f t="shared" si="35"/>
        <v>2.95</v>
      </c>
      <c r="AF17" s="38">
        <f t="shared" si="35"/>
        <v>2.94</v>
      </c>
      <c r="AG17" s="38">
        <f t="shared" si="35"/>
        <v>2.92</v>
      </c>
      <c r="AH17" s="63">
        <f t="shared" si="35"/>
        <v>2.9</v>
      </c>
      <c r="AI17" s="38">
        <f t="shared" si="35"/>
        <v>2.88</v>
      </c>
      <c r="AJ17" s="39">
        <f t="shared" si="35"/>
        <v>2.87</v>
      </c>
      <c r="AK17" s="166" t="s">
        <v>153</v>
      </c>
      <c r="AL17" s="44">
        <f>ROUND(AL19^2-4*AL18*AL20,4)</f>
        <v>293.5403</v>
      </c>
      <c r="AM17" s="38">
        <f t="shared" ref="AM17:AS17" si="36">ROUND(AM19^2-4*AM18*AM20,4)</f>
        <v>408.3784</v>
      </c>
      <c r="AN17" s="38">
        <f t="shared" si="36"/>
        <v>504.96390000000002</v>
      </c>
      <c r="AO17" s="38">
        <f t="shared" si="36"/>
        <v>562.06799999999998</v>
      </c>
      <c r="AP17" s="38">
        <f t="shared" si="36"/>
        <v>772.59320000000002</v>
      </c>
      <c r="AQ17" s="38">
        <f t="shared" si="36"/>
        <v>939.05269999999996</v>
      </c>
      <c r="AR17" s="38">
        <f t="shared" si="36"/>
        <v>1148.24</v>
      </c>
      <c r="AS17" s="39">
        <f t="shared" si="36"/>
        <v>1367.8707999999999</v>
      </c>
      <c r="AT17" s="36" t="s">
        <v>91</v>
      </c>
      <c r="AU17" s="327">
        <f>'환기량 산정'!$C1489</f>
        <v>7.8945309999999997</v>
      </c>
      <c r="AV17" s="328">
        <f>'환기량 산정'!$C1489</f>
        <v>7.8945309999999997</v>
      </c>
      <c r="AW17" s="328">
        <f>'환기량 산정'!$C1489</f>
        <v>7.8945309999999997</v>
      </c>
      <c r="AX17" s="328">
        <f>'환기량 산정'!$C1489</f>
        <v>7.8945309999999997</v>
      </c>
      <c r="AY17" s="328">
        <f>'환기량 산정'!$C1489</f>
        <v>7.8945309999999997</v>
      </c>
      <c r="AZ17" s="328">
        <f>'환기량 산정'!$C1489</f>
        <v>7.8945309999999997</v>
      </c>
      <c r="BA17" s="328">
        <f>'환기량 산정'!$C1489</f>
        <v>7.8945309999999997</v>
      </c>
      <c r="BB17" s="329">
        <f>'환기량 산정'!$C1489</f>
        <v>7.8945309999999997</v>
      </c>
      <c r="BC17" s="36" t="s">
        <v>91</v>
      </c>
      <c r="BD17" s="327">
        <f>'환기량 산정'!$C1489</f>
        <v>7.8945309999999997</v>
      </c>
      <c r="BE17" s="328">
        <f>'환기량 산정'!$C1489</f>
        <v>7.8945309999999997</v>
      </c>
      <c r="BF17" s="328">
        <f>'환기량 산정'!$C1489</f>
        <v>7.8945309999999997</v>
      </c>
      <c r="BG17" s="328">
        <f>'환기량 산정'!$C1489</f>
        <v>7.8945309999999997</v>
      </c>
      <c r="BH17" s="328">
        <f>'환기량 산정'!$C1489</f>
        <v>7.8945309999999997</v>
      </c>
      <c r="BI17" s="328">
        <f>'환기량 산정'!$C1489</f>
        <v>7.8945309999999997</v>
      </c>
      <c r="BJ17" s="328">
        <f>'환기량 산정'!$C1489</f>
        <v>7.8945309999999997</v>
      </c>
      <c r="BK17" s="329">
        <f>'환기량 산정'!$C1489</f>
        <v>7.8945309999999997</v>
      </c>
    </row>
    <row r="18" spans="1:63" ht="14.25" thickBot="1">
      <c r="A18" s="36" t="s">
        <v>116</v>
      </c>
      <c r="B18" s="44">
        <f>'환기량 산정'!$C$1486</f>
        <v>1.0750999999999999</v>
      </c>
      <c r="C18" s="38">
        <f>'환기량 산정'!$C$1486</f>
        <v>1.0750999999999999</v>
      </c>
      <c r="D18" s="38">
        <f>'환기량 산정'!$C$1486</f>
        <v>1.0750999999999999</v>
      </c>
      <c r="E18" s="38">
        <f>'환기량 산정'!$C$1486</f>
        <v>1.0750999999999999</v>
      </c>
      <c r="F18" s="38">
        <f>'환기량 산정'!$C$1486</f>
        <v>1.0750999999999999</v>
      </c>
      <c r="G18" s="38">
        <f>'환기량 산정'!$C$1486</f>
        <v>1.0750999999999999</v>
      </c>
      <c r="H18" s="63">
        <f>'환기량 산정'!$C$1486</f>
        <v>1.0750999999999999</v>
      </c>
      <c r="I18" s="39">
        <f>'환기량 산정'!$C$1486</f>
        <v>1.0750999999999999</v>
      </c>
      <c r="J18" s="36" t="s">
        <v>116</v>
      </c>
      <c r="K18" s="62">
        <f>'환기량 산정'!$C$1486</f>
        <v>1.0750999999999999</v>
      </c>
      <c r="L18" s="38">
        <f>'환기량 산정'!$C$1486</f>
        <v>1.0750999999999999</v>
      </c>
      <c r="M18" s="38">
        <f>'환기량 산정'!$C$1486</f>
        <v>1.0750999999999999</v>
      </c>
      <c r="N18" s="38">
        <f>'환기량 산정'!$C$1486</f>
        <v>1.0750999999999999</v>
      </c>
      <c r="O18" s="38">
        <f>'환기량 산정'!$C$1486</f>
        <v>1.0750999999999999</v>
      </c>
      <c r="P18" s="38">
        <f>'환기량 산정'!$C$1486</f>
        <v>1.0750999999999999</v>
      </c>
      <c r="Q18" s="38">
        <f>'환기량 산정'!$C$1486</f>
        <v>1.0750999999999999</v>
      </c>
      <c r="R18" s="39">
        <f>'환기량 산정'!$C$1486</f>
        <v>1.0750999999999999</v>
      </c>
      <c r="S18" s="36" t="s">
        <v>116</v>
      </c>
      <c r="T18" s="44">
        <f>'환기량 산정'!$C$1486</f>
        <v>1.0750999999999999</v>
      </c>
      <c r="U18" s="38">
        <f>'환기량 산정'!$C$1486</f>
        <v>1.0750999999999999</v>
      </c>
      <c r="V18" s="38">
        <f>'환기량 산정'!$C$1486</f>
        <v>1.0750999999999999</v>
      </c>
      <c r="W18" s="38">
        <f>'환기량 산정'!$C$1486</f>
        <v>1.0750999999999999</v>
      </c>
      <c r="X18" s="38">
        <f>'환기량 산정'!$C$1486</f>
        <v>1.0750999999999999</v>
      </c>
      <c r="Y18" s="38">
        <f>'환기량 산정'!$C$1486</f>
        <v>1.0750999999999999</v>
      </c>
      <c r="Z18" s="38">
        <f>'환기량 산정'!$C$1486</f>
        <v>1.0750999999999999</v>
      </c>
      <c r="AA18" s="39">
        <f>'환기량 산정'!$C$1486</f>
        <v>1.0750999999999999</v>
      </c>
      <c r="AB18" s="49" t="s">
        <v>173</v>
      </c>
      <c r="AC18" s="50">
        <f t="shared" ref="AC18:AJ18" si="37">IF(AC17&lt;0,0,IF(AC17&gt;0,ROUNDUP(AC17,0)))</f>
        <v>3</v>
      </c>
      <c r="AD18" s="51">
        <f t="shared" si="37"/>
        <v>3</v>
      </c>
      <c r="AE18" s="51">
        <f t="shared" si="37"/>
        <v>3</v>
      </c>
      <c r="AF18" s="51">
        <f t="shared" si="37"/>
        <v>3</v>
      </c>
      <c r="AG18" s="51">
        <f t="shared" si="37"/>
        <v>3</v>
      </c>
      <c r="AH18" s="51">
        <f t="shared" si="37"/>
        <v>3</v>
      </c>
      <c r="AI18" s="51">
        <f t="shared" si="37"/>
        <v>3</v>
      </c>
      <c r="AJ18" s="52">
        <f t="shared" si="37"/>
        <v>3</v>
      </c>
      <c r="AK18" s="166" t="s">
        <v>125</v>
      </c>
      <c r="AL18" s="44">
        <f>ROUND(AL13-AL14,4)</f>
        <v>4.0254000000000003</v>
      </c>
      <c r="AM18" s="38">
        <f t="shared" ref="AM18:AS18" si="38">ROUND(AM13-AM14,4)</f>
        <v>2.0133999999999999</v>
      </c>
      <c r="AN18" s="38">
        <f t="shared" si="38"/>
        <v>2.2002999999999999</v>
      </c>
      <c r="AO18" s="38">
        <f t="shared" si="38"/>
        <v>2.3433000000000002</v>
      </c>
      <c r="AP18" s="38">
        <f t="shared" si="38"/>
        <v>2.4312</v>
      </c>
      <c r="AQ18" s="38">
        <f t="shared" si="38"/>
        <v>2.5082</v>
      </c>
      <c r="AR18" s="38">
        <f t="shared" si="38"/>
        <v>2.5522</v>
      </c>
      <c r="AS18" s="39">
        <f t="shared" si="38"/>
        <v>2.5851000000000002</v>
      </c>
      <c r="AT18" s="36" t="s">
        <v>116</v>
      </c>
      <c r="AU18" s="327">
        <f>'환기량 산정'!$C$1486</f>
        <v>1.0750999999999999</v>
      </c>
      <c r="AV18" s="328">
        <f>'환기량 산정'!$C$1486</f>
        <v>1.0750999999999999</v>
      </c>
      <c r="AW18" s="328">
        <f>'환기량 산정'!$C$1486</f>
        <v>1.0750999999999999</v>
      </c>
      <c r="AX18" s="328">
        <f>'환기량 산정'!$C$1486</f>
        <v>1.0750999999999999</v>
      </c>
      <c r="AY18" s="328">
        <f>'환기량 산정'!$C$1486</f>
        <v>1.0750999999999999</v>
      </c>
      <c r="AZ18" s="328">
        <f>'환기량 산정'!$C$1486</f>
        <v>1.0750999999999999</v>
      </c>
      <c r="BA18" s="328">
        <f>'환기량 산정'!$C$1486</f>
        <v>1.0750999999999999</v>
      </c>
      <c r="BB18" s="329">
        <f>'환기량 산정'!$C$1486</f>
        <v>1.0750999999999999</v>
      </c>
      <c r="BC18" s="36" t="s">
        <v>116</v>
      </c>
      <c r="BD18" s="327">
        <f>'환기량 산정'!$C$1486</f>
        <v>1.0750999999999999</v>
      </c>
      <c r="BE18" s="328">
        <f>'환기량 산정'!$C$1486</f>
        <v>1.0750999999999999</v>
      </c>
      <c r="BF18" s="328">
        <f>'환기량 산정'!$C$1486</f>
        <v>1.0750999999999999</v>
      </c>
      <c r="BG18" s="328">
        <f>'환기량 산정'!$C$1486</f>
        <v>1.0750999999999999</v>
      </c>
      <c r="BH18" s="328">
        <f>'환기량 산정'!$C$1486</f>
        <v>1.0750999999999999</v>
      </c>
      <c r="BI18" s="328">
        <f>'환기량 산정'!$C$1486</f>
        <v>1.0750999999999999</v>
      </c>
      <c r="BJ18" s="328">
        <f>'환기량 산정'!$C$1486</f>
        <v>1.0750999999999999</v>
      </c>
      <c r="BK18" s="329">
        <f>'환기량 산정'!$C$1486</f>
        <v>1.0750999999999999</v>
      </c>
    </row>
    <row r="19" spans="1:63" ht="14.25" thickBot="1">
      <c r="A19" s="36" t="s">
        <v>117</v>
      </c>
      <c r="B19" s="44">
        <f t="shared" ref="B19:I19" si="39">IF($C$3=630,0.27,IF($C$3=710,0.396,IF($C$3=1030,0.83,IF($C$3=1250,1.227,IF($C$3=1530,1.83)))))</f>
        <v>0.83</v>
      </c>
      <c r="C19" s="38">
        <f t="shared" si="39"/>
        <v>0.83</v>
      </c>
      <c r="D19" s="38">
        <f t="shared" si="39"/>
        <v>0.83</v>
      </c>
      <c r="E19" s="38">
        <f t="shared" si="39"/>
        <v>0.83</v>
      </c>
      <c r="F19" s="38">
        <f t="shared" si="39"/>
        <v>0.83</v>
      </c>
      <c r="G19" s="38">
        <f t="shared" si="39"/>
        <v>0.83</v>
      </c>
      <c r="H19" s="63">
        <f t="shared" si="39"/>
        <v>0.83</v>
      </c>
      <c r="I19" s="39">
        <f t="shared" si="39"/>
        <v>0.83</v>
      </c>
      <c r="J19" s="36" t="s">
        <v>117</v>
      </c>
      <c r="K19" s="62">
        <f t="shared" ref="K19:R19" si="40">IF($C$3=630,0.27,IF($C$3=710,0.396,IF($C$3=1030,0.83,IF($C$3=1250,1.227,IF($C$3=1530,1.83)))))</f>
        <v>0.83</v>
      </c>
      <c r="L19" s="38">
        <f t="shared" si="40"/>
        <v>0.83</v>
      </c>
      <c r="M19" s="38">
        <f t="shared" si="40"/>
        <v>0.83</v>
      </c>
      <c r="N19" s="38">
        <f t="shared" si="40"/>
        <v>0.83</v>
      </c>
      <c r="O19" s="38">
        <f t="shared" si="40"/>
        <v>0.83</v>
      </c>
      <c r="P19" s="38">
        <f t="shared" si="40"/>
        <v>0.83</v>
      </c>
      <c r="Q19" s="38">
        <f t="shared" si="40"/>
        <v>0.83</v>
      </c>
      <c r="R19" s="39">
        <f t="shared" si="40"/>
        <v>0.83</v>
      </c>
      <c r="S19" s="36" t="s">
        <v>117</v>
      </c>
      <c r="T19" s="44">
        <f t="shared" ref="T19:AA19" si="41">IF($C$3=630,0.27,IF($C$3=710,0.396,IF($C$3=1030,0.83,IF($C$3=1250,1.227,IF($C$3=1530,1.83)))))</f>
        <v>0.83</v>
      </c>
      <c r="U19" s="38">
        <f t="shared" si="41"/>
        <v>0.83</v>
      </c>
      <c r="V19" s="38">
        <f t="shared" si="41"/>
        <v>0.83</v>
      </c>
      <c r="W19" s="38">
        <f t="shared" si="41"/>
        <v>0.83</v>
      </c>
      <c r="X19" s="38">
        <f t="shared" si="41"/>
        <v>0.83</v>
      </c>
      <c r="Y19" s="38">
        <f t="shared" si="41"/>
        <v>0.83</v>
      </c>
      <c r="Z19" s="38">
        <f t="shared" si="41"/>
        <v>0.83</v>
      </c>
      <c r="AA19" s="39">
        <f t="shared" si="41"/>
        <v>0.83</v>
      </c>
      <c r="AB19" s="143" t="str">
        <f>CONCATENATE("예비용 ",AC21," 포함")</f>
        <v>예비용 2 포함</v>
      </c>
      <c r="AC19" s="132">
        <f t="shared" ref="AC19:AJ19" si="42">AC18+$AC$21</f>
        <v>5</v>
      </c>
      <c r="AD19" s="133">
        <f t="shared" si="42"/>
        <v>5</v>
      </c>
      <c r="AE19" s="133">
        <f t="shared" si="42"/>
        <v>5</v>
      </c>
      <c r="AF19" s="133">
        <f t="shared" si="42"/>
        <v>5</v>
      </c>
      <c r="AG19" s="133">
        <f t="shared" si="42"/>
        <v>5</v>
      </c>
      <c r="AH19" s="133">
        <f t="shared" si="42"/>
        <v>5</v>
      </c>
      <c r="AI19" s="133">
        <f t="shared" si="42"/>
        <v>5</v>
      </c>
      <c r="AJ19" s="134">
        <f t="shared" si="42"/>
        <v>5</v>
      </c>
      <c r="AK19" s="166" t="s">
        <v>251</v>
      </c>
      <c r="AL19" s="44">
        <f t="shared" ref="AL19:AS19" si="43">ROUND(2*AL14*B7+AL15*AL12,4)</f>
        <v>-5.0282</v>
      </c>
      <c r="AM19" s="38">
        <f t="shared" si="43"/>
        <v>10.3818</v>
      </c>
      <c r="AN19" s="38">
        <f t="shared" si="43"/>
        <v>11.474399999999999</v>
      </c>
      <c r="AO19" s="38">
        <f t="shared" si="43"/>
        <v>11.4811</v>
      </c>
      <c r="AP19" s="38">
        <f t="shared" si="43"/>
        <v>11.912100000000001</v>
      </c>
      <c r="AQ19" s="38">
        <f t="shared" si="43"/>
        <v>11.728999999999999</v>
      </c>
      <c r="AR19" s="38">
        <f t="shared" si="43"/>
        <v>11.9673</v>
      </c>
      <c r="AS19" s="39">
        <f t="shared" si="43"/>
        <v>12.2166</v>
      </c>
      <c r="AT19" s="36" t="s">
        <v>117</v>
      </c>
      <c r="AU19" s="327">
        <f t="shared" ref="AU19:BK19" si="44">IF($C$3=630,0.27,IF($C$3=710,0.396,IF($C$3=1030,0.83,IF($C$3=1250,1.227,IF($C$3=1530,1.83)))))</f>
        <v>0.83</v>
      </c>
      <c r="AV19" s="328">
        <f t="shared" si="44"/>
        <v>0.83</v>
      </c>
      <c r="AW19" s="328">
        <f t="shared" si="44"/>
        <v>0.83</v>
      </c>
      <c r="AX19" s="328">
        <f t="shared" si="44"/>
        <v>0.83</v>
      </c>
      <c r="AY19" s="328">
        <f t="shared" si="44"/>
        <v>0.83</v>
      </c>
      <c r="AZ19" s="328">
        <f t="shared" si="44"/>
        <v>0.83</v>
      </c>
      <c r="BA19" s="328">
        <f t="shared" si="44"/>
        <v>0.83</v>
      </c>
      <c r="BB19" s="329">
        <f t="shared" si="44"/>
        <v>0.83</v>
      </c>
      <c r="BC19" s="36" t="s">
        <v>117</v>
      </c>
      <c r="BD19" s="327">
        <f t="shared" si="44"/>
        <v>0.83</v>
      </c>
      <c r="BE19" s="328">
        <f t="shared" si="44"/>
        <v>0.83</v>
      </c>
      <c r="BF19" s="328">
        <f t="shared" si="44"/>
        <v>0.83</v>
      </c>
      <c r="BG19" s="328">
        <f t="shared" si="44"/>
        <v>0.83</v>
      </c>
      <c r="BH19" s="328">
        <f t="shared" si="44"/>
        <v>0.83</v>
      </c>
      <c r="BI19" s="328">
        <f t="shared" si="44"/>
        <v>0.83</v>
      </c>
      <c r="BJ19" s="328">
        <f t="shared" si="44"/>
        <v>0.83</v>
      </c>
      <c r="BK19" s="329">
        <f t="shared" si="44"/>
        <v>0.83</v>
      </c>
    </row>
    <row r="20" spans="1:63" ht="15.75">
      <c r="A20" s="36" t="s">
        <v>118</v>
      </c>
      <c r="B20" s="62">
        <f>IF($I$3=1,30,34)</f>
        <v>30</v>
      </c>
      <c r="C20" s="38">
        <f t="shared" ref="C20:I20" si="45">B20</f>
        <v>30</v>
      </c>
      <c r="D20" s="38">
        <f t="shared" si="45"/>
        <v>30</v>
      </c>
      <c r="E20" s="38">
        <f t="shared" si="45"/>
        <v>30</v>
      </c>
      <c r="F20" s="38">
        <f t="shared" si="45"/>
        <v>30</v>
      </c>
      <c r="G20" s="38">
        <f t="shared" si="45"/>
        <v>30</v>
      </c>
      <c r="H20" s="63">
        <f t="shared" si="45"/>
        <v>30</v>
      </c>
      <c r="I20" s="39">
        <f t="shared" si="45"/>
        <v>30</v>
      </c>
      <c r="J20" s="36" t="s">
        <v>118</v>
      </c>
      <c r="K20" s="62">
        <f>B20</f>
        <v>30</v>
      </c>
      <c r="L20" s="38">
        <f t="shared" ref="L20:R20" si="46">K20</f>
        <v>30</v>
      </c>
      <c r="M20" s="38">
        <f t="shared" si="46"/>
        <v>30</v>
      </c>
      <c r="N20" s="38">
        <f t="shared" si="46"/>
        <v>30</v>
      </c>
      <c r="O20" s="38">
        <f t="shared" si="46"/>
        <v>30</v>
      </c>
      <c r="P20" s="38">
        <f t="shared" si="46"/>
        <v>30</v>
      </c>
      <c r="Q20" s="38">
        <f t="shared" si="46"/>
        <v>30</v>
      </c>
      <c r="R20" s="39">
        <f t="shared" si="46"/>
        <v>30</v>
      </c>
      <c r="S20" s="36" t="s">
        <v>118</v>
      </c>
      <c r="T20" s="62">
        <f>K20</f>
        <v>30</v>
      </c>
      <c r="U20" s="38">
        <f t="shared" ref="U20:AA20" si="47">T20</f>
        <v>30</v>
      </c>
      <c r="V20" s="38">
        <f t="shared" si="47"/>
        <v>30</v>
      </c>
      <c r="W20" s="38">
        <f t="shared" si="47"/>
        <v>30</v>
      </c>
      <c r="X20" s="38">
        <f t="shared" si="47"/>
        <v>30</v>
      </c>
      <c r="Y20" s="38">
        <f t="shared" si="47"/>
        <v>30</v>
      </c>
      <c r="Z20" s="38">
        <f t="shared" si="47"/>
        <v>30</v>
      </c>
      <c r="AA20" s="39">
        <f t="shared" si="47"/>
        <v>30</v>
      </c>
      <c r="AK20" s="166" t="s">
        <v>252</v>
      </c>
      <c r="AL20" s="44">
        <f t="shared" ref="AL20:AS20" si="48">ROUND(AL13*B10^2-AL14*B7^2-AL15*B20*AL12,4)</f>
        <v>-16.660299999999999</v>
      </c>
      <c r="AM20" s="38">
        <f t="shared" si="48"/>
        <v>-37.3245</v>
      </c>
      <c r="AN20" s="38">
        <f t="shared" si="48"/>
        <v>-42.414900000000003</v>
      </c>
      <c r="AO20" s="38">
        <f t="shared" si="48"/>
        <v>-45.9024</v>
      </c>
      <c r="AP20" s="38">
        <f t="shared" si="48"/>
        <v>-64.854299999999995</v>
      </c>
      <c r="AQ20" s="38">
        <f t="shared" si="48"/>
        <v>-79.886300000000006</v>
      </c>
      <c r="AR20" s="38">
        <f t="shared" si="48"/>
        <v>-98.446799999999996</v>
      </c>
      <c r="AS20" s="39">
        <f t="shared" si="48"/>
        <v>-117.8509</v>
      </c>
      <c r="AT20" s="36" t="s">
        <v>118</v>
      </c>
      <c r="AU20" s="327">
        <f>B20</f>
        <v>30</v>
      </c>
      <c r="AV20" s="328">
        <f t="shared" ref="AV20:BB20" si="49">AU20</f>
        <v>30</v>
      </c>
      <c r="AW20" s="328">
        <f t="shared" si="49"/>
        <v>30</v>
      </c>
      <c r="AX20" s="328">
        <f t="shared" si="49"/>
        <v>30</v>
      </c>
      <c r="AY20" s="328">
        <f t="shared" si="49"/>
        <v>30</v>
      </c>
      <c r="AZ20" s="328">
        <f t="shared" si="49"/>
        <v>30</v>
      </c>
      <c r="BA20" s="328">
        <f t="shared" si="49"/>
        <v>30</v>
      </c>
      <c r="BB20" s="329">
        <f t="shared" si="49"/>
        <v>30</v>
      </c>
      <c r="BC20" s="36" t="s">
        <v>118</v>
      </c>
      <c r="BD20" s="327">
        <f>K20</f>
        <v>30</v>
      </c>
      <c r="BE20" s="328">
        <f t="shared" ref="BE20:BK20" si="50">BD20</f>
        <v>30</v>
      </c>
      <c r="BF20" s="328">
        <f t="shared" si="50"/>
        <v>30</v>
      </c>
      <c r="BG20" s="328">
        <f t="shared" si="50"/>
        <v>30</v>
      </c>
      <c r="BH20" s="328">
        <f t="shared" si="50"/>
        <v>30</v>
      </c>
      <c r="BI20" s="328">
        <f t="shared" si="50"/>
        <v>30</v>
      </c>
      <c r="BJ20" s="328">
        <f t="shared" si="50"/>
        <v>30</v>
      </c>
      <c r="BK20" s="329">
        <f t="shared" si="50"/>
        <v>30</v>
      </c>
    </row>
    <row r="21" spans="1:63">
      <c r="A21" s="36" t="s">
        <v>119</v>
      </c>
      <c r="B21" s="44">
        <f t="shared" ref="B21:I21" si="51">ROUND(B11*B13/3600/B7+0.4,0)</f>
        <v>106</v>
      </c>
      <c r="C21" s="38">
        <f t="shared" si="51"/>
        <v>77</v>
      </c>
      <c r="D21" s="38">
        <f t="shared" si="51"/>
        <v>60</v>
      </c>
      <c r="E21" s="38">
        <f t="shared" si="51"/>
        <v>47</v>
      </c>
      <c r="F21" s="38">
        <f t="shared" si="51"/>
        <v>39</v>
      </c>
      <c r="G21" s="38">
        <f t="shared" si="51"/>
        <v>32</v>
      </c>
      <c r="H21" s="63">
        <f t="shared" si="51"/>
        <v>28</v>
      </c>
      <c r="I21" s="39">
        <f t="shared" si="51"/>
        <v>25</v>
      </c>
      <c r="J21" s="36" t="s">
        <v>119</v>
      </c>
      <c r="K21" s="62">
        <f t="shared" ref="K21:R21" si="52">ROUND(K11*K13/3600/K7+0.4,0)</f>
        <v>106</v>
      </c>
      <c r="L21" s="38">
        <f t="shared" si="52"/>
        <v>77</v>
      </c>
      <c r="M21" s="38">
        <f t="shared" si="52"/>
        <v>60</v>
      </c>
      <c r="N21" s="38">
        <f t="shared" si="52"/>
        <v>47</v>
      </c>
      <c r="O21" s="38">
        <f t="shared" si="52"/>
        <v>39</v>
      </c>
      <c r="P21" s="38">
        <f t="shared" si="52"/>
        <v>32</v>
      </c>
      <c r="Q21" s="38">
        <f t="shared" si="52"/>
        <v>28</v>
      </c>
      <c r="R21" s="39">
        <f t="shared" si="52"/>
        <v>25</v>
      </c>
      <c r="S21" s="36" t="s">
        <v>119</v>
      </c>
      <c r="T21" s="44">
        <f t="shared" ref="T21:AA21" si="53">ROUND(T11*T13/3600/T7+0.4,0)</f>
        <v>106</v>
      </c>
      <c r="U21" s="38">
        <f t="shared" si="53"/>
        <v>77</v>
      </c>
      <c r="V21" s="38">
        <f t="shared" si="53"/>
        <v>60</v>
      </c>
      <c r="W21" s="38">
        <f t="shared" si="53"/>
        <v>47</v>
      </c>
      <c r="X21" s="38">
        <f t="shared" si="53"/>
        <v>39</v>
      </c>
      <c r="Y21" s="38">
        <f t="shared" si="53"/>
        <v>32</v>
      </c>
      <c r="Z21" s="38">
        <f t="shared" si="53"/>
        <v>28</v>
      </c>
      <c r="AA21" s="39">
        <f t="shared" si="53"/>
        <v>25</v>
      </c>
      <c r="AB21" s="12" t="s">
        <v>221</v>
      </c>
      <c r="AC21" s="130">
        <v>2</v>
      </c>
      <c r="AD21" s="3" t="s">
        <v>213</v>
      </c>
      <c r="AE21" s="7"/>
      <c r="AF21" s="7"/>
      <c r="AG21" s="7"/>
      <c r="AH21" s="7"/>
      <c r="AI21" s="7"/>
      <c r="AJ21" s="7"/>
      <c r="AK21" s="167" t="s">
        <v>126</v>
      </c>
      <c r="AL21" s="170">
        <f t="shared" ref="AL21:AS21" si="54">ROUND(AL16*B12,4)</f>
        <v>161.5069</v>
      </c>
      <c r="AM21" s="171">
        <f t="shared" si="54"/>
        <v>143.17769999999999</v>
      </c>
      <c r="AN21" s="171">
        <f t="shared" si="54"/>
        <v>146.6217</v>
      </c>
      <c r="AO21" s="171">
        <f t="shared" si="54"/>
        <v>153.06979999999999</v>
      </c>
      <c r="AP21" s="171">
        <f t="shared" si="54"/>
        <v>191.6585</v>
      </c>
      <c r="AQ21" s="171">
        <f t="shared" si="54"/>
        <v>221.22919999999999</v>
      </c>
      <c r="AR21" s="171">
        <f t="shared" si="54"/>
        <v>251.9383</v>
      </c>
      <c r="AS21" s="172">
        <f t="shared" si="54"/>
        <v>281.07479999999998</v>
      </c>
      <c r="AT21" s="36" t="s">
        <v>119</v>
      </c>
      <c r="AU21" s="327">
        <f t="shared" ref="AU21:BB21" si="55">ROUND(AU11*AU13/3600/AU7+0.4,0)</f>
        <v>106</v>
      </c>
      <c r="AV21" s="328">
        <f t="shared" si="55"/>
        <v>77</v>
      </c>
      <c r="AW21" s="328">
        <f t="shared" si="55"/>
        <v>60</v>
      </c>
      <c r="AX21" s="328">
        <f t="shared" si="55"/>
        <v>47</v>
      </c>
      <c r="AY21" s="328">
        <f t="shared" si="55"/>
        <v>39</v>
      </c>
      <c r="AZ21" s="328">
        <f t="shared" si="55"/>
        <v>32</v>
      </c>
      <c r="BA21" s="328">
        <f t="shared" si="55"/>
        <v>28</v>
      </c>
      <c r="BB21" s="329">
        <f t="shared" si="55"/>
        <v>25</v>
      </c>
      <c r="BC21" s="36" t="s">
        <v>119</v>
      </c>
      <c r="BD21" s="327">
        <f t="shared" ref="BD21:BK21" si="56">ROUND(BD11*BD13/3600/BD7+0.4,0)</f>
        <v>106</v>
      </c>
      <c r="BE21" s="328">
        <f t="shared" si="56"/>
        <v>77</v>
      </c>
      <c r="BF21" s="328">
        <f t="shared" si="56"/>
        <v>60</v>
      </c>
      <c r="BG21" s="328">
        <f t="shared" si="56"/>
        <v>47</v>
      </c>
      <c r="BH21" s="328">
        <f t="shared" si="56"/>
        <v>39</v>
      </c>
      <c r="BI21" s="328">
        <f t="shared" si="56"/>
        <v>32</v>
      </c>
      <c r="BJ21" s="328">
        <f t="shared" si="56"/>
        <v>28</v>
      </c>
      <c r="BK21" s="329">
        <f t="shared" si="56"/>
        <v>25</v>
      </c>
    </row>
    <row r="22" spans="1:63">
      <c r="A22" s="36" t="s">
        <v>343</v>
      </c>
      <c r="B22" s="62">
        <f>IF(B9&lt;4,0.99,IF(B9&lt;8,0.92,0.9))</f>
        <v>0.99</v>
      </c>
      <c r="C22" s="63">
        <f t="shared" ref="C22:I22" si="57">IF(C9&lt;4,0.99,IF(C9&lt;8,0.92,0.9))</f>
        <v>0.99</v>
      </c>
      <c r="D22" s="63">
        <f t="shared" si="57"/>
        <v>0.99</v>
      </c>
      <c r="E22" s="63">
        <f t="shared" si="57"/>
        <v>0.99</v>
      </c>
      <c r="F22" s="63">
        <f t="shared" si="57"/>
        <v>0.99</v>
      </c>
      <c r="G22" s="63">
        <f t="shared" si="57"/>
        <v>0.99</v>
      </c>
      <c r="H22" s="63">
        <f t="shared" si="57"/>
        <v>0.99</v>
      </c>
      <c r="I22" s="64">
        <f t="shared" si="57"/>
        <v>0.99</v>
      </c>
      <c r="J22" s="36" t="s">
        <v>343</v>
      </c>
      <c r="K22" s="44">
        <f>IF(K9&lt;4,0.99,IF(K9&lt;8,0.92,0.9))</f>
        <v>0.99</v>
      </c>
      <c r="L22" s="38">
        <f t="shared" ref="L22:R22" si="58">IF(L9&lt;4,0.99,IF(L9&lt;8,0.92,0.9))</f>
        <v>0.99</v>
      </c>
      <c r="M22" s="38">
        <f t="shared" si="58"/>
        <v>0.99</v>
      </c>
      <c r="N22" s="38">
        <f t="shared" si="58"/>
        <v>0.99</v>
      </c>
      <c r="O22" s="38">
        <f t="shared" si="58"/>
        <v>0.99</v>
      </c>
      <c r="P22" s="38">
        <f t="shared" si="58"/>
        <v>0.99</v>
      </c>
      <c r="Q22" s="38">
        <f t="shared" si="58"/>
        <v>0.99</v>
      </c>
      <c r="R22" s="39">
        <f t="shared" si="58"/>
        <v>0.99</v>
      </c>
      <c r="S22" s="36" t="s">
        <v>343</v>
      </c>
      <c r="T22" s="44">
        <f>IF(T9&lt;4,0.99,IF(T9&lt;8,0.92,0.9))</f>
        <v>0.99</v>
      </c>
      <c r="U22" s="38">
        <f t="shared" ref="U22:AA22" si="59">IF(U9&lt;4,0.99,IF(U9&lt;8,0.92,0.9))</f>
        <v>0.99</v>
      </c>
      <c r="V22" s="38">
        <f t="shared" si="59"/>
        <v>0.99</v>
      </c>
      <c r="W22" s="38">
        <f t="shared" si="59"/>
        <v>0.99</v>
      </c>
      <c r="X22" s="38">
        <f t="shared" si="59"/>
        <v>0.99</v>
      </c>
      <c r="Y22" s="38">
        <f t="shared" si="59"/>
        <v>0.99</v>
      </c>
      <c r="Z22" s="38">
        <f t="shared" si="59"/>
        <v>0.99</v>
      </c>
      <c r="AA22" s="39">
        <f t="shared" si="59"/>
        <v>0.99</v>
      </c>
      <c r="AB22" s="12"/>
      <c r="AC22" s="141"/>
      <c r="AD22" s="15"/>
      <c r="AE22" s="1525"/>
      <c r="AF22" s="1525"/>
      <c r="AG22" s="141"/>
      <c r="AH22" s="161"/>
      <c r="AI22" s="13"/>
      <c r="AK22" s="168" t="s">
        <v>228</v>
      </c>
      <c r="AL22" s="62">
        <f t="shared" ref="AL22:AS22" si="60">ROUND(B8/AL21,4)</f>
        <v>3.7199999999999997E-2</v>
      </c>
      <c r="AM22" s="63">
        <f t="shared" si="60"/>
        <v>6.2899999999999998E-2</v>
      </c>
      <c r="AN22" s="63">
        <f t="shared" si="60"/>
        <v>6.1400000000000003E-2</v>
      </c>
      <c r="AO22" s="63">
        <f t="shared" si="60"/>
        <v>6.5299999999999997E-2</v>
      </c>
      <c r="AP22" s="63">
        <f t="shared" si="60"/>
        <v>7.2999999999999995E-2</v>
      </c>
      <c r="AQ22" s="63">
        <f t="shared" si="60"/>
        <v>6.3299999999999995E-2</v>
      </c>
      <c r="AR22" s="63">
        <f t="shared" si="60"/>
        <v>5.5599999999999997E-2</v>
      </c>
      <c r="AS22" s="64">
        <f t="shared" si="60"/>
        <v>4.9799999999999997E-2</v>
      </c>
      <c r="AT22" s="36" t="s">
        <v>343</v>
      </c>
      <c r="AU22" s="333">
        <f t="shared" ref="AU22:BB22" si="61">IF(AU9&lt;4,0.99,IF(AU9&lt;8,0.92,0.9))</f>
        <v>0.99</v>
      </c>
      <c r="AV22" s="328">
        <f t="shared" si="61"/>
        <v>0.99</v>
      </c>
      <c r="AW22" s="328">
        <f t="shared" si="61"/>
        <v>0.99</v>
      </c>
      <c r="AX22" s="328">
        <f t="shared" si="61"/>
        <v>0.99</v>
      </c>
      <c r="AY22" s="328">
        <f t="shared" si="61"/>
        <v>0.99</v>
      </c>
      <c r="AZ22" s="328">
        <f t="shared" si="61"/>
        <v>0.99</v>
      </c>
      <c r="BA22" s="328">
        <f t="shared" si="61"/>
        <v>0.99</v>
      </c>
      <c r="BB22" s="329">
        <f t="shared" si="61"/>
        <v>0.99</v>
      </c>
      <c r="BC22" s="36" t="s">
        <v>343</v>
      </c>
      <c r="BD22" s="333">
        <f t="shared" ref="BD22:BK22" si="62">IF(BD9&lt;4,0.99,IF(BD9&lt;8,0.92,0.9))</f>
        <v>0.99</v>
      </c>
      <c r="BE22" s="328">
        <f t="shared" si="62"/>
        <v>0.99</v>
      </c>
      <c r="BF22" s="328">
        <f t="shared" si="62"/>
        <v>0.99</v>
      </c>
      <c r="BG22" s="328">
        <f t="shared" si="62"/>
        <v>0.99</v>
      </c>
      <c r="BH22" s="328">
        <f t="shared" si="62"/>
        <v>0.99</v>
      </c>
      <c r="BI22" s="328">
        <f t="shared" si="62"/>
        <v>0.99</v>
      </c>
      <c r="BJ22" s="328">
        <f t="shared" si="62"/>
        <v>0.99</v>
      </c>
      <c r="BK22" s="329">
        <f t="shared" si="62"/>
        <v>0.99</v>
      </c>
    </row>
    <row r="23" spans="1:63" ht="15.75">
      <c r="A23" s="36" t="s">
        <v>154</v>
      </c>
      <c r="B23" s="44">
        <f>ROUND((1+$B$15+$B$16*$B$13/$B$17)*$B$14/2*B9^2,4)</f>
        <v>2.9899999999999999E-2</v>
      </c>
      <c r="C23" s="38">
        <f t="shared" ref="C23:I23" si="63">ROUND((1+C15+C16*C13/C17)*C14/2*C9^2,4)</f>
        <v>6.7299999999999999E-2</v>
      </c>
      <c r="D23" s="38">
        <f t="shared" si="63"/>
        <v>6.7299999999999999E-2</v>
      </c>
      <c r="E23" s="38">
        <f t="shared" si="63"/>
        <v>8.3000000000000004E-2</v>
      </c>
      <c r="F23" s="38">
        <f t="shared" si="63"/>
        <v>0.1628</v>
      </c>
      <c r="G23" s="38">
        <f t="shared" si="63"/>
        <v>0.1628</v>
      </c>
      <c r="H23" s="63">
        <f t="shared" si="63"/>
        <v>0.1628</v>
      </c>
      <c r="I23" s="39">
        <f t="shared" si="63"/>
        <v>0.1628</v>
      </c>
      <c r="J23" s="36" t="s">
        <v>154</v>
      </c>
      <c r="K23" s="62">
        <f t="shared" ref="K23:R23" si="64">ROUND((1+K15+K16*K13/K17)*K14/2*K9^2,4)</f>
        <v>0.187</v>
      </c>
      <c r="L23" s="38">
        <f t="shared" si="64"/>
        <v>0.1404</v>
      </c>
      <c r="M23" s="38">
        <f t="shared" si="64"/>
        <v>6.7299999999999999E-2</v>
      </c>
      <c r="N23" s="38">
        <f t="shared" si="64"/>
        <v>5.3199999999999997E-2</v>
      </c>
      <c r="O23" s="38">
        <f t="shared" si="64"/>
        <v>4.07E-2</v>
      </c>
      <c r="P23" s="38">
        <f t="shared" si="64"/>
        <v>2.9899999999999999E-2</v>
      </c>
      <c r="Q23" s="38">
        <f t="shared" si="64"/>
        <v>4.07E-2</v>
      </c>
      <c r="R23" s="39">
        <f t="shared" si="64"/>
        <v>4.07E-2</v>
      </c>
      <c r="S23" s="36" t="s">
        <v>154</v>
      </c>
      <c r="T23" s="44">
        <f t="shared" ref="T23:AA23" si="65">ROUND((1+T15+T16*T13/T17)*T14/2*T9^2,4)</f>
        <v>7.4999999999999997E-3</v>
      </c>
      <c r="U23" s="38">
        <f t="shared" si="65"/>
        <v>3.3E-3</v>
      </c>
      <c r="V23" s="38">
        <f t="shared" si="65"/>
        <v>3.3E-3</v>
      </c>
      <c r="W23" s="38">
        <f t="shared" si="65"/>
        <v>3.3E-3</v>
      </c>
      <c r="X23" s="38">
        <f t="shared" si="65"/>
        <v>8.0000000000000004E-4</v>
      </c>
      <c r="Y23" s="38">
        <f t="shared" si="65"/>
        <v>8.0000000000000004E-4</v>
      </c>
      <c r="Z23" s="38">
        <f t="shared" si="65"/>
        <v>8.0000000000000004E-4</v>
      </c>
      <c r="AA23" s="39">
        <f t="shared" si="65"/>
        <v>8.0000000000000004E-4</v>
      </c>
      <c r="AI23" s="13"/>
      <c r="AK23" s="69" t="s">
        <v>229</v>
      </c>
      <c r="AL23" s="179">
        <f t="shared" ref="AL23:AS23" si="66">ROUND(K8/AL21,4)</f>
        <v>9.2899999999999996E-2</v>
      </c>
      <c r="AM23" s="63">
        <f t="shared" si="66"/>
        <v>9.0800000000000006E-2</v>
      </c>
      <c r="AN23" s="63">
        <f t="shared" si="66"/>
        <v>6.1400000000000003E-2</v>
      </c>
      <c r="AO23" s="63">
        <f t="shared" si="66"/>
        <v>5.2299999999999999E-2</v>
      </c>
      <c r="AP23" s="63">
        <f t="shared" si="66"/>
        <v>3.6499999999999998E-2</v>
      </c>
      <c r="AQ23" s="63">
        <f t="shared" si="66"/>
        <v>2.7099999999999999E-2</v>
      </c>
      <c r="AR23" s="63">
        <f t="shared" si="66"/>
        <v>2.7799999999999998E-2</v>
      </c>
      <c r="AS23" s="64">
        <f t="shared" si="66"/>
        <v>2.4899999999999999E-2</v>
      </c>
      <c r="AT23" s="36" t="s">
        <v>154</v>
      </c>
      <c r="AU23" s="327">
        <f t="shared" ref="AU23:BB23" si="67">ROUND((1+AU15+AU16*AU13/AU17)*AU14/2*AU9^2,4)</f>
        <v>15.5936</v>
      </c>
      <c r="AV23" s="328">
        <f t="shared" si="67"/>
        <v>15.5936</v>
      </c>
      <c r="AW23" s="328">
        <f t="shared" si="67"/>
        <v>15.5936</v>
      </c>
      <c r="AX23" s="328">
        <f t="shared" si="67"/>
        <v>15.5936</v>
      </c>
      <c r="AY23" s="328">
        <f t="shared" si="67"/>
        <v>15.5936</v>
      </c>
      <c r="AZ23" s="328">
        <f t="shared" si="67"/>
        <v>15.5936</v>
      </c>
      <c r="BA23" s="328">
        <f t="shared" si="67"/>
        <v>15.5936</v>
      </c>
      <c r="BB23" s="329">
        <f t="shared" si="67"/>
        <v>15.5936</v>
      </c>
      <c r="BC23" s="36" t="s">
        <v>154</v>
      </c>
      <c r="BD23" s="327">
        <f t="shared" ref="BD23:BK23" si="68">ROUND((1+BD15+BD16*BD13/BD17)*BD14/2*BD9^2,4)</f>
        <v>6.5808999999999997</v>
      </c>
      <c r="BE23" s="328">
        <f t="shared" si="68"/>
        <v>6.5808999999999997</v>
      </c>
      <c r="BF23" s="328">
        <f t="shared" si="68"/>
        <v>6.5808999999999997</v>
      </c>
      <c r="BG23" s="328">
        <f t="shared" si="68"/>
        <v>6.5808999999999997</v>
      </c>
      <c r="BH23" s="328">
        <f t="shared" si="68"/>
        <v>6.5808999999999997</v>
      </c>
      <c r="BI23" s="328">
        <f t="shared" si="68"/>
        <v>6.5808999999999997</v>
      </c>
      <c r="BJ23" s="328">
        <f t="shared" si="68"/>
        <v>6.5808999999999997</v>
      </c>
      <c r="BK23" s="329">
        <f t="shared" si="68"/>
        <v>6.5808999999999997</v>
      </c>
    </row>
    <row r="24" spans="1:63" ht="16.5" thickBot="1">
      <c r="A24" s="36" t="s">
        <v>155</v>
      </c>
      <c r="B24" s="44">
        <f t="shared" ref="B24:I24" si="69">ROUND((1+B15+B16*B13/B17)*B14/2*B10^2,4)</f>
        <v>17.875299999999999</v>
      </c>
      <c r="C24" s="38">
        <f t="shared" si="69"/>
        <v>17.875299999999999</v>
      </c>
      <c r="D24" s="38">
        <f t="shared" si="69"/>
        <v>17.875299999999999</v>
      </c>
      <c r="E24" s="38">
        <f t="shared" si="69"/>
        <v>17.875299999999999</v>
      </c>
      <c r="F24" s="38">
        <f t="shared" si="69"/>
        <v>17.875299999999999</v>
      </c>
      <c r="G24" s="38">
        <f t="shared" si="69"/>
        <v>17.875299999999999</v>
      </c>
      <c r="H24" s="63">
        <f t="shared" si="69"/>
        <v>17.875299999999999</v>
      </c>
      <c r="I24" s="39">
        <f t="shared" si="69"/>
        <v>17.875299999999999</v>
      </c>
      <c r="J24" s="36" t="s">
        <v>155</v>
      </c>
      <c r="K24" s="62">
        <f t="shared" ref="K24:R24" si="70">ROUND((1+K15+K16*K13/K17)*K14/2*K10^2,4)</f>
        <v>17.875299999999999</v>
      </c>
      <c r="L24" s="38">
        <f t="shared" si="70"/>
        <v>17.875299999999999</v>
      </c>
      <c r="M24" s="38">
        <f t="shared" si="70"/>
        <v>17.875299999999999</v>
      </c>
      <c r="N24" s="38">
        <f t="shared" si="70"/>
        <v>17.875299999999999</v>
      </c>
      <c r="O24" s="38">
        <f t="shared" si="70"/>
        <v>17.875299999999999</v>
      </c>
      <c r="P24" s="38">
        <f t="shared" si="70"/>
        <v>17.875299999999999</v>
      </c>
      <c r="Q24" s="38">
        <f t="shared" si="70"/>
        <v>17.875299999999999</v>
      </c>
      <c r="R24" s="39">
        <f t="shared" si="70"/>
        <v>17.875299999999999</v>
      </c>
      <c r="S24" s="36" t="s">
        <v>155</v>
      </c>
      <c r="T24" s="44">
        <f t="shared" ref="T24:AA24" si="71">ROUND((1+T15+T16*T13/T17)*T14/2*T10^2,4)</f>
        <v>17.875299999999999</v>
      </c>
      <c r="U24" s="38">
        <f t="shared" si="71"/>
        <v>17.875299999999999</v>
      </c>
      <c r="V24" s="38">
        <f t="shared" si="71"/>
        <v>17.875299999999999</v>
      </c>
      <c r="W24" s="38">
        <f t="shared" si="71"/>
        <v>17.875299999999999</v>
      </c>
      <c r="X24" s="38">
        <f t="shared" si="71"/>
        <v>17.875299999999999</v>
      </c>
      <c r="Y24" s="38">
        <f t="shared" si="71"/>
        <v>17.875299999999999</v>
      </c>
      <c r="Z24" s="38">
        <f t="shared" si="71"/>
        <v>17.875299999999999</v>
      </c>
      <c r="AA24" s="39">
        <f t="shared" si="71"/>
        <v>17.875299999999999</v>
      </c>
      <c r="AC24" s="136" t="s">
        <v>220</v>
      </c>
      <c r="AD24" s="141">
        <f>C3</f>
        <v>1030</v>
      </c>
      <c r="AH24" s="12" t="s">
        <v>519</v>
      </c>
      <c r="AI24" s="12" t="s">
        <v>423</v>
      </c>
      <c r="AK24" s="69" t="s">
        <v>230</v>
      </c>
      <c r="AL24" s="62">
        <f t="shared" ref="AL24:AS24" si="72">ROUND(T8/AL21,4)</f>
        <v>1.8599999999999998E-2</v>
      </c>
      <c r="AM24" s="63">
        <f t="shared" si="72"/>
        <v>1.4E-2</v>
      </c>
      <c r="AN24" s="63">
        <f t="shared" si="72"/>
        <v>1.3599999999999999E-2</v>
      </c>
      <c r="AO24" s="63">
        <f t="shared" si="72"/>
        <v>1.3100000000000001E-2</v>
      </c>
      <c r="AP24" s="63">
        <f t="shared" si="72"/>
        <v>5.1999999999999998E-3</v>
      </c>
      <c r="AQ24" s="63">
        <f t="shared" si="72"/>
        <v>4.4999999999999997E-3</v>
      </c>
      <c r="AR24" s="63">
        <f t="shared" si="72"/>
        <v>4.0000000000000001E-3</v>
      </c>
      <c r="AS24" s="64">
        <f t="shared" si="72"/>
        <v>3.5999999999999999E-3</v>
      </c>
      <c r="AT24" s="36" t="s">
        <v>155</v>
      </c>
      <c r="AU24" s="327">
        <f t="shared" ref="AU24:BB24" si="73">ROUND((1+AU15+AU16*AU13/AU17)*AU14/2*AU10^2,4)</f>
        <v>17.875299999999999</v>
      </c>
      <c r="AV24" s="328">
        <f t="shared" si="73"/>
        <v>17.875299999999999</v>
      </c>
      <c r="AW24" s="328">
        <f t="shared" si="73"/>
        <v>17.875299999999999</v>
      </c>
      <c r="AX24" s="328">
        <f t="shared" si="73"/>
        <v>17.875299999999999</v>
      </c>
      <c r="AY24" s="328">
        <f t="shared" si="73"/>
        <v>17.875299999999999</v>
      </c>
      <c r="AZ24" s="328">
        <f t="shared" si="73"/>
        <v>17.875299999999999</v>
      </c>
      <c r="BA24" s="328">
        <f t="shared" si="73"/>
        <v>17.875299999999999</v>
      </c>
      <c r="BB24" s="329">
        <f t="shared" si="73"/>
        <v>17.875299999999999</v>
      </c>
      <c r="BC24" s="36" t="s">
        <v>155</v>
      </c>
      <c r="BD24" s="327">
        <f t="shared" ref="BD24:BK24" si="74">ROUND((1+BD15+BD16*BD13/BD17)*BD14/2*BD10^2,4)</f>
        <v>17.875299999999999</v>
      </c>
      <c r="BE24" s="328">
        <f t="shared" si="74"/>
        <v>17.875299999999999</v>
      </c>
      <c r="BF24" s="328">
        <f t="shared" si="74"/>
        <v>17.875299999999999</v>
      </c>
      <c r="BG24" s="328">
        <f t="shared" si="74"/>
        <v>17.875299999999999</v>
      </c>
      <c r="BH24" s="328">
        <f t="shared" si="74"/>
        <v>17.875299999999999</v>
      </c>
      <c r="BI24" s="328">
        <f t="shared" si="74"/>
        <v>17.875299999999999</v>
      </c>
      <c r="BJ24" s="328">
        <f t="shared" si="74"/>
        <v>17.875299999999999</v>
      </c>
      <c r="BK24" s="329">
        <f t="shared" si="74"/>
        <v>17.875299999999999</v>
      </c>
    </row>
    <row r="25" spans="1:63" ht="15.75">
      <c r="A25" s="36" t="s">
        <v>156</v>
      </c>
      <c r="B25" s="62">
        <f t="shared" ref="B25:I25" si="75">IF(B7&gt;B9,ROUND(B14/2*B18/B12*(B7-B9)^2*B21,4),IF(B7&lt;B9,ROUND(-B14/2*B18/B12*(B9-B7)^2*B21,4)))</f>
        <v>8.3559999999999999</v>
      </c>
      <c r="C25" s="38">
        <f t="shared" si="75"/>
        <v>24.746099999999998</v>
      </c>
      <c r="D25" s="38">
        <f t="shared" si="75"/>
        <v>44.102699999999999</v>
      </c>
      <c r="E25" s="38">
        <f t="shared" si="75"/>
        <v>61.8399</v>
      </c>
      <c r="F25" s="38">
        <f t="shared" si="75"/>
        <v>79.907399999999996</v>
      </c>
      <c r="G25" s="38">
        <f t="shared" si="75"/>
        <v>94.987700000000004</v>
      </c>
      <c r="H25" s="63">
        <f t="shared" si="75"/>
        <v>113.499</v>
      </c>
      <c r="I25" s="39">
        <f t="shared" si="75"/>
        <v>132.80629999999999</v>
      </c>
      <c r="J25" s="36" t="s">
        <v>156</v>
      </c>
      <c r="K25" s="62">
        <f>IF('환기량 산정'!K1509=1,IF(K7&gt;K9,ROUND(K14/2*K18/K12*(K7-K9)^2*K21,4),IF(K7&lt;K9,ROUND(-K14/2*K18/K12*(K9-K7)^2*K21,4))),ROUND(K14/2*K18/K12*(K7+K9)^2*K21,4))</f>
        <v>7.4260000000000002</v>
      </c>
      <c r="L25" s="38">
        <f t="shared" ref="L25:R25" si="76">IF(L7&gt;L9,ROUND(L14/2*L18/L12*(L7-L9)^2*L21,4),IF(L7&lt;L9,ROUND(-L14/2*L18/L12*(L9-L7)^2*L21,4)))</f>
        <v>24.125800000000002</v>
      </c>
      <c r="M25" s="38">
        <f t="shared" si="76"/>
        <v>44.102699999999999</v>
      </c>
      <c r="N25" s="38">
        <f t="shared" si="76"/>
        <v>62.224899999999998</v>
      </c>
      <c r="O25" s="38">
        <f t="shared" si="76"/>
        <v>81.310100000000006</v>
      </c>
      <c r="P25" s="38">
        <f t="shared" si="76"/>
        <v>96.570099999999996</v>
      </c>
      <c r="Q25" s="38">
        <f t="shared" si="76"/>
        <v>114.91370000000001</v>
      </c>
      <c r="R25" s="39">
        <f t="shared" si="76"/>
        <v>134.2518</v>
      </c>
      <c r="S25" s="36" t="s">
        <v>156</v>
      </c>
      <c r="T25" s="44">
        <f>IF('환기량 산정'!K1509=1,IF(T7&gt;T9,ROUND(T14/2*T18/T12*(T7-T9)^2*T21,4),IF(T7&lt;T9,ROUND(-T14/2*T18/T12*(T9-T7)^2*T21,4))),ROUND(T14/2*T18/T12*(T7+T9)^2*T21,4))</f>
        <v>8.6785999999999994</v>
      </c>
      <c r="U25" s="38">
        <f t="shared" ref="U25:AA25" si="77">IF(U7&gt;U9,ROUND(U14/2*U18/U12*(U7-U9)^2*U21,4),IF(U7&lt;U9,ROUND(-U14/2*U18/U12*(U9-U7)^2*U21,4)))</f>
        <v>25.850300000000001</v>
      </c>
      <c r="V25" s="38">
        <f t="shared" si="77"/>
        <v>45.399000000000001</v>
      </c>
      <c r="W25" s="38">
        <f t="shared" si="77"/>
        <v>63.390500000000003</v>
      </c>
      <c r="X25" s="38">
        <f t="shared" si="77"/>
        <v>82.5227</v>
      </c>
      <c r="Y25" s="38">
        <f t="shared" si="77"/>
        <v>97.566999999999993</v>
      </c>
      <c r="Z25" s="38">
        <f t="shared" si="77"/>
        <v>116.13379999999999</v>
      </c>
      <c r="AA25" s="39">
        <f t="shared" si="77"/>
        <v>135.4975</v>
      </c>
      <c r="AC25" s="146" t="s">
        <v>214</v>
      </c>
      <c r="AD25" s="147">
        <f>MAX(B31:I31)</f>
        <v>1</v>
      </c>
      <c r="AE25" s="148" t="s">
        <v>213</v>
      </c>
      <c r="AF25" s="147">
        <f>IF($AH$25=I30,I6,IF($AH$25=H30,H6,IF($AH$25=G30,G6,IF($AH$25=F30,F6,IF($AH$25=E30,E6,IF($AH$25=D30,D6,IF($AH$25=C30,C6,IF($AH$25=B30,B6))))))))</f>
        <v>10</v>
      </c>
      <c r="AG25" s="149" t="s">
        <v>219</v>
      </c>
      <c r="AH25" s="3">
        <f>MAX(B30:I30)</f>
        <v>0.67</v>
      </c>
      <c r="AI25" s="352">
        <f>MAX(B9:I9)</f>
        <v>0.23860000000000001</v>
      </c>
      <c r="AK25" s="69" t="s">
        <v>253</v>
      </c>
      <c r="AL25" s="62">
        <f>ROUND('환기량 산정'!C683/6.25*AL22*AL21,4)</f>
        <v>8.6999999999999994E-3</v>
      </c>
      <c r="AM25" s="63">
        <f>ROUND('환기량 산정'!D683/6.25*AM22*AM21,4)</f>
        <v>1.01E-2</v>
      </c>
      <c r="AN25" s="63">
        <f>ROUND('환기량 산정'!E683/6.25*AN22*AN21,4)</f>
        <v>1.01E-2</v>
      </c>
      <c r="AO25" s="63">
        <f>ROUND('환기량 산정'!F683/6.25*AO22*AO21,4)</f>
        <v>1.12E-2</v>
      </c>
      <c r="AP25" s="63">
        <f>ROUND('환기량 산정'!G683/6.25*AP22*AP21,4)</f>
        <v>1.12E-2</v>
      </c>
      <c r="AQ25" s="63">
        <f>ROUND('환기량 산정'!H683/6.25*AQ22*AQ21,4)</f>
        <v>1.12E-2</v>
      </c>
      <c r="AR25" s="63">
        <f>ROUND('환기량 산정'!I683/6.25*AR22*AR21,4)</f>
        <v>1.12E-2</v>
      </c>
      <c r="AS25" s="64">
        <f>ROUND('환기량 산정'!J683/6.25*AS22*AS21,4)</f>
        <v>1.12E-2</v>
      </c>
      <c r="AT25" s="36" t="s">
        <v>156</v>
      </c>
      <c r="AU25" s="327">
        <f>IF('환기량 산정'!$K$1509=1,IF(AU7&gt;AU9,ROUND(AU14/2*AU18/AU12*(AU7-AU9)^2*AU21,4),IF(AU7&lt;AU9,ROUND(-AU14/2*AU18/AU12*(AU9-AU7)^2*AU21,4))),ROUND(AU14/2*AU18/AU12*(AU7+AU9)^2*AU21,4))</f>
        <v>0.23080000000000001</v>
      </c>
      <c r="AV25" s="328">
        <f t="shared" ref="AV25:BB25" si="78">IF(AV7&gt;AV9,ROUND(AV14/2*AV18/AV12*(AV7-AV9)^2*AV21,4),IF(AV7&lt;AV9,ROUND(-AV14/2*AV18/AV12*(AV9-AV7)^2*AV21,4)))</f>
        <v>8.8048000000000002</v>
      </c>
      <c r="AW25" s="328">
        <f t="shared" si="78"/>
        <v>23.708100000000002</v>
      </c>
      <c r="AX25" s="328">
        <f t="shared" si="78"/>
        <v>39.788699999999999</v>
      </c>
      <c r="AY25" s="328">
        <f t="shared" si="78"/>
        <v>57.249600000000001</v>
      </c>
      <c r="AZ25" s="328">
        <f t="shared" si="78"/>
        <v>72.295900000000003</v>
      </c>
      <c r="BA25" s="328">
        <f t="shared" si="78"/>
        <v>90.068399999999997</v>
      </c>
      <c r="BB25" s="329">
        <f t="shared" si="78"/>
        <v>108.6824</v>
      </c>
      <c r="BC25" s="36" t="s">
        <v>156</v>
      </c>
      <c r="BD25" s="327">
        <f>IF('환기량 산정'!$K$1509=1,IF(BD7&gt;BD9,ROUND(BD14/2*BD18/BD12*(BD7-BD9)^2*BD21,4),IF(BD7&lt;BD9,ROUND(-BD14/2*BD18/BD12*(BD9-BD7)^2*BD21,4))),ROUND(BD14/2*BD18/BD12*(BD7+BD9)^2*BD21,4))</f>
        <v>1.8593</v>
      </c>
      <c r="BE25" s="328">
        <f t="shared" ref="BE25:BK25" si="79">IF(BE7&gt;BE9,ROUND(BE14/2*BE18/BE12*(BE7-BE9)^2*BE21,4),IF(BE7&lt;BE9,ROUND(-BE14/2*BE18/BE12*(BE9-BE7)^2*BE21,4)))</f>
        <v>13.8385</v>
      </c>
      <c r="BF25" s="328">
        <f t="shared" si="79"/>
        <v>30.6203</v>
      </c>
      <c r="BG25" s="328">
        <f t="shared" si="79"/>
        <v>47.553600000000003</v>
      </c>
      <c r="BH25" s="328">
        <f t="shared" si="79"/>
        <v>65.643199999999993</v>
      </c>
      <c r="BI25" s="328">
        <f t="shared" si="79"/>
        <v>80.783199999999994</v>
      </c>
      <c r="BJ25" s="328">
        <f t="shared" si="79"/>
        <v>98.89</v>
      </c>
      <c r="BK25" s="329">
        <f t="shared" si="79"/>
        <v>117.8091</v>
      </c>
    </row>
    <row r="26" spans="1:63" ht="15.75">
      <c r="A26" s="36" t="s">
        <v>158</v>
      </c>
      <c r="B26" s="44"/>
      <c r="C26" s="38"/>
      <c r="D26" s="38"/>
      <c r="E26" s="38"/>
      <c r="F26" s="38"/>
      <c r="G26" s="38"/>
      <c r="H26" s="63"/>
      <c r="I26" s="39"/>
      <c r="J26" s="36" t="s">
        <v>158</v>
      </c>
      <c r="K26" s="62"/>
      <c r="L26" s="38"/>
      <c r="M26" s="38"/>
      <c r="N26" s="38"/>
      <c r="O26" s="38"/>
      <c r="P26" s="38"/>
      <c r="Q26" s="38"/>
      <c r="R26" s="39"/>
      <c r="S26" s="181" t="s">
        <v>158</v>
      </c>
      <c r="T26" s="44"/>
      <c r="U26" s="38"/>
      <c r="V26" s="38"/>
      <c r="W26" s="38"/>
      <c r="X26" s="38"/>
      <c r="Y26" s="38"/>
      <c r="Z26" s="38"/>
      <c r="AA26" s="39"/>
      <c r="AC26" s="150" t="s">
        <v>215</v>
      </c>
      <c r="AD26" s="151">
        <f>MAX(K31:R31)</f>
        <v>1</v>
      </c>
      <c r="AE26" s="152" t="s">
        <v>213</v>
      </c>
      <c r="AF26" s="151">
        <f>IF($AH$26=R30,R6,IF($AH$26=Q30,Q6,IF($AH$26=P30,P6,IF($AH$26=O30,O6,IF($AH$26=N30,N6,IF($AH$26=M30,M6,IF($AH$26=L30,L6,IF($AH$26=K30,K6))))))))</f>
        <v>10</v>
      </c>
      <c r="AG26" s="153" t="s">
        <v>219</v>
      </c>
      <c r="AH26" s="3">
        <f>MAX(K30:R30)</f>
        <v>0.75</v>
      </c>
      <c r="AI26" s="352">
        <f>MAX(K9:R9)</f>
        <v>0.25569999999999998</v>
      </c>
      <c r="AK26" s="69" t="s">
        <v>254</v>
      </c>
      <c r="AL26" s="62">
        <f>ROUND(AL23*AL21*'환기량 산정'!C1057*10^-6*1.25*1000,4)</f>
        <v>1.3128</v>
      </c>
      <c r="AM26" s="63">
        <f>ROUND(AM23*AM21*'환기량 산정'!D1057*10^-6*1.25*1000,4)</f>
        <v>1.1375</v>
      </c>
      <c r="AN26" s="63">
        <f>ROUND(AN23*AN21*'환기량 산정'!E1057*10^-6*1.25*1000,4)</f>
        <v>0.78769999999999996</v>
      </c>
      <c r="AO26" s="63">
        <f>ROUND(AO23*AO21*'환기량 산정'!F1057*10^-6*1.25*1000,4)</f>
        <v>0.70050000000000001</v>
      </c>
      <c r="AP26" s="63">
        <f>ROUND(AP23*AP21*'환기량 산정'!G1057*10^-6*1.25*1000,4)</f>
        <v>0.61209999999999998</v>
      </c>
      <c r="AQ26" s="63">
        <f>ROUND(AQ23*AQ21*'환기량 산정'!H1057*10^-6*1.25*1000,4)</f>
        <v>0.52459999999999996</v>
      </c>
      <c r="AR26" s="63">
        <f>ROUND(AR23*AR21*'환기량 산정'!I1057*10^-6*1.25*1000,4)</f>
        <v>0.61280000000000001</v>
      </c>
      <c r="AS26" s="64">
        <f>ROUND(AS23*AS21*'환기량 산정'!J1057*10^-6*1.25*1000,4)</f>
        <v>0.61240000000000006</v>
      </c>
      <c r="AT26" s="36" t="s">
        <v>158</v>
      </c>
      <c r="AU26" s="327"/>
      <c r="AV26" s="328"/>
      <c r="AW26" s="328"/>
      <c r="AX26" s="328"/>
      <c r="AY26" s="328"/>
      <c r="AZ26" s="328"/>
      <c r="BA26" s="328"/>
      <c r="BB26" s="329"/>
      <c r="BC26" s="36" t="s">
        <v>158</v>
      </c>
      <c r="BD26" s="327"/>
      <c r="BE26" s="328"/>
      <c r="BF26" s="328"/>
      <c r="BG26" s="328"/>
      <c r="BH26" s="328"/>
      <c r="BI26" s="328"/>
      <c r="BJ26" s="328"/>
      <c r="BK26" s="329"/>
    </row>
    <row r="27" spans="1:63">
      <c r="A27" s="36" t="s">
        <v>157</v>
      </c>
      <c r="B27" s="183">
        <f t="shared" ref="B27:I27" si="80">B23+B24-B25</f>
        <v>9.5492000000000008</v>
      </c>
      <c r="C27" s="45">
        <f t="shared" si="80"/>
        <v>-6.8034999999999997</v>
      </c>
      <c r="D27" s="45">
        <f t="shared" si="80"/>
        <v>-26.1601</v>
      </c>
      <c r="E27" s="45">
        <f t="shared" si="80"/>
        <v>-43.881600000000006</v>
      </c>
      <c r="F27" s="45">
        <f t="shared" si="80"/>
        <v>-61.869299999999996</v>
      </c>
      <c r="G27" s="45">
        <f t="shared" si="80"/>
        <v>-76.949600000000004</v>
      </c>
      <c r="H27" s="138">
        <f t="shared" si="80"/>
        <v>-95.460899999999995</v>
      </c>
      <c r="I27" s="46">
        <f t="shared" si="80"/>
        <v>-114.76819999999999</v>
      </c>
      <c r="J27" s="36" t="s">
        <v>157</v>
      </c>
      <c r="K27" s="189">
        <f>IF('환기량 산정'!K1509=1,K23+K24-K25,K23+K25-K24)</f>
        <v>10.6363</v>
      </c>
      <c r="L27" s="45">
        <f t="shared" ref="L27:R27" si="81">L23+L24-L25</f>
        <v>-6.1101000000000028</v>
      </c>
      <c r="M27" s="45">
        <f t="shared" si="81"/>
        <v>-26.1601</v>
      </c>
      <c r="N27" s="45">
        <f t="shared" si="81"/>
        <v>-44.296399999999998</v>
      </c>
      <c r="O27" s="45">
        <f t="shared" si="81"/>
        <v>-63.394100000000009</v>
      </c>
      <c r="P27" s="45">
        <f t="shared" si="81"/>
        <v>-78.664899999999989</v>
      </c>
      <c r="Q27" s="45">
        <f t="shared" si="81"/>
        <v>-96.997700000000009</v>
      </c>
      <c r="R27" s="46">
        <f t="shared" si="81"/>
        <v>-116.33580000000001</v>
      </c>
      <c r="S27" s="181" t="s">
        <v>157</v>
      </c>
      <c r="T27" s="183">
        <f>IF('환기량 산정'!K1509=1,T23+T24-T25,T23+T25-T24)</f>
        <v>9.2042000000000002</v>
      </c>
      <c r="U27" s="45">
        <f t="shared" ref="U27:AA27" si="82">U23+U24-U25</f>
        <v>-7.971700000000002</v>
      </c>
      <c r="V27" s="45">
        <f t="shared" si="82"/>
        <v>-27.520400000000002</v>
      </c>
      <c r="W27" s="45">
        <f t="shared" si="82"/>
        <v>-45.511900000000004</v>
      </c>
      <c r="X27" s="45">
        <f t="shared" si="82"/>
        <v>-64.646600000000007</v>
      </c>
      <c r="Y27" s="45">
        <f t="shared" si="82"/>
        <v>-79.690899999999999</v>
      </c>
      <c r="Z27" s="45">
        <f t="shared" si="82"/>
        <v>-98.2577</v>
      </c>
      <c r="AA27" s="46">
        <f t="shared" si="82"/>
        <v>-117.62139999999999</v>
      </c>
      <c r="AC27" s="150" t="s">
        <v>216</v>
      </c>
      <c r="AD27" s="151">
        <f>MAX(T31:AA31)</f>
        <v>1</v>
      </c>
      <c r="AE27" s="152" t="s">
        <v>213</v>
      </c>
      <c r="AF27" s="151">
        <f>IF($AH$27=AA30,AA6,IF($AH$27=Z30,Z6,IF($AH$27=Y30,Y6,IF($AH$27=X30,X6,IF($AH$27=W30,W6,IF($AH$27=V30,V6,IF($AH$27=U30,U6,IF($AH$27=T30,T6))))))))</f>
        <v>10</v>
      </c>
      <c r="AG27" s="153" t="s">
        <v>219</v>
      </c>
      <c r="AH27" s="7">
        <f>MAX(T30:AA30)</f>
        <v>0.64</v>
      </c>
      <c r="AI27" s="352">
        <f>MAX(T9:AA9)</f>
        <v>5.11E-2</v>
      </c>
      <c r="AK27" s="69" t="s">
        <v>263</v>
      </c>
      <c r="AL27" s="62">
        <f>ROUND(AL24*AL21*'환기량 산정'!C1432*10^-6*1.554*1000,4)</f>
        <v>9.3399999999999997E-2</v>
      </c>
      <c r="AM27" s="63">
        <f>ROUND(AM24*AM21*'환기량 산정'!D1432*10^-6*1.554*1000,4)</f>
        <v>6.2300000000000001E-2</v>
      </c>
      <c r="AN27" s="63">
        <f>ROUND(AN24*AN21*'환기량 산정'!E1432*10^-6*1.554*1000,4)</f>
        <v>6.2E-2</v>
      </c>
      <c r="AO27" s="63">
        <f>ROUND(AO24*AO21*'환기량 산정'!F1432*10^-6*1.554*1000,4)</f>
        <v>6.2300000000000001E-2</v>
      </c>
      <c r="AP27" s="63">
        <f>ROUND(AP24*AP21*'환기량 산정'!G1432*10^-6*1.554*1000,4)</f>
        <v>3.1E-2</v>
      </c>
      <c r="AQ27" s="63">
        <f>ROUND(AQ24*AQ21*'환기량 산정'!H1432*10^-6*1.554*1000,4)</f>
        <v>3.09E-2</v>
      </c>
      <c r="AR27" s="63">
        <f>ROUND(AR24*AR21*'환기량 산정'!I1432*10^-6*1.554*1000,4)</f>
        <v>3.1300000000000001E-2</v>
      </c>
      <c r="AS27" s="64">
        <f>ROUND(AS24*AS21*'환기량 산정'!J1432*10^-6*1.554*1000,4)</f>
        <v>3.1399999999999997E-2</v>
      </c>
      <c r="AT27" s="36" t="s">
        <v>157</v>
      </c>
      <c r="AU27" s="334">
        <f>IF('환기량 산정'!$K$1509=1,AU23+AU24-AU25,AU23+AU25-AU24)</f>
        <v>33.238099999999996</v>
      </c>
      <c r="AV27" s="335">
        <f>IF('환기량 산정'!$K$1509=1,AV23+AV24-AV25,AV23+AV25-AV24)</f>
        <v>24.664099999999998</v>
      </c>
      <c r="AW27" s="335">
        <f>IF('환기량 산정'!$K$1509=1,AW23+AW24-AW25,AW23+AW25-AW24)</f>
        <v>9.7607999999999961</v>
      </c>
      <c r="AX27" s="335">
        <f>IF('환기량 산정'!$K$1509=1,AX23+AX24-AX25,AX23+AX25-AX24)</f>
        <v>-6.3198000000000008</v>
      </c>
      <c r="AY27" s="335">
        <f>IF('환기량 산정'!$K$1509=1,AY23+AY24-AY25,AY23+AY25-AY24)</f>
        <v>-23.780700000000003</v>
      </c>
      <c r="AZ27" s="335">
        <f>IF('환기량 산정'!$K$1509=1,AZ23+AZ24-AZ25,AZ23+AZ25-AZ24)</f>
        <v>-38.827000000000005</v>
      </c>
      <c r="BA27" s="335">
        <f>IF('환기량 산정'!$K$1509=1,BA23+BA24-BA25,BA23+BA25-BA24)</f>
        <v>-56.599499999999999</v>
      </c>
      <c r="BB27" s="344">
        <f>IF('환기량 산정'!$K$1509=1,BB23+BB24-BB25,BB23+BB25-BB24)</f>
        <v>-75.21350000000001</v>
      </c>
      <c r="BC27" s="36" t="s">
        <v>157</v>
      </c>
      <c r="BD27" s="334">
        <f>IF('환기량 산정'!$K$1509=1,BD23+BD24-BD25,BD23+BD25-BD24)</f>
        <v>22.596899999999998</v>
      </c>
      <c r="BE27" s="335">
        <f>IF('환기량 산정'!$K$1509=1,BE23+BE24-BE25,BE23+BE25-BE24)</f>
        <v>10.617699999999999</v>
      </c>
      <c r="BF27" s="335">
        <f>IF('환기량 산정'!$K$1509=1,BF23+BF24-BF25,BF23+BF25-BF24)</f>
        <v>-6.1641000000000012</v>
      </c>
      <c r="BG27" s="335">
        <f>IF('환기량 산정'!$K$1509=1,BG23+BG24-BG25,BG23+BG25-BG24)</f>
        <v>-23.097400000000004</v>
      </c>
      <c r="BH27" s="335">
        <f>IF('환기량 산정'!$K$1509=1,BH23+BH24-BH25,BH23+BH25-BH24)</f>
        <v>-41.186999999999998</v>
      </c>
      <c r="BI27" s="335">
        <f>IF('환기량 산정'!$K$1509=1,BI23+BI24-BI25,BI23+BI25-BI24)</f>
        <v>-56.326999999999998</v>
      </c>
      <c r="BJ27" s="335">
        <f>IF('환기량 산정'!$K$1509=1,BJ23+BJ24-BJ25,BJ23+BJ25-BJ24)</f>
        <v>-74.433800000000005</v>
      </c>
      <c r="BK27" s="344">
        <f>IF('환기량 산정'!$K$1509=1,BK23+BK24-BK25,BK23+BK25-BK24)</f>
        <v>-93.352900000000005</v>
      </c>
    </row>
    <row r="28" spans="1:63">
      <c r="A28" s="36" t="s">
        <v>191</v>
      </c>
      <c r="B28" s="182">
        <f>'환기용량 산정(제트팬식)'!B28</f>
        <v>0.95</v>
      </c>
      <c r="C28" s="47">
        <f t="shared" ref="C28:I28" si="83">B28</f>
        <v>0.95</v>
      </c>
      <c r="D28" s="47">
        <f t="shared" si="83"/>
        <v>0.95</v>
      </c>
      <c r="E28" s="47">
        <f t="shared" si="83"/>
        <v>0.95</v>
      </c>
      <c r="F28" s="47">
        <f t="shared" si="83"/>
        <v>0.95</v>
      </c>
      <c r="G28" s="47">
        <f t="shared" si="83"/>
        <v>0.95</v>
      </c>
      <c r="H28" s="140">
        <f t="shared" si="83"/>
        <v>0.95</v>
      </c>
      <c r="I28" s="48">
        <f t="shared" si="83"/>
        <v>0.95</v>
      </c>
      <c r="J28" s="36" t="s">
        <v>191</v>
      </c>
      <c r="K28" s="190">
        <f>B28</f>
        <v>0.95</v>
      </c>
      <c r="L28" s="47">
        <f t="shared" ref="L28:R28" si="84">K28</f>
        <v>0.95</v>
      </c>
      <c r="M28" s="47">
        <f t="shared" si="84"/>
        <v>0.95</v>
      </c>
      <c r="N28" s="47">
        <f t="shared" si="84"/>
        <v>0.95</v>
      </c>
      <c r="O28" s="47">
        <f t="shared" si="84"/>
        <v>0.95</v>
      </c>
      <c r="P28" s="47">
        <f t="shared" si="84"/>
        <v>0.95</v>
      </c>
      <c r="Q28" s="47">
        <f t="shared" si="84"/>
        <v>0.95</v>
      </c>
      <c r="R28" s="48">
        <f t="shared" si="84"/>
        <v>0.95</v>
      </c>
      <c r="S28" s="181" t="s">
        <v>191</v>
      </c>
      <c r="T28" s="196">
        <f>B28</f>
        <v>0.95</v>
      </c>
      <c r="U28" s="47">
        <f t="shared" ref="U28:AA28" si="85">T28</f>
        <v>0.95</v>
      </c>
      <c r="V28" s="47">
        <f t="shared" si="85"/>
        <v>0.95</v>
      </c>
      <c r="W28" s="47">
        <f t="shared" si="85"/>
        <v>0.95</v>
      </c>
      <c r="X28" s="47">
        <f t="shared" si="85"/>
        <v>0.95</v>
      </c>
      <c r="Y28" s="47">
        <f t="shared" si="85"/>
        <v>0.95</v>
      </c>
      <c r="Z28" s="47">
        <f t="shared" si="85"/>
        <v>0.95</v>
      </c>
      <c r="AA28" s="48">
        <f t="shared" si="85"/>
        <v>0.95</v>
      </c>
      <c r="AC28" s="150" t="s">
        <v>422</v>
      </c>
      <c r="AD28" s="351">
        <f>MAX(AU31:BB31)</f>
        <v>3</v>
      </c>
      <c r="AE28" s="152" t="s">
        <v>213</v>
      </c>
      <c r="AF28" s="151">
        <f>IF($AH$28=BB30,BB6,IF($AH$28=BA30,BA6,IF($AH$28=AZ30,AZ6,IF($AH$28=AY30,AY6,IF($AH$28=AX30,AX6,IF($AH$28=AW30,AW6,IF($AH$28=AV30,AV6,IF($AH$28=AU30,AU6))))))))</f>
        <v>10</v>
      </c>
      <c r="AG28" s="153" t="s">
        <v>219</v>
      </c>
      <c r="AH28" s="7">
        <f>MAX(AU30:BB30)</f>
        <v>2.5099999999999998</v>
      </c>
      <c r="AI28" s="353">
        <f>AU9</f>
        <v>2.335</v>
      </c>
      <c r="AJ28" s="7"/>
      <c r="AK28" s="69" t="s">
        <v>264</v>
      </c>
      <c r="AL28" s="176">
        <f>'환기량 산정'!B1511</f>
        <v>6</v>
      </c>
      <c r="AM28" s="177">
        <f>'환기량 산정'!C1511</f>
        <v>9</v>
      </c>
      <c r="AN28" s="177">
        <f>'환기량 산정'!D1511</f>
        <v>9</v>
      </c>
      <c r="AO28" s="177">
        <f>'환기량 산정'!E1511</f>
        <v>10</v>
      </c>
      <c r="AP28" s="177">
        <f>'환기량 산정'!F1511</f>
        <v>14</v>
      </c>
      <c r="AQ28" s="177">
        <f>'환기량 산정'!G1511</f>
        <v>14</v>
      </c>
      <c r="AR28" s="177">
        <f>'환기량 산정'!H1511</f>
        <v>14</v>
      </c>
      <c r="AS28" s="178">
        <f>'환기량 산정'!I1511</f>
        <v>14</v>
      </c>
      <c r="AT28" s="36" t="s">
        <v>191</v>
      </c>
      <c r="AU28" s="336">
        <f t="shared" ref="AU28:BB28" si="86">B28</f>
        <v>0.95</v>
      </c>
      <c r="AV28" s="337">
        <f t="shared" si="86"/>
        <v>0.95</v>
      </c>
      <c r="AW28" s="337">
        <f t="shared" si="86"/>
        <v>0.95</v>
      </c>
      <c r="AX28" s="337">
        <f t="shared" si="86"/>
        <v>0.95</v>
      </c>
      <c r="AY28" s="337">
        <f t="shared" si="86"/>
        <v>0.95</v>
      </c>
      <c r="AZ28" s="337">
        <f t="shared" si="86"/>
        <v>0.95</v>
      </c>
      <c r="BA28" s="337">
        <f t="shared" si="86"/>
        <v>0.95</v>
      </c>
      <c r="BB28" s="345">
        <f t="shared" si="86"/>
        <v>0.95</v>
      </c>
      <c r="BC28" s="36" t="s">
        <v>191</v>
      </c>
      <c r="BD28" s="336">
        <f t="shared" ref="BD28:BK28" si="87">K28</f>
        <v>0.95</v>
      </c>
      <c r="BE28" s="337">
        <f t="shared" si="87"/>
        <v>0.95</v>
      </c>
      <c r="BF28" s="337">
        <f t="shared" si="87"/>
        <v>0.95</v>
      </c>
      <c r="BG28" s="337">
        <f t="shared" si="87"/>
        <v>0.95</v>
      </c>
      <c r="BH28" s="337">
        <f t="shared" si="87"/>
        <v>0.95</v>
      </c>
      <c r="BI28" s="337">
        <f t="shared" si="87"/>
        <v>0.95</v>
      </c>
      <c r="BJ28" s="337">
        <f t="shared" si="87"/>
        <v>0.95</v>
      </c>
      <c r="BK28" s="345">
        <f t="shared" si="87"/>
        <v>0.95</v>
      </c>
    </row>
    <row r="29" spans="1:63" ht="15.75">
      <c r="A29" s="36" t="s">
        <v>342</v>
      </c>
      <c r="B29" s="44">
        <f>ROUND(B22*B14*B20^2*B19/B12*(1-B9/B20)*B28,4)</f>
        <v>14.3201</v>
      </c>
      <c r="C29" s="38">
        <f t="shared" ref="C29:I29" si="88">ROUND(C22*C14*C20^2*C19/C12*(1-C9/C20)*C28,4)</f>
        <v>14.2956</v>
      </c>
      <c r="D29" s="38">
        <f t="shared" si="88"/>
        <v>14.2956</v>
      </c>
      <c r="E29" s="38">
        <f t="shared" si="88"/>
        <v>14.2875</v>
      </c>
      <c r="F29" s="38">
        <f t="shared" si="88"/>
        <v>14.254799999999999</v>
      </c>
      <c r="G29" s="38">
        <f t="shared" si="88"/>
        <v>14.254799999999999</v>
      </c>
      <c r="H29" s="38">
        <f t="shared" si="88"/>
        <v>14.254799999999999</v>
      </c>
      <c r="I29" s="39">
        <f t="shared" si="88"/>
        <v>14.254799999999999</v>
      </c>
      <c r="J29" s="36" t="s">
        <v>342</v>
      </c>
      <c r="K29" s="62">
        <f>ROUND(K22*K14*K20^2*K19/K12*(1-K9/K20)*K28,4)</f>
        <v>14.246600000000001</v>
      </c>
      <c r="L29" s="63">
        <f t="shared" ref="L29:R29" si="89">ROUND(L22*L14*L20^2*L19/L12*(1-L9/L20)*L28,4)</f>
        <v>14.2629</v>
      </c>
      <c r="M29" s="63">
        <f t="shared" si="89"/>
        <v>14.2956</v>
      </c>
      <c r="N29" s="63">
        <f t="shared" si="89"/>
        <v>14.303699999999999</v>
      </c>
      <c r="O29" s="63">
        <f t="shared" si="89"/>
        <v>14.3119</v>
      </c>
      <c r="P29" s="63">
        <f t="shared" si="89"/>
        <v>14.3201</v>
      </c>
      <c r="Q29" s="63">
        <f t="shared" si="89"/>
        <v>14.3119</v>
      </c>
      <c r="R29" s="64">
        <f t="shared" si="89"/>
        <v>14.3119</v>
      </c>
      <c r="S29" s="181" t="s">
        <v>342</v>
      </c>
      <c r="T29" s="44">
        <f>ROUND(T22*T14*T20^2*T19/T12*(1-T9/T20)*T28,4)</f>
        <v>14.3446</v>
      </c>
      <c r="U29" s="38">
        <f t="shared" ref="U29:AA29" si="90">ROUND(U22*U14*U20^2*U19/U12*(1-U9/U20)*U28,4)</f>
        <v>14.3527</v>
      </c>
      <c r="V29" s="38">
        <f t="shared" si="90"/>
        <v>14.3527</v>
      </c>
      <c r="W29" s="38">
        <f t="shared" si="90"/>
        <v>14.3527</v>
      </c>
      <c r="X29" s="38">
        <f t="shared" si="90"/>
        <v>14.360900000000001</v>
      </c>
      <c r="Y29" s="38">
        <f t="shared" si="90"/>
        <v>14.360900000000001</v>
      </c>
      <c r="Z29" s="38">
        <f t="shared" si="90"/>
        <v>14.360900000000001</v>
      </c>
      <c r="AA29" s="39">
        <f t="shared" si="90"/>
        <v>14.360900000000001</v>
      </c>
      <c r="AB29" s="7"/>
      <c r="AC29" s="150" t="s">
        <v>217</v>
      </c>
      <c r="AD29" s="151">
        <f>MAX(AC19:AJ19)</f>
        <v>5</v>
      </c>
      <c r="AE29" s="152" t="s">
        <v>213</v>
      </c>
      <c r="AF29" s="151">
        <f>IF($AH$29=AJ17,AJ6,IF($AH$29=AI17,AI6,IF($AH$29=AH17,AH6,IF($AH$29=AG17,AG6,IF($AH$29=AF17,AF6,IF($AH$29=AE17,AE6,IF($AH$29=AD17,AD6,IF($AH$29=AC17,AC6))))))))</f>
        <v>30</v>
      </c>
      <c r="AG29" s="153" t="s">
        <v>219</v>
      </c>
      <c r="AH29" s="7">
        <f>MAX(AC17:AJ17)</f>
        <v>2.95</v>
      </c>
      <c r="AI29" s="7"/>
      <c r="AJ29" s="7"/>
      <c r="AK29" s="69" t="s">
        <v>255</v>
      </c>
      <c r="AL29" s="176">
        <f>'환기량 산정'!B1513</f>
        <v>15</v>
      </c>
      <c r="AM29" s="177">
        <f>'환기량 산정'!C1513</f>
        <v>13</v>
      </c>
      <c r="AN29" s="177">
        <f>'환기량 산정'!D1513</f>
        <v>9</v>
      </c>
      <c r="AO29" s="177">
        <f>'환기량 산정'!E1513</f>
        <v>8</v>
      </c>
      <c r="AP29" s="177">
        <f>'환기량 산정'!F1513</f>
        <v>7</v>
      </c>
      <c r="AQ29" s="177">
        <f>'환기량 산정'!G1513</f>
        <v>6</v>
      </c>
      <c r="AR29" s="177">
        <f>'환기량 산정'!H1513</f>
        <v>7</v>
      </c>
      <c r="AS29" s="178">
        <f>'환기량 산정'!I1513</f>
        <v>7</v>
      </c>
      <c r="AT29" s="36" t="s">
        <v>342</v>
      </c>
      <c r="AU29" s="327">
        <f t="shared" ref="AU29:BB29" si="91">ROUND(AU22*AU14*AU20^2*AU19/AU12*(1-AU9/AU20)*AU28,4)</f>
        <v>13.2507</v>
      </c>
      <c r="AV29" s="332">
        <f t="shared" si="91"/>
        <v>13.2507</v>
      </c>
      <c r="AW29" s="332">
        <f t="shared" si="91"/>
        <v>13.2507</v>
      </c>
      <c r="AX29" s="332">
        <f t="shared" si="91"/>
        <v>13.2507</v>
      </c>
      <c r="AY29" s="332">
        <f t="shared" si="91"/>
        <v>13.2507</v>
      </c>
      <c r="AZ29" s="332">
        <f t="shared" si="91"/>
        <v>13.2507</v>
      </c>
      <c r="BA29" s="332">
        <f t="shared" si="91"/>
        <v>13.2507</v>
      </c>
      <c r="BB29" s="338">
        <f t="shared" si="91"/>
        <v>13.2507</v>
      </c>
      <c r="BC29" s="36" t="s">
        <v>342</v>
      </c>
      <c r="BD29" s="327">
        <f t="shared" ref="BD29:BK29" si="92">ROUND(BD22*BD14*BD20^2*BD19/BD12*(1-BD9/BD20)*BD28,4)</f>
        <v>13.6425</v>
      </c>
      <c r="BE29" s="332">
        <f t="shared" si="92"/>
        <v>13.6425</v>
      </c>
      <c r="BF29" s="332">
        <f t="shared" si="92"/>
        <v>13.6425</v>
      </c>
      <c r="BG29" s="332">
        <f t="shared" si="92"/>
        <v>13.6425</v>
      </c>
      <c r="BH29" s="332">
        <f t="shared" si="92"/>
        <v>13.6425</v>
      </c>
      <c r="BI29" s="332">
        <f t="shared" si="92"/>
        <v>13.6425</v>
      </c>
      <c r="BJ29" s="332">
        <f t="shared" si="92"/>
        <v>13.6425</v>
      </c>
      <c r="BK29" s="338">
        <f t="shared" si="92"/>
        <v>13.6425</v>
      </c>
    </row>
    <row r="30" spans="1:63" ht="14.25" thickBot="1">
      <c r="A30" s="36" t="s">
        <v>172</v>
      </c>
      <c r="B30" s="44">
        <f t="shared" ref="B30:I30" si="93">ROUND(B27/B29,2)</f>
        <v>0.67</v>
      </c>
      <c r="C30" s="38">
        <f t="shared" si="93"/>
        <v>-0.48</v>
      </c>
      <c r="D30" s="38">
        <f t="shared" si="93"/>
        <v>-1.83</v>
      </c>
      <c r="E30" s="38">
        <f t="shared" si="93"/>
        <v>-3.07</v>
      </c>
      <c r="F30" s="38">
        <f t="shared" si="93"/>
        <v>-4.34</v>
      </c>
      <c r="G30" s="38">
        <f t="shared" si="93"/>
        <v>-5.4</v>
      </c>
      <c r="H30" s="63">
        <f t="shared" si="93"/>
        <v>-6.7</v>
      </c>
      <c r="I30" s="39">
        <f t="shared" si="93"/>
        <v>-8.0500000000000007</v>
      </c>
      <c r="J30" s="36" t="s">
        <v>172</v>
      </c>
      <c r="K30" s="62">
        <f t="shared" ref="K30:R30" si="94">ROUND(K27/K29,2)</f>
        <v>0.75</v>
      </c>
      <c r="L30" s="38">
        <f t="shared" si="94"/>
        <v>-0.43</v>
      </c>
      <c r="M30" s="38">
        <f t="shared" si="94"/>
        <v>-1.83</v>
      </c>
      <c r="N30" s="38">
        <f t="shared" si="94"/>
        <v>-3.1</v>
      </c>
      <c r="O30" s="38">
        <f t="shared" si="94"/>
        <v>-4.43</v>
      </c>
      <c r="P30" s="38">
        <f t="shared" si="94"/>
        <v>-5.49</v>
      </c>
      <c r="Q30" s="38">
        <f t="shared" si="94"/>
        <v>-6.78</v>
      </c>
      <c r="R30" s="39">
        <f t="shared" si="94"/>
        <v>-8.1300000000000008</v>
      </c>
      <c r="S30" s="181" t="s">
        <v>172</v>
      </c>
      <c r="T30" s="44">
        <f t="shared" ref="T30:AA30" si="95">ROUND(T27/T29,2)</f>
        <v>0.64</v>
      </c>
      <c r="U30" s="38">
        <f t="shared" si="95"/>
        <v>-0.56000000000000005</v>
      </c>
      <c r="V30" s="38">
        <f t="shared" si="95"/>
        <v>-1.92</v>
      </c>
      <c r="W30" s="38">
        <f t="shared" si="95"/>
        <v>-3.17</v>
      </c>
      <c r="X30" s="38">
        <f t="shared" si="95"/>
        <v>-4.5</v>
      </c>
      <c r="Y30" s="38">
        <f t="shared" si="95"/>
        <v>-5.55</v>
      </c>
      <c r="Z30" s="38">
        <f t="shared" si="95"/>
        <v>-6.84</v>
      </c>
      <c r="AA30" s="39">
        <f t="shared" si="95"/>
        <v>-8.19</v>
      </c>
      <c r="AB30" s="7"/>
      <c r="AC30" s="154" t="s">
        <v>410</v>
      </c>
      <c r="AD30" s="155">
        <f>MAX(AD25:AD29)</f>
        <v>5</v>
      </c>
      <c r="AE30" s="156" t="s">
        <v>213</v>
      </c>
      <c r="AF30" s="157" t="str">
        <f>IF(AD30=AD29,IF(AD30=MAX(AD25:AD28),"환기 방재","방재"),"환기")</f>
        <v>방재</v>
      </c>
      <c r="AG30" s="158"/>
      <c r="AH30" s="7"/>
      <c r="AI30" s="7"/>
      <c r="AJ30" s="7"/>
      <c r="AK30" s="69" t="s">
        <v>256</v>
      </c>
      <c r="AL30" s="62">
        <f>'환기량 산정'!B1515</f>
        <v>3</v>
      </c>
      <c r="AM30" s="63">
        <f>'환기량 산정'!C1515</f>
        <v>2</v>
      </c>
      <c r="AN30" s="63">
        <f>'환기량 산정'!D1515</f>
        <v>2</v>
      </c>
      <c r="AO30" s="63">
        <f>'환기량 산정'!E1515</f>
        <v>2</v>
      </c>
      <c r="AP30" s="63">
        <f>'환기량 산정'!F1515</f>
        <v>1</v>
      </c>
      <c r="AQ30" s="63">
        <f>'환기량 산정'!G1515</f>
        <v>1</v>
      </c>
      <c r="AR30" s="63">
        <f>'환기량 산정'!H1515</f>
        <v>1</v>
      </c>
      <c r="AS30" s="64">
        <f>'환기량 산정'!I1515</f>
        <v>1</v>
      </c>
      <c r="AT30" s="36" t="s">
        <v>172</v>
      </c>
      <c r="AU30" s="327">
        <f t="shared" ref="AU30:BB30" si="96">ROUND(AU27/AU29,2)</f>
        <v>2.5099999999999998</v>
      </c>
      <c r="AV30" s="328">
        <f t="shared" si="96"/>
        <v>1.86</v>
      </c>
      <c r="AW30" s="328">
        <f t="shared" si="96"/>
        <v>0.74</v>
      </c>
      <c r="AX30" s="328">
        <f t="shared" si="96"/>
        <v>-0.48</v>
      </c>
      <c r="AY30" s="328">
        <f t="shared" si="96"/>
        <v>-1.79</v>
      </c>
      <c r="AZ30" s="328">
        <f t="shared" si="96"/>
        <v>-2.93</v>
      </c>
      <c r="BA30" s="328">
        <f t="shared" si="96"/>
        <v>-4.2699999999999996</v>
      </c>
      <c r="BB30" s="329">
        <f t="shared" si="96"/>
        <v>-5.68</v>
      </c>
      <c r="BC30" s="36" t="s">
        <v>172</v>
      </c>
      <c r="BD30" s="327">
        <f t="shared" ref="BD30:BK30" si="97">ROUND(BD27/BD29,2)</f>
        <v>1.66</v>
      </c>
      <c r="BE30" s="328">
        <f t="shared" si="97"/>
        <v>0.78</v>
      </c>
      <c r="BF30" s="328">
        <f t="shared" si="97"/>
        <v>-0.45</v>
      </c>
      <c r="BG30" s="328">
        <f t="shared" si="97"/>
        <v>-1.69</v>
      </c>
      <c r="BH30" s="328">
        <f t="shared" si="97"/>
        <v>-3.02</v>
      </c>
      <c r="BI30" s="328">
        <f t="shared" si="97"/>
        <v>-4.13</v>
      </c>
      <c r="BJ30" s="328">
        <f t="shared" si="97"/>
        <v>-5.46</v>
      </c>
      <c r="BK30" s="329">
        <f t="shared" si="97"/>
        <v>-6.84</v>
      </c>
    </row>
    <row r="31" spans="1:63" ht="14.25" thickBot="1">
      <c r="A31" s="49" t="s">
        <v>173</v>
      </c>
      <c r="B31" s="185">
        <f t="shared" ref="B31:I31" si="98">IF(B30&lt;0,0,IF(B30&gt;0,ROUNDUP(B30,0)))</f>
        <v>1</v>
      </c>
      <c r="C31" s="51">
        <f t="shared" si="98"/>
        <v>0</v>
      </c>
      <c r="D31" s="51">
        <f t="shared" si="98"/>
        <v>0</v>
      </c>
      <c r="E31" s="51">
        <f t="shared" si="98"/>
        <v>0</v>
      </c>
      <c r="F31" s="51">
        <f t="shared" si="98"/>
        <v>0</v>
      </c>
      <c r="G31" s="51">
        <f t="shared" si="98"/>
        <v>0</v>
      </c>
      <c r="H31" s="51">
        <f t="shared" si="98"/>
        <v>0</v>
      </c>
      <c r="I31" s="52">
        <f t="shared" si="98"/>
        <v>0</v>
      </c>
      <c r="J31" s="49" t="s">
        <v>173</v>
      </c>
      <c r="K31" s="185">
        <f t="shared" ref="K31:R31" si="99">IF(K30&lt;0,0,IF(K30&gt;0,ROUNDUP(K30,0)))</f>
        <v>1</v>
      </c>
      <c r="L31" s="51">
        <f t="shared" si="99"/>
        <v>0</v>
      </c>
      <c r="M31" s="51">
        <f t="shared" si="99"/>
        <v>0</v>
      </c>
      <c r="N31" s="51">
        <f t="shared" si="99"/>
        <v>0</v>
      </c>
      <c r="O31" s="51">
        <f t="shared" si="99"/>
        <v>0</v>
      </c>
      <c r="P31" s="51">
        <f t="shared" si="99"/>
        <v>0</v>
      </c>
      <c r="Q31" s="51">
        <f t="shared" si="99"/>
        <v>0</v>
      </c>
      <c r="R31" s="52">
        <f t="shared" si="99"/>
        <v>0</v>
      </c>
      <c r="S31" s="194" t="s">
        <v>173</v>
      </c>
      <c r="T31" s="185">
        <f t="shared" ref="T31:AA31" si="100">IF(T30&lt;0,0,IF(T30&gt;0,ROUNDUP(T30,0)))</f>
        <v>1</v>
      </c>
      <c r="U31" s="51">
        <f t="shared" si="100"/>
        <v>0</v>
      </c>
      <c r="V31" s="51">
        <f t="shared" si="100"/>
        <v>0</v>
      </c>
      <c r="W31" s="51">
        <f t="shared" si="100"/>
        <v>0</v>
      </c>
      <c r="X31" s="51">
        <f t="shared" si="100"/>
        <v>0</v>
      </c>
      <c r="Y31" s="51">
        <f t="shared" si="100"/>
        <v>0</v>
      </c>
      <c r="Z31" s="51">
        <f t="shared" si="100"/>
        <v>0</v>
      </c>
      <c r="AA31" s="52">
        <f t="shared" si="100"/>
        <v>0</v>
      </c>
      <c r="AB31" s="7"/>
      <c r="AC31" s="136"/>
      <c r="AD31" s="7"/>
      <c r="AE31" s="7"/>
      <c r="AF31" s="7"/>
      <c r="AG31" s="7"/>
      <c r="AH31" s="7"/>
      <c r="AI31" s="7"/>
      <c r="AJ31" s="7"/>
      <c r="AK31" s="169" t="s">
        <v>257</v>
      </c>
      <c r="AL31" s="175">
        <f>MAX(AL28:AL30)</f>
        <v>15</v>
      </c>
      <c r="AM31" s="162">
        <f t="shared" ref="AM31:AS31" si="101">MAX(AM28:AM30)</f>
        <v>13</v>
      </c>
      <c r="AN31" s="162">
        <f t="shared" si="101"/>
        <v>9</v>
      </c>
      <c r="AO31" s="162">
        <f t="shared" si="101"/>
        <v>10</v>
      </c>
      <c r="AP31" s="162">
        <f t="shared" si="101"/>
        <v>14</v>
      </c>
      <c r="AQ31" s="162">
        <f t="shared" si="101"/>
        <v>14</v>
      </c>
      <c r="AR31" s="162">
        <f t="shared" si="101"/>
        <v>14</v>
      </c>
      <c r="AS31" s="163">
        <f t="shared" si="101"/>
        <v>14</v>
      </c>
      <c r="AT31" s="49" t="s">
        <v>173</v>
      </c>
      <c r="AU31" s="339">
        <f t="shared" ref="AU31:BB31" si="102">IF(AU30&lt;0,0,IF(AU30&gt;0,ROUNDUP(AU30,0)))</f>
        <v>3</v>
      </c>
      <c r="AV31" s="340">
        <f t="shared" si="102"/>
        <v>2</v>
      </c>
      <c r="AW31" s="340">
        <f t="shared" si="102"/>
        <v>1</v>
      </c>
      <c r="AX31" s="340">
        <f t="shared" si="102"/>
        <v>0</v>
      </c>
      <c r="AY31" s="340">
        <f t="shared" si="102"/>
        <v>0</v>
      </c>
      <c r="AZ31" s="340">
        <f t="shared" si="102"/>
        <v>0</v>
      </c>
      <c r="BA31" s="340">
        <f t="shared" si="102"/>
        <v>0</v>
      </c>
      <c r="BB31" s="341">
        <f t="shared" si="102"/>
        <v>0</v>
      </c>
      <c r="BC31" s="49" t="s">
        <v>173</v>
      </c>
      <c r="BD31" s="339">
        <f t="shared" ref="BD31:BK31" si="103">IF(BD30&lt;0,0,IF(BD30&gt;0,ROUNDUP(BD30,0)))</f>
        <v>2</v>
      </c>
      <c r="BE31" s="340">
        <f t="shared" si="103"/>
        <v>1</v>
      </c>
      <c r="BF31" s="340">
        <f t="shared" si="103"/>
        <v>0</v>
      </c>
      <c r="BG31" s="340">
        <f t="shared" si="103"/>
        <v>0</v>
      </c>
      <c r="BH31" s="340">
        <f t="shared" si="103"/>
        <v>0</v>
      </c>
      <c r="BI31" s="340">
        <f t="shared" si="103"/>
        <v>0</v>
      </c>
      <c r="BJ31" s="340">
        <f t="shared" si="103"/>
        <v>0</v>
      </c>
      <c r="BK31" s="341">
        <f t="shared" si="103"/>
        <v>0</v>
      </c>
    </row>
    <row r="32" spans="1:63" ht="14.25" thickBo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255"/>
      <c r="S32" s="7"/>
      <c r="T32" s="7"/>
      <c r="U32" s="7"/>
      <c r="V32" s="7"/>
      <c r="W32" s="7"/>
      <c r="X32" s="7"/>
      <c r="Y32" s="7"/>
      <c r="Z32" s="7"/>
      <c r="AA32" s="7"/>
      <c r="AB32" s="7"/>
      <c r="AC32" s="144" t="s">
        <v>218</v>
      </c>
      <c r="AD32" s="145" t="str">
        <f>IF(AF32&gt;10,"불가",IF(ROUNDDOWN(('환기량 산정'!C17/F3-1),0)*AC21&gt;=AD30,"가능","불가"))</f>
        <v>가능</v>
      </c>
      <c r="AE32" s="131" t="s">
        <v>222</v>
      </c>
      <c r="AF32" s="354">
        <f>ROUND(MAX(AI25:AI28),2)</f>
        <v>2.34</v>
      </c>
      <c r="AG32" s="160" t="str">
        <f>CONCATENATE(," m/s")</f>
        <v xml:space="preserve"> m/s</v>
      </c>
      <c r="AH32" s="7"/>
      <c r="AI32" s="7"/>
      <c r="AJ32" s="7"/>
      <c r="AL32" s="197" t="str">
        <f>IF(AL14&lt;0,IF(AL16&gt;2.78,"OK","AL13 수식 양수로 변경하세요"),IF(AL16&lt;=2.78,"OK","AL13 수식을 음수로 변경하세요"))</f>
        <v>AL13 수식 양수로 변경하세요</v>
      </c>
      <c r="AM32" s="197"/>
      <c r="AT32" s="7"/>
      <c r="AU32" s="7"/>
      <c r="AV32" s="7"/>
      <c r="AW32" s="7"/>
      <c r="AX32" s="7"/>
      <c r="AY32" s="7"/>
      <c r="AZ32" s="7"/>
      <c r="BA32" s="7"/>
      <c r="BB32" s="255"/>
      <c r="BC32" s="7"/>
      <c r="BD32" s="7"/>
      <c r="BE32" s="7"/>
      <c r="BF32" s="7"/>
      <c r="BG32" s="7"/>
      <c r="BH32" s="7"/>
      <c r="BI32" s="7"/>
      <c r="BJ32" s="7"/>
      <c r="BK32" s="255"/>
    </row>
    <row r="33" spans="1:6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255"/>
      <c r="S33" s="7"/>
      <c r="T33" s="7"/>
      <c r="U33" s="7"/>
      <c r="V33" s="7"/>
      <c r="W33" s="7"/>
      <c r="X33" s="7"/>
      <c r="Y33" s="7"/>
      <c r="Z33" s="7"/>
      <c r="AA33" s="7"/>
      <c r="AB33" s="7"/>
      <c r="AH33" s="7"/>
      <c r="AI33" s="7"/>
      <c r="AJ33" s="7"/>
      <c r="AT33" s="7"/>
      <c r="AU33" s="7"/>
      <c r="AV33" s="7"/>
      <c r="AW33" s="7"/>
      <c r="AX33" s="7"/>
      <c r="AY33" s="7"/>
      <c r="AZ33" s="7"/>
      <c r="BA33" s="7"/>
      <c r="BB33" s="255"/>
      <c r="BC33" s="7"/>
      <c r="BD33" s="7"/>
      <c r="BE33" s="7"/>
      <c r="BF33" s="7"/>
      <c r="BG33" s="7"/>
      <c r="BH33" s="7"/>
      <c r="BI33" s="7"/>
      <c r="BJ33" s="7"/>
      <c r="BK33" s="255"/>
    </row>
    <row r="34" spans="1:63">
      <c r="R34" s="72"/>
      <c r="BB34" s="72"/>
      <c r="BK34" s="72"/>
    </row>
    <row r="35" spans="1:63">
      <c r="R35" s="72"/>
      <c r="BB35" s="72"/>
      <c r="BK35" s="72"/>
    </row>
    <row r="36" spans="1:63">
      <c r="R36" s="72"/>
      <c r="BB36" s="72"/>
      <c r="BK36" s="72"/>
    </row>
    <row r="37" spans="1:63" ht="14.25" thickBot="1">
      <c r="A37" s="4" t="s">
        <v>223</v>
      </c>
      <c r="B37" s="10" t="s">
        <v>160</v>
      </c>
      <c r="C37" s="14">
        <f>C3</f>
        <v>1030</v>
      </c>
      <c r="E37" s="12" t="s">
        <v>177</v>
      </c>
      <c r="F37" s="13">
        <f>F3</f>
        <v>140</v>
      </c>
      <c r="G37" s="3" t="s">
        <v>178</v>
      </c>
      <c r="H37" s="7"/>
      <c r="I37" s="7"/>
      <c r="J37" s="4" t="s">
        <v>174</v>
      </c>
      <c r="K37" s="10" t="s">
        <v>175</v>
      </c>
      <c r="L37" s="14">
        <f>L3</f>
        <v>1030</v>
      </c>
      <c r="M37" s="9"/>
      <c r="N37" s="9"/>
      <c r="O37" s="9"/>
      <c r="P37" s="9"/>
      <c r="Q37" s="7"/>
      <c r="R37" s="255"/>
      <c r="S37" s="4" t="s">
        <v>166</v>
      </c>
      <c r="T37" s="10" t="s">
        <v>175</v>
      </c>
      <c r="U37" s="14">
        <f>C3</f>
        <v>1030</v>
      </c>
      <c r="V37" s="9"/>
      <c r="W37" s="9"/>
      <c r="X37" s="9"/>
      <c r="Y37" s="9"/>
      <c r="Z37" s="7"/>
      <c r="AA37" s="7"/>
      <c r="AB37" s="4"/>
      <c r="AC37" s="54" t="s">
        <v>10</v>
      </c>
      <c r="AD37" s="5">
        <f>$B$1</f>
        <v>2222</v>
      </c>
      <c r="AE37" s="6" t="s">
        <v>148</v>
      </c>
      <c r="AF37" s="8" t="s">
        <v>211</v>
      </c>
      <c r="AG37" s="7"/>
      <c r="AH37" s="7"/>
      <c r="AI37" s="7"/>
      <c r="AJ37" s="7"/>
      <c r="AK37" s="4" t="s">
        <v>227</v>
      </c>
      <c r="AL37" s="10"/>
      <c r="AM37" s="174"/>
      <c r="AO37" s="12"/>
      <c r="AP37" s="13"/>
      <c r="AS37" s="9"/>
      <c r="AT37" s="4" t="s">
        <v>424</v>
      </c>
      <c r="AU37" s="10" t="s">
        <v>175</v>
      </c>
      <c r="AV37" s="14">
        <f>AV3</f>
        <v>1030</v>
      </c>
      <c r="AW37" s="9"/>
      <c r="AX37" s="9"/>
      <c r="AY37" s="9"/>
      <c r="AZ37" s="9"/>
      <c r="BA37" s="7"/>
      <c r="BB37" s="255"/>
      <c r="BC37" s="4" t="s">
        <v>424</v>
      </c>
      <c r="BD37" s="10" t="s">
        <v>175</v>
      </c>
      <c r="BE37" s="14">
        <f>BE3</f>
        <v>1030</v>
      </c>
      <c r="BF37" s="9"/>
      <c r="BG37" s="9"/>
      <c r="BH37" s="9"/>
      <c r="BI37" s="9"/>
      <c r="BJ37" s="7"/>
      <c r="BK37" s="255"/>
    </row>
    <row r="38" spans="1:63">
      <c r="A38" s="1523" t="s">
        <v>167</v>
      </c>
      <c r="B38" s="16"/>
      <c r="C38" s="17"/>
      <c r="D38" s="18" t="str">
        <f>'환기량 산정'!G6</f>
        <v>진주</v>
      </c>
      <c r="E38" s="19" t="str">
        <f>'환기량 산정'!I6</f>
        <v>⇒</v>
      </c>
      <c r="F38" s="18" t="str">
        <f>'환기량 산정'!J6</f>
        <v>마산</v>
      </c>
      <c r="G38" s="19" t="s">
        <v>9</v>
      </c>
      <c r="H38" s="17"/>
      <c r="I38" s="20"/>
      <c r="J38" s="128" t="s">
        <v>167</v>
      </c>
      <c r="K38" s="16"/>
      <c r="L38" s="17"/>
      <c r="M38" s="18" t="str">
        <f>D38</f>
        <v>진주</v>
      </c>
      <c r="N38" s="19" t="str">
        <f>E38</f>
        <v>⇒</v>
      </c>
      <c r="O38" s="18" t="str">
        <f>F38</f>
        <v>마산</v>
      </c>
      <c r="P38" s="19" t="s">
        <v>9</v>
      </c>
      <c r="Q38" s="17"/>
      <c r="R38" s="20"/>
      <c r="S38" s="191" t="s">
        <v>167</v>
      </c>
      <c r="T38" s="16"/>
      <c r="U38" s="17"/>
      <c r="V38" s="18" t="str">
        <f>M38</f>
        <v>진주</v>
      </c>
      <c r="W38" s="19" t="str">
        <f>N38</f>
        <v>⇒</v>
      </c>
      <c r="X38" s="18" t="str">
        <f>O38</f>
        <v>마산</v>
      </c>
      <c r="Y38" s="19" t="s">
        <v>9</v>
      </c>
      <c r="Z38" s="17"/>
      <c r="AA38" s="20"/>
      <c r="AB38" s="191" t="s">
        <v>167</v>
      </c>
      <c r="AC38" s="55"/>
      <c r="AD38" s="19"/>
      <c r="AE38" s="18" t="str">
        <f>D38</f>
        <v>진주</v>
      </c>
      <c r="AF38" s="19" t="str">
        <f>E38</f>
        <v>⇒</v>
      </c>
      <c r="AG38" s="18" t="str">
        <f>F38</f>
        <v>마산</v>
      </c>
      <c r="AH38" s="19" t="str">
        <f>G38</f>
        <v>구 간</v>
      </c>
      <c r="AI38" s="19"/>
      <c r="AJ38" s="56"/>
      <c r="AK38" s="1523" t="s">
        <v>167</v>
      </c>
      <c r="AL38" s="16"/>
      <c r="AM38" s="17"/>
      <c r="AN38" s="18" t="str">
        <f>D38</f>
        <v>진주</v>
      </c>
      <c r="AO38" s="173" t="str">
        <f>E38</f>
        <v>⇒</v>
      </c>
      <c r="AP38" s="18" t="str">
        <f>F38</f>
        <v>마산</v>
      </c>
      <c r="AQ38" s="19" t="s">
        <v>9</v>
      </c>
      <c r="AR38" s="17"/>
      <c r="AS38" s="20"/>
      <c r="AT38" s="128" t="s">
        <v>167</v>
      </c>
      <c r="AU38" s="16"/>
      <c r="AV38" s="17"/>
      <c r="AW38" s="18" t="str">
        <f>AN38</f>
        <v>진주</v>
      </c>
      <c r="AX38" s="19" t="str">
        <f>AO38</f>
        <v>⇒</v>
      </c>
      <c r="AY38" s="18" t="str">
        <f>AP38</f>
        <v>마산</v>
      </c>
      <c r="AZ38" s="19" t="s">
        <v>9</v>
      </c>
      <c r="BA38" s="17"/>
      <c r="BB38" s="20"/>
      <c r="BC38" s="128" t="s">
        <v>167</v>
      </c>
      <c r="BD38" s="16"/>
      <c r="BE38" s="17"/>
      <c r="BF38" s="18" t="str">
        <f>AW38</f>
        <v>진주</v>
      </c>
      <c r="BG38" s="19" t="str">
        <f>AX38</f>
        <v>⇒</v>
      </c>
      <c r="BH38" s="18" t="str">
        <f>AY38</f>
        <v>마산</v>
      </c>
      <c r="BI38" s="19" t="s">
        <v>9</v>
      </c>
      <c r="BJ38" s="17"/>
      <c r="BK38" s="20"/>
    </row>
    <row r="39" spans="1:63">
      <c r="A39" s="1524"/>
      <c r="B39" s="21" t="s">
        <v>168</v>
      </c>
      <c r="C39" s="22"/>
      <c r="D39" s="22"/>
      <c r="E39" s="27" t="s">
        <v>169</v>
      </c>
      <c r="F39" s="25"/>
      <c r="G39" s="22"/>
      <c r="H39" s="28"/>
      <c r="I39" s="29"/>
      <c r="J39" s="129"/>
      <c r="K39" s="21" t="s">
        <v>168</v>
      </c>
      <c r="L39" s="22"/>
      <c r="M39" s="23"/>
      <c r="N39" s="24" t="str">
        <f>N5</f>
        <v>일산화탄소 (CO)</v>
      </c>
      <c r="O39" s="25"/>
      <c r="P39" s="23"/>
      <c r="Q39" s="25"/>
      <c r="R39" s="26"/>
      <c r="S39" s="192"/>
      <c r="T39" s="21" t="s">
        <v>168</v>
      </c>
      <c r="U39" s="22"/>
      <c r="V39" s="23"/>
      <c r="W39" s="24" t="str">
        <f>W5</f>
        <v>질소산화물 (NOx)</v>
      </c>
      <c r="Y39" s="23"/>
      <c r="Z39" s="25"/>
      <c r="AA39" s="26"/>
      <c r="AB39" s="192"/>
      <c r="AC39" s="1529" t="str">
        <f>AC5</f>
        <v>방재</v>
      </c>
      <c r="AD39" s="1530"/>
      <c r="AE39" s="1530"/>
      <c r="AF39" s="1530"/>
      <c r="AG39" s="1530"/>
      <c r="AH39" s="1530"/>
      <c r="AI39" s="1530"/>
      <c r="AJ39" s="1531"/>
      <c r="AK39" s="1524"/>
      <c r="AL39" s="21" t="s">
        <v>168</v>
      </c>
      <c r="AM39" s="22"/>
      <c r="AN39" s="23"/>
      <c r="AO39" s="23"/>
      <c r="AP39" s="24"/>
      <c r="AQ39" s="23"/>
      <c r="AR39" s="25"/>
      <c r="AS39" s="26"/>
      <c r="AT39" s="129"/>
      <c r="AU39" s="1526" t="s">
        <v>517</v>
      </c>
      <c r="AV39" s="1527"/>
      <c r="AW39" s="1527"/>
      <c r="AX39" s="1527"/>
      <c r="AY39" s="1527"/>
      <c r="AZ39" s="1527"/>
      <c r="BA39" s="1527"/>
      <c r="BB39" s="1528"/>
      <c r="BC39" s="129"/>
      <c r="BD39" s="1526" t="str">
        <f>BD5</f>
        <v>최소풍속</v>
      </c>
      <c r="BE39" s="1527"/>
      <c r="BF39" s="1527"/>
      <c r="BG39" s="1527"/>
      <c r="BH39" s="1527"/>
      <c r="BI39" s="1527"/>
      <c r="BJ39" s="1527"/>
      <c r="BK39" s="1528"/>
    </row>
    <row r="40" spans="1:63">
      <c r="A40" s="30" t="s">
        <v>106</v>
      </c>
      <c r="B40" s="184">
        <v>10</v>
      </c>
      <c r="C40" s="34">
        <v>20</v>
      </c>
      <c r="D40" s="34">
        <v>30</v>
      </c>
      <c r="E40" s="34">
        <v>40</v>
      </c>
      <c r="F40" s="34">
        <v>50</v>
      </c>
      <c r="G40" s="34">
        <v>60</v>
      </c>
      <c r="H40" s="34">
        <v>70</v>
      </c>
      <c r="I40" s="35">
        <v>80</v>
      </c>
      <c r="J40" s="30" t="s">
        <v>106</v>
      </c>
      <c r="K40" s="186">
        <v>10</v>
      </c>
      <c r="L40" s="32">
        <v>20</v>
      </c>
      <c r="M40" s="32">
        <v>30</v>
      </c>
      <c r="N40" s="32">
        <v>40</v>
      </c>
      <c r="O40" s="32">
        <v>50</v>
      </c>
      <c r="P40" s="32">
        <v>60</v>
      </c>
      <c r="Q40" s="32">
        <v>70</v>
      </c>
      <c r="R40" s="33">
        <v>80</v>
      </c>
      <c r="S40" s="254" t="s">
        <v>106</v>
      </c>
      <c r="T40" s="184">
        <v>10</v>
      </c>
      <c r="U40" s="32">
        <v>20</v>
      </c>
      <c r="V40" s="32">
        <v>30</v>
      </c>
      <c r="W40" s="32">
        <v>40</v>
      </c>
      <c r="X40" s="32">
        <v>50</v>
      </c>
      <c r="Y40" s="32">
        <v>60</v>
      </c>
      <c r="Z40" s="32">
        <v>70</v>
      </c>
      <c r="AA40" s="33">
        <v>80</v>
      </c>
      <c r="AB40" s="193" t="s">
        <v>106</v>
      </c>
      <c r="AC40" s="58">
        <f t="shared" ref="AC40:AJ40" si="104">B$40</f>
        <v>10</v>
      </c>
      <c r="AD40" s="59">
        <f t="shared" si="104"/>
        <v>20</v>
      </c>
      <c r="AE40" s="59">
        <f t="shared" si="104"/>
        <v>30</v>
      </c>
      <c r="AF40" s="59">
        <f t="shared" si="104"/>
        <v>40</v>
      </c>
      <c r="AG40" s="59">
        <f t="shared" si="104"/>
        <v>50</v>
      </c>
      <c r="AH40" s="137">
        <f t="shared" si="104"/>
        <v>60</v>
      </c>
      <c r="AI40" s="59">
        <f t="shared" si="104"/>
        <v>70</v>
      </c>
      <c r="AJ40" s="60">
        <f t="shared" si="104"/>
        <v>80</v>
      </c>
      <c r="AK40" s="30" t="s">
        <v>106</v>
      </c>
      <c r="AL40" s="184">
        <v>10</v>
      </c>
      <c r="AM40" s="32">
        <v>20</v>
      </c>
      <c r="AN40" s="32">
        <v>30</v>
      </c>
      <c r="AO40" s="32">
        <v>40</v>
      </c>
      <c r="AP40" s="32">
        <v>50</v>
      </c>
      <c r="AQ40" s="32">
        <v>60</v>
      </c>
      <c r="AR40" s="32">
        <v>70</v>
      </c>
      <c r="AS40" s="33">
        <v>80</v>
      </c>
      <c r="AT40" s="30" t="s">
        <v>106</v>
      </c>
      <c r="AU40" s="324">
        <v>10</v>
      </c>
      <c r="AV40" s="325">
        <v>20</v>
      </c>
      <c r="AW40" s="325">
        <v>30</v>
      </c>
      <c r="AX40" s="325">
        <v>40</v>
      </c>
      <c r="AY40" s="325">
        <v>50</v>
      </c>
      <c r="AZ40" s="325">
        <v>60</v>
      </c>
      <c r="BA40" s="325">
        <v>70</v>
      </c>
      <c r="BB40" s="326">
        <v>80</v>
      </c>
      <c r="BC40" s="30" t="s">
        <v>106</v>
      </c>
      <c r="BD40" s="324">
        <v>10</v>
      </c>
      <c r="BE40" s="325">
        <v>20</v>
      </c>
      <c r="BF40" s="325">
        <v>30</v>
      </c>
      <c r="BG40" s="325">
        <v>40</v>
      </c>
      <c r="BH40" s="325">
        <v>50</v>
      </c>
      <c r="BI40" s="325">
        <v>60</v>
      </c>
      <c r="BJ40" s="325">
        <v>70</v>
      </c>
      <c r="BK40" s="326">
        <v>80</v>
      </c>
    </row>
    <row r="41" spans="1:63">
      <c r="A41" s="36" t="s">
        <v>107</v>
      </c>
      <c r="B41" s="44">
        <f t="shared" ref="B41:I41" si="105">ROUND(B40/3.6,2)</f>
        <v>2.78</v>
      </c>
      <c r="C41" s="40">
        <f t="shared" si="105"/>
        <v>5.56</v>
      </c>
      <c r="D41" s="40">
        <f t="shared" si="105"/>
        <v>8.33</v>
      </c>
      <c r="E41" s="40">
        <f t="shared" si="105"/>
        <v>11.11</v>
      </c>
      <c r="F41" s="40">
        <f t="shared" si="105"/>
        <v>13.89</v>
      </c>
      <c r="G41" s="139">
        <f t="shared" si="105"/>
        <v>16.670000000000002</v>
      </c>
      <c r="H41" s="40">
        <f t="shared" si="105"/>
        <v>19.440000000000001</v>
      </c>
      <c r="I41" s="41">
        <f t="shared" si="105"/>
        <v>22.22</v>
      </c>
      <c r="J41" s="36" t="s">
        <v>107</v>
      </c>
      <c r="K41" s="62">
        <f t="shared" ref="K41:R41" si="106">ROUND(K40/3.6,2)</f>
        <v>2.78</v>
      </c>
      <c r="L41" s="38">
        <f t="shared" si="106"/>
        <v>5.56</v>
      </c>
      <c r="M41" s="38">
        <f t="shared" si="106"/>
        <v>8.33</v>
      </c>
      <c r="N41" s="38">
        <f t="shared" si="106"/>
        <v>11.11</v>
      </c>
      <c r="O41" s="38">
        <f t="shared" si="106"/>
        <v>13.89</v>
      </c>
      <c r="P41" s="38">
        <f t="shared" si="106"/>
        <v>16.670000000000002</v>
      </c>
      <c r="Q41" s="38">
        <f t="shared" si="106"/>
        <v>19.440000000000001</v>
      </c>
      <c r="R41" s="39">
        <f t="shared" si="106"/>
        <v>22.22</v>
      </c>
      <c r="S41" s="181" t="s">
        <v>107</v>
      </c>
      <c r="T41" s="44">
        <f t="shared" ref="T41:AA41" si="107">ROUND(T40/3.6,2)</f>
        <v>2.78</v>
      </c>
      <c r="U41" s="38">
        <f t="shared" si="107"/>
        <v>5.56</v>
      </c>
      <c r="V41" s="38">
        <f t="shared" si="107"/>
        <v>8.33</v>
      </c>
      <c r="W41" s="38">
        <f t="shared" si="107"/>
        <v>11.11</v>
      </c>
      <c r="X41" s="38">
        <f t="shared" si="107"/>
        <v>13.89</v>
      </c>
      <c r="Y41" s="38">
        <f t="shared" si="107"/>
        <v>16.670000000000002</v>
      </c>
      <c r="Z41" s="38">
        <f t="shared" si="107"/>
        <v>19.440000000000001</v>
      </c>
      <c r="AA41" s="39">
        <f t="shared" si="107"/>
        <v>22.22</v>
      </c>
      <c r="AB41" s="181" t="s">
        <v>121</v>
      </c>
      <c r="AC41" s="893">
        <f>AC7</f>
        <v>2.25</v>
      </c>
      <c r="AD41" s="38">
        <f t="shared" ref="AD41:AJ41" si="108">AC41</f>
        <v>2.25</v>
      </c>
      <c r="AE41" s="38">
        <f t="shared" si="108"/>
        <v>2.25</v>
      </c>
      <c r="AF41" s="38">
        <f t="shared" si="108"/>
        <v>2.25</v>
      </c>
      <c r="AG41" s="38">
        <f t="shared" si="108"/>
        <v>2.25</v>
      </c>
      <c r="AH41" s="63">
        <f t="shared" si="108"/>
        <v>2.25</v>
      </c>
      <c r="AI41" s="38">
        <f t="shared" si="108"/>
        <v>2.25</v>
      </c>
      <c r="AJ41" s="39">
        <f t="shared" si="108"/>
        <v>2.25</v>
      </c>
      <c r="AK41" s="164" t="s">
        <v>246</v>
      </c>
      <c r="AL41" s="40">
        <f t="shared" ref="AL41:AS41" si="109">B65</f>
        <v>1</v>
      </c>
      <c r="AM41" s="40">
        <f t="shared" si="109"/>
        <v>0</v>
      </c>
      <c r="AN41" s="40">
        <f t="shared" si="109"/>
        <v>0</v>
      </c>
      <c r="AO41" s="40">
        <f t="shared" si="109"/>
        <v>0</v>
      </c>
      <c r="AP41" s="40">
        <f t="shared" si="109"/>
        <v>0</v>
      </c>
      <c r="AQ41" s="40">
        <f t="shared" si="109"/>
        <v>0</v>
      </c>
      <c r="AR41" s="139">
        <f t="shared" si="109"/>
        <v>0</v>
      </c>
      <c r="AS41" s="41">
        <f t="shared" si="109"/>
        <v>0</v>
      </c>
      <c r="AT41" s="36" t="s">
        <v>107</v>
      </c>
      <c r="AU41" s="327">
        <f t="shared" ref="AU41:BB41" si="110">ROUND(AU40/3.6,2)</f>
        <v>2.78</v>
      </c>
      <c r="AV41" s="328">
        <f t="shared" si="110"/>
        <v>5.56</v>
      </c>
      <c r="AW41" s="328">
        <f t="shared" si="110"/>
        <v>8.33</v>
      </c>
      <c r="AX41" s="328">
        <f t="shared" si="110"/>
        <v>11.11</v>
      </c>
      <c r="AY41" s="328">
        <f t="shared" si="110"/>
        <v>13.89</v>
      </c>
      <c r="AZ41" s="328">
        <f t="shared" si="110"/>
        <v>16.670000000000002</v>
      </c>
      <c r="BA41" s="328">
        <f t="shared" si="110"/>
        <v>19.440000000000001</v>
      </c>
      <c r="BB41" s="329">
        <f t="shared" si="110"/>
        <v>22.22</v>
      </c>
      <c r="BC41" s="36" t="s">
        <v>107</v>
      </c>
      <c r="BD41" s="327">
        <f t="shared" ref="BD41:BK41" si="111">ROUND(BD40/3.6,2)</f>
        <v>2.78</v>
      </c>
      <c r="BE41" s="328">
        <f t="shared" si="111"/>
        <v>5.56</v>
      </c>
      <c r="BF41" s="328">
        <f t="shared" si="111"/>
        <v>8.33</v>
      </c>
      <c r="BG41" s="328">
        <f t="shared" si="111"/>
        <v>11.11</v>
      </c>
      <c r="BH41" s="328">
        <f t="shared" si="111"/>
        <v>13.89</v>
      </c>
      <c r="BI41" s="328">
        <f t="shared" si="111"/>
        <v>16.670000000000002</v>
      </c>
      <c r="BJ41" s="328">
        <f t="shared" si="111"/>
        <v>19.440000000000001</v>
      </c>
      <c r="BK41" s="329">
        <f t="shared" si="111"/>
        <v>22.22</v>
      </c>
    </row>
    <row r="42" spans="1:63">
      <c r="A42" s="36" t="s">
        <v>108</v>
      </c>
      <c r="B42" s="180">
        <f>'환기량 산정'!B1528</f>
        <v>10</v>
      </c>
      <c r="C42" s="42">
        <f>'환기량 산정'!C1528</f>
        <v>16</v>
      </c>
      <c r="D42" s="42">
        <f>'환기량 산정'!D1528</f>
        <v>17</v>
      </c>
      <c r="E42" s="42">
        <f>'환기량 산정'!E1528</f>
        <v>18</v>
      </c>
      <c r="F42" s="42">
        <f>'환기량 산정'!F1528</f>
        <v>25</v>
      </c>
      <c r="G42" s="61">
        <f>'환기량 산정'!G1528</f>
        <v>25</v>
      </c>
      <c r="H42" s="42">
        <f>'환기량 산정'!H1528</f>
        <v>25</v>
      </c>
      <c r="I42" s="43">
        <f>'환기량 산정'!I1528</f>
        <v>26</v>
      </c>
      <c r="J42" s="36" t="s">
        <v>108</v>
      </c>
      <c r="K42" s="187">
        <f>'환기량 산정'!B1530</f>
        <v>29</v>
      </c>
      <c r="L42" s="42">
        <f>'환기량 산정'!C1530</f>
        <v>28</v>
      </c>
      <c r="M42" s="42">
        <f>'환기량 산정'!D1530</f>
        <v>21</v>
      </c>
      <c r="N42" s="42">
        <f>'환기량 산정'!E1530</f>
        <v>19</v>
      </c>
      <c r="O42" s="42">
        <f>'환기량 산정'!F1530</f>
        <v>18</v>
      </c>
      <c r="P42" s="42">
        <f>'환기량 산정'!G1530</f>
        <v>17</v>
      </c>
      <c r="Q42" s="42">
        <f>'환기량 산정'!H1530</f>
        <v>17</v>
      </c>
      <c r="R42" s="43">
        <f>'환기량 산정'!I1530</f>
        <v>19</v>
      </c>
      <c r="S42" s="181" t="s">
        <v>108</v>
      </c>
      <c r="T42" s="180">
        <f>'환기량 산정'!B1532</f>
        <v>5</v>
      </c>
      <c r="U42" s="42">
        <f>'환기량 산정'!C1532</f>
        <v>4</v>
      </c>
      <c r="V42" s="42">
        <f>'환기량 산정'!D1532</f>
        <v>4</v>
      </c>
      <c r="W42" s="42">
        <f>'환기량 산정'!E1532</f>
        <v>3</v>
      </c>
      <c r="X42" s="42">
        <f>'환기량 산정'!F1532</f>
        <v>3</v>
      </c>
      <c r="Y42" s="42">
        <f>'환기량 산정'!G1532</f>
        <v>3</v>
      </c>
      <c r="Z42" s="42">
        <f>'환기량 산정'!H1532</f>
        <v>4</v>
      </c>
      <c r="AA42" s="43">
        <f>'환기량 산정'!I1532</f>
        <v>4</v>
      </c>
      <c r="AB42" s="181" t="s">
        <v>111</v>
      </c>
      <c r="AC42" s="44">
        <f>'환기량 산정'!B1521</f>
        <v>2119</v>
      </c>
      <c r="AD42" s="38">
        <f>'환기량 산정'!C1521</f>
        <v>3072</v>
      </c>
      <c r="AE42" s="38">
        <f>'환기량 산정'!D1521</f>
        <v>3558</v>
      </c>
      <c r="AF42" s="38">
        <f>'환기량 산정'!E1521</f>
        <v>3733</v>
      </c>
      <c r="AG42" s="38">
        <f>'환기량 산정'!F1521</f>
        <v>3888</v>
      </c>
      <c r="AH42" s="38">
        <f>'환기량 산정'!G1521</f>
        <v>3850</v>
      </c>
      <c r="AI42" s="38">
        <f>'환기량 산정'!H1521</f>
        <v>3811</v>
      </c>
      <c r="AJ42" s="39">
        <f>'환기량 산정'!I1521</f>
        <v>3888</v>
      </c>
      <c r="AK42" s="69" t="s">
        <v>247</v>
      </c>
      <c r="AL42" s="44">
        <f t="shared" ref="AL42:AS42" si="112">K65</f>
        <v>1</v>
      </c>
      <c r="AM42" s="38">
        <f t="shared" si="112"/>
        <v>0</v>
      </c>
      <c r="AN42" s="38">
        <f t="shared" si="112"/>
        <v>0</v>
      </c>
      <c r="AO42" s="38">
        <f t="shared" si="112"/>
        <v>0</v>
      </c>
      <c r="AP42" s="38">
        <f t="shared" si="112"/>
        <v>0</v>
      </c>
      <c r="AQ42" s="38">
        <f t="shared" si="112"/>
        <v>0</v>
      </c>
      <c r="AR42" s="63">
        <f t="shared" si="112"/>
        <v>0</v>
      </c>
      <c r="AS42" s="39">
        <f t="shared" si="112"/>
        <v>0</v>
      </c>
      <c r="AT42" s="36" t="s">
        <v>108</v>
      </c>
      <c r="AU42" s="330">
        <f>'환기량 산정'!H1541</f>
        <v>45</v>
      </c>
      <c r="AV42" s="331">
        <f t="shared" ref="AV42:BB42" si="113">AU42</f>
        <v>45</v>
      </c>
      <c r="AW42" s="331">
        <f t="shared" si="113"/>
        <v>45</v>
      </c>
      <c r="AX42" s="331">
        <f t="shared" si="113"/>
        <v>45</v>
      </c>
      <c r="AY42" s="331">
        <f t="shared" si="113"/>
        <v>45</v>
      </c>
      <c r="AZ42" s="331">
        <f t="shared" si="113"/>
        <v>45</v>
      </c>
      <c r="BA42" s="331">
        <f t="shared" si="113"/>
        <v>45</v>
      </c>
      <c r="BB42" s="343">
        <f t="shared" si="113"/>
        <v>45</v>
      </c>
      <c r="BC42" s="36" t="s">
        <v>108</v>
      </c>
      <c r="BD42" s="330">
        <f>'환기량 산정'!H1546</f>
        <v>0</v>
      </c>
      <c r="BE42" s="331">
        <f t="shared" ref="BE42:BK42" si="114">BD42</f>
        <v>0</v>
      </c>
      <c r="BF42" s="331">
        <f t="shared" si="114"/>
        <v>0</v>
      </c>
      <c r="BG42" s="331">
        <f t="shared" si="114"/>
        <v>0</v>
      </c>
      <c r="BH42" s="331">
        <f t="shared" si="114"/>
        <v>0</v>
      </c>
      <c r="BI42" s="331">
        <f t="shared" si="114"/>
        <v>0</v>
      </c>
      <c r="BJ42" s="331">
        <f t="shared" si="114"/>
        <v>0</v>
      </c>
      <c r="BK42" s="343">
        <f t="shared" si="114"/>
        <v>0</v>
      </c>
    </row>
    <row r="43" spans="1:63">
      <c r="A43" s="36" t="s">
        <v>109</v>
      </c>
      <c r="B43" s="44">
        <f t="shared" ref="B43:I43" si="115">ROUND(B42/B46,4)</f>
        <v>0.1704</v>
      </c>
      <c r="C43" s="38">
        <f t="shared" si="115"/>
        <v>0.2727</v>
      </c>
      <c r="D43" s="38">
        <f t="shared" si="115"/>
        <v>0.28970000000000001</v>
      </c>
      <c r="E43" s="38">
        <f t="shared" si="115"/>
        <v>0.30680000000000002</v>
      </c>
      <c r="F43" s="38">
        <f t="shared" si="115"/>
        <v>0.42609999999999998</v>
      </c>
      <c r="G43" s="63">
        <f t="shared" si="115"/>
        <v>0.42609999999999998</v>
      </c>
      <c r="H43" s="38">
        <f t="shared" si="115"/>
        <v>0.42609999999999998</v>
      </c>
      <c r="I43" s="39">
        <f t="shared" si="115"/>
        <v>0.44309999999999999</v>
      </c>
      <c r="J43" s="36" t="s">
        <v>109</v>
      </c>
      <c r="K43" s="62">
        <f t="shared" ref="K43:R43" si="116">ROUND(K42/K46,4)</f>
        <v>0.49430000000000002</v>
      </c>
      <c r="L43" s="38">
        <f t="shared" si="116"/>
        <v>0.47720000000000001</v>
      </c>
      <c r="M43" s="38">
        <f t="shared" si="116"/>
        <v>0.3579</v>
      </c>
      <c r="N43" s="38">
        <f t="shared" si="116"/>
        <v>0.32379999999999998</v>
      </c>
      <c r="O43" s="38">
        <f t="shared" si="116"/>
        <v>0.30680000000000002</v>
      </c>
      <c r="P43" s="38">
        <f t="shared" si="116"/>
        <v>0.28970000000000001</v>
      </c>
      <c r="Q43" s="38">
        <f t="shared" si="116"/>
        <v>0.28970000000000001</v>
      </c>
      <c r="R43" s="39">
        <f t="shared" si="116"/>
        <v>0.32379999999999998</v>
      </c>
      <c r="S43" s="181" t="s">
        <v>109</v>
      </c>
      <c r="T43" s="44">
        <f t="shared" ref="T43:AA43" si="117">ROUND(T42/T46,4)</f>
        <v>8.5199999999999998E-2</v>
      </c>
      <c r="U43" s="38">
        <f t="shared" si="117"/>
        <v>6.8199999999999997E-2</v>
      </c>
      <c r="V43" s="38">
        <f t="shared" si="117"/>
        <v>6.8199999999999997E-2</v>
      </c>
      <c r="W43" s="38">
        <f t="shared" si="117"/>
        <v>5.11E-2</v>
      </c>
      <c r="X43" s="38">
        <f t="shared" si="117"/>
        <v>5.11E-2</v>
      </c>
      <c r="Y43" s="38">
        <f t="shared" si="117"/>
        <v>5.11E-2</v>
      </c>
      <c r="Z43" s="38">
        <f t="shared" si="117"/>
        <v>6.8199999999999997E-2</v>
      </c>
      <c r="AA43" s="39">
        <f t="shared" si="117"/>
        <v>6.8199999999999997E-2</v>
      </c>
      <c r="AB43" s="36" t="s">
        <v>535</v>
      </c>
      <c r="AC43" s="37">
        <f>차량정체길이산정!B18</f>
        <v>260</v>
      </c>
      <c r="AD43" s="38">
        <f>차량정체길이산정!C18</f>
        <v>260</v>
      </c>
      <c r="AE43" s="38">
        <f>차량정체길이산정!D18</f>
        <v>260</v>
      </c>
      <c r="AF43" s="38">
        <f>차량정체길이산정!E18</f>
        <v>260</v>
      </c>
      <c r="AG43" s="38">
        <f>차량정체길이산정!F18</f>
        <v>260</v>
      </c>
      <c r="AH43" s="63">
        <f>차량정체길이산정!G18</f>
        <v>251</v>
      </c>
      <c r="AI43" s="38">
        <f>차량정체길이산정!H18</f>
        <v>240</v>
      </c>
      <c r="AJ43" s="39">
        <f>차량정체길이산정!I18</f>
        <v>239</v>
      </c>
      <c r="AK43" s="69">
        <f>차량정체길이산정!J18</f>
        <v>0</v>
      </c>
      <c r="AL43" s="44">
        <f>차량정체길이산정!K18</f>
        <v>0</v>
      </c>
      <c r="AM43" s="38">
        <f>차량정체길이산정!L18</f>
        <v>0</v>
      </c>
      <c r="AN43" s="38">
        <f>차량정체길이산정!M18</f>
        <v>0</v>
      </c>
      <c r="AO43" s="38">
        <f>차량정체길이산정!N18</f>
        <v>0</v>
      </c>
      <c r="AP43" s="38">
        <f>차량정체길이산정!O18</f>
        <v>0</v>
      </c>
      <c r="AQ43" s="38">
        <f>차량정체길이산정!P18</f>
        <v>0</v>
      </c>
      <c r="AR43" s="63">
        <f>차량정체길이산정!Q18</f>
        <v>0</v>
      </c>
      <c r="AS43" s="39">
        <f>차량정체길이산정!R18</f>
        <v>0</v>
      </c>
      <c r="AT43" s="36">
        <f>차량정체길이산정!S18</f>
        <v>0</v>
      </c>
      <c r="AU43" s="327">
        <f>차량정체길이산정!T18</f>
        <v>0</v>
      </c>
      <c r="AV43" s="328">
        <f>차량정체길이산정!U18</f>
        <v>0</v>
      </c>
      <c r="AW43" s="328">
        <f>차량정체길이산정!V18</f>
        <v>0</v>
      </c>
      <c r="AX43" s="328">
        <f>차량정체길이산정!W18</f>
        <v>0</v>
      </c>
      <c r="AY43" s="328">
        <f>차량정체길이산정!X18</f>
        <v>0</v>
      </c>
      <c r="AZ43" s="328">
        <f>차량정체길이산정!Y18</f>
        <v>0</v>
      </c>
      <c r="BA43" s="328">
        <f>차량정체길이산정!Z18</f>
        <v>0</v>
      </c>
      <c r="BB43" s="329">
        <f>차량정체길이산정!AA18</f>
        <v>0</v>
      </c>
      <c r="BC43" s="36">
        <f>차량정체길이산정!AB18</f>
        <v>0</v>
      </c>
      <c r="BD43" s="327">
        <f>차량정체길이산정!AC18</f>
        <v>0</v>
      </c>
      <c r="BE43" s="328">
        <f>차량정체길이산정!AD18</f>
        <v>0</v>
      </c>
      <c r="BF43" s="328">
        <f>차량정체길이산정!AE18</f>
        <v>0</v>
      </c>
      <c r="BG43" s="328">
        <f>차량정체길이산정!AF18</f>
        <v>0</v>
      </c>
      <c r="BH43" s="328">
        <f>차량정체길이산정!AG18</f>
        <v>0</v>
      </c>
      <c r="BI43" s="328">
        <f>차량정체길이산정!AH18</f>
        <v>0</v>
      </c>
      <c r="BJ43" s="328">
        <f>차량정체길이산정!AI18</f>
        <v>0</v>
      </c>
      <c r="BK43" s="329">
        <f>차량정체길이산정!AJ18</f>
        <v>0</v>
      </c>
    </row>
    <row r="44" spans="1:63" ht="13.5" customHeight="1">
      <c r="A44" s="36" t="s">
        <v>110</v>
      </c>
      <c r="B44" s="360">
        <f>'환기량 산정'!I1490</f>
        <v>2.5</v>
      </c>
      <c r="C44" s="361">
        <f t="shared" ref="C44:I44" si="118">B44</f>
        <v>2.5</v>
      </c>
      <c r="D44" s="361">
        <f t="shared" si="118"/>
        <v>2.5</v>
      </c>
      <c r="E44" s="361">
        <f t="shared" si="118"/>
        <v>2.5</v>
      </c>
      <c r="F44" s="361">
        <f t="shared" si="118"/>
        <v>2.5</v>
      </c>
      <c r="G44" s="362">
        <f t="shared" si="118"/>
        <v>2.5</v>
      </c>
      <c r="H44" s="361">
        <f t="shared" si="118"/>
        <v>2.5</v>
      </c>
      <c r="I44" s="363">
        <f t="shared" si="118"/>
        <v>2.5</v>
      </c>
      <c r="J44" s="36" t="s">
        <v>110</v>
      </c>
      <c r="K44" s="364">
        <f>K10</f>
        <v>2.5</v>
      </c>
      <c r="L44" s="361">
        <f t="shared" ref="L44:R44" si="119">K44</f>
        <v>2.5</v>
      </c>
      <c r="M44" s="361">
        <f t="shared" si="119"/>
        <v>2.5</v>
      </c>
      <c r="N44" s="361">
        <f t="shared" si="119"/>
        <v>2.5</v>
      </c>
      <c r="O44" s="361">
        <f t="shared" si="119"/>
        <v>2.5</v>
      </c>
      <c r="P44" s="361">
        <f t="shared" si="119"/>
        <v>2.5</v>
      </c>
      <c r="Q44" s="361">
        <f t="shared" si="119"/>
        <v>2.5</v>
      </c>
      <c r="R44" s="363">
        <f t="shared" si="119"/>
        <v>2.5</v>
      </c>
      <c r="S44" s="181" t="s">
        <v>110</v>
      </c>
      <c r="T44" s="360">
        <f>T10</f>
        <v>2.5</v>
      </c>
      <c r="U44" s="361">
        <f t="shared" ref="U44:AA44" si="120">T44</f>
        <v>2.5</v>
      </c>
      <c r="V44" s="361">
        <f t="shared" si="120"/>
        <v>2.5</v>
      </c>
      <c r="W44" s="361">
        <f t="shared" si="120"/>
        <v>2.5</v>
      </c>
      <c r="X44" s="361">
        <f t="shared" si="120"/>
        <v>2.5</v>
      </c>
      <c r="Y44" s="361">
        <f t="shared" si="120"/>
        <v>2.5</v>
      </c>
      <c r="Z44" s="361">
        <f t="shared" si="120"/>
        <v>2.5</v>
      </c>
      <c r="AA44" s="363">
        <f t="shared" si="120"/>
        <v>2.5</v>
      </c>
      <c r="AB44" s="181"/>
      <c r="AC44" s="37"/>
      <c r="AD44" s="38"/>
      <c r="AE44" s="38"/>
      <c r="AF44" s="38"/>
      <c r="AG44" s="38"/>
      <c r="AH44" s="63"/>
      <c r="AI44" s="38"/>
      <c r="AJ44" s="39"/>
      <c r="AK44" s="166" t="s">
        <v>425</v>
      </c>
      <c r="AL44" s="355">
        <f t="shared" ref="AL44:AS44" si="121">AU65</f>
        <v>1</v>
      </c>
      <c r="AM44" s="65">
        <f t="shared" si="121"/>
        <v>0</v>
      </c>
      <c r="AN44" s="65">
        <f t="shared" si="121"/>
        <v>0</v>
      </c>
      <c r="AO44" s="65">
        <f t="shared" si="121"/>
        <v>0</v>
      </c>
      <c r="AP44" s="65">
        <f t="shared" si="121"/>
        <v>0</v>
      </c>
      <c r="AQ44" s="65">
        <f t="shared" si="121"/>
        <v>0</v>
      </c>
      <c r="AR44" s="65">
        <f t="shared" si="121"/>
        <v>0</v>
      </c>
      <c r="AS44" s="66">
        <f t="shared" si="121"/>
        <v>0</v>
      </c>
      <c r="AT44" s="36" t="s">
        <v>110</v>
      </c>
      <c r="AU44" s="357">
        <f>AU10</f>
        <v>2.5</v>
      </c>
      <c r="AV44" s="358">
        <f t="shared" ref="AV44:BB44" si="122">AU44</f>
        <v>2.5</v>
      </c>
      <c r="AW44" s="358">
        <f t="shared" si="122"/>
        <v>2.5</v>
      </c>
      <c r="AX44" s="358">
        <f t="shared" si="122"/>
        <v>2.5</v>
      </c>
      <c r="AY44" s="358">
        <f t="shared" si="122"/>
        <v>2.5</v>
      </c>
      <c r="AZ44" s="358">
        <f t="shared" si="122"/>
        <v>2.5</v>
      </c>
      <c r="BA44" s="358">
        <f t="shared" si="122"/>
        <v>2.5</v>
      </c>
      <c r="BB44" s="359">
        <f t="shared" si="122"/>
        <v>2.5</v>
      </c>
      <c r="BC44" s="36" t="s">
        <v>110</v>
      </c>
      <c r="BD44" s="357">
        <f>BD10</f>
        <v>2.5</v>
      </c>
      <c r="BE44" s="358">
        <f t="shared" ref="BE44:BK44" si="123">BD44</f>
        <v>2.5</v>
      </c>
      <c r="BF44" s="358">
        <f t="shared" si="123"/>
        <v>2.5</v>
      </c>
      <c r="BG44" s="358">
        <f t="shared" si="123"/>
        <v>2.5</v>
      </c>
      <c r="BH44" s="358">
        <f t="shared" si="123"/>
        <v>2.5</v>
      </c>
      <c r="BI44" s="358">
        <f t="shared" si="123"/>
        <v>2.5</v>
      </c>
      <c r="BJ44" s="358">
        <f t="shared" si="123"/>
        <v>2.5</v>
      </c>
      <c r="BK44" s="359">
        <f t="shared" si="123"/>
        <v>2.5</v>
      </c>
    </row>
    <row r="45" spans="1:63" ht="15.75">
      <c r="A45" s="36" t="s">
        <v>111</v>
      </c>
      <c r="B45" s="44">
        <f>'환기량 산정'!B1521</f>
        <v>2119</v>
      </c>
      <c r="C45" s="38">
        <f>'환기량 산정'!C1521</f>
        <v>3072</v>
      </c>
      <c r="D45" s="38">
        <f>'환기량 산정'!D1521</f>
        <v>3558</v>
      </c>
      <c r="E45" s="38">
        <f>'환기량 산정'!E1521</f>
        <v>3733</v>
      </c>
      <c r="F45" s="38">
        <f>'환기량 산정'!F1521</f>
        <v>3888</v>
      </c>
      <c r="G45" s="63">
        <f>'환기량 산정'!G1521</f>
        <v>3850</v>
      </c>
      <c r="H45" s="38">
        <f>'환기량 산정'!H1521</f>
        <v>3811</v>
      </c>
      <c r="I45" s="39">
        <f>'환기량 산정'!I1521</f>
        <v>3888</v>
      </c>
      <c r="J45" s="36" t="s">
        <v>111</v>
      </c>
      <c r="K45" s="62">
        <f t="shared" ref="K45:R45" si="124">B45</f>
        <v>2119</v>
      </c>
      <c r="L45" s="38">
        <f t="shared" si="124"/>
        <v>3072</v>
      </c>
      <c r="M45" s="38">
        <f t="shared" si="124"/>
        <v>3558</v>
      </c>
      <c r="N45" s="38">
        <f t="shared" si="124"/>
        <v>3733</v>
      </c>
      <c r="O45" s="38">
        <f t="shared" si="124"/>
        <v>3888</v>
      </c>
      <c r="P45" s="38">
        <f t="shared" si="124"/>
        <v>3850</v>
      </c>
      <c r="Q45" s="38">
        <f t="shared" si="124"/>
        <v>3811</v>
      </c>
      <c r="R45" s="39">
        <f t="shared" si="124"/>
        <v>3888</v>
      </c>
      <c r="S45" s="181" t="s">
        <v>111</v>
      </c>
      <c r="T45" s="44">
        <f t="shared" ref="T45:AA45" si="125">K45</f>
        <v>2119</v>
      </c>
      <c r="U45" s="38">
        <f t="shared" si="125"/>
        <v>3072</v>
      </c>
      <c r="V45" s="38">
        <f t="shared" si="125"/>
        <v>3558</v>
      </c>
      <c r="W45" s="38">
        <f t="shared" si="125"/>
        <v>3733</v>
      </c>
      <c r="X45" s="38">
        <f t="shared" si="125"/>
        <v>3888</v>
      </c>
      <c r="Y45" s="38">
        <f t="shared" si="125"/>
        <v>3850</v>
      </c>
      <c r="Z45" s="38">
        <f t="shared" si="125"/>
        <v>3811</v>
      </c>
      <c r="AA45" s="39">
        <f t="shared" si="125"/>
        <v>3888</v>
      </c>
      <c r="AB45" s="181" t="s">
        <v>154</v>
      </c>
      <c r="AC45" s="37">
        <f t="shared" ref="AC45:AJ45" si="126">ROUND((1+B49+B50*B47/B51)*B48/2*AC41^2,4)</f>
        <v>13.5604</v>
      </c>
      <c r="AD45" s="38">
        <f t="shared" si="126"/>
        <v>13.5604</v>
      </c>
      <c r="AE45" s="38">
        <f t="shared" si="126"/>
        <v>13.5604</v>
      </c>
      <c r="AF45" s="38">
        <f t="shared" si="126"/>
        <v>13.5604</v>
      </c>
      <c r="AG45" s="38">
        <f t="shared" si="126"/>
        <v>13.5604</v>
      </c>
      <c r="AH45" s="63">
        <f t="shared" si="126"/>
        <v>13.5604</v>
      </c>
      <c r="AI45" s="38">
        <f t="shared" si="126"/>
        <v>13.5604</v>
      </c>
      <c r="AJ45" s="39">
        <f t="shared" si="126"/>
        <v>13.5604</v>
      </c>
      <c r="AK45" s="166" t="s">
        <v>249</v>
      </c>
      <c r="AL45" s="67">
        <f t="shared" ref="AL45:AS45" si="127">AC53</f>
        <v>6</v>
      </c>
      <c r="AM45" s="65">
        <f t="shared" si="127"/>
        <v>6</v>
      </c>
      <c r="AN45" s="65">
        <f t="shared" si="127"/>
        <v>6</v>
      </c>
      <c r="AO45" s="65">
        <f t="shared" si="127"/>
        <v>6</v>
      </c>
      <c r="AP45" s="65">
        <f t="shared" si="127"/>
        <v>6</v>
      </c>
      <c r="AQ45" s="65">
        <f t="shared" si="127"/>
        <v>6</v>
      </c>
      <c r="AR45" s="65">
        <f t="shared" si="127"/>
        <v>6</v>
      </c>
      <c r="AS45" s="66">
        <f t="shared" si="127"/>
        <v>6</v>
      </c>
      <c r="AT45" s="36" t="s">
        <v>111</v>
      </c>
      <c r="AU45" s="327">
        <f t="shared" ref="AU45:BB45" si="128">B45</f>
        <v>2119</v>
      </c>
      <c r="AV45" s="332">
        <f t="shared" si="128"/>
        <v>3072</v>
      </c>
      <c r="AW45" s="332">
        <f t="shared" si="128"/>
        <v>3558</v>
      </c>
      <c r="AX45" s="332">
        <f t="shared" si="128"/>
        <v>3733</v>
      </c>
      <c r="AY45" s="332">
        <f t="shared" si="128"/>
        <v>3888</v>
      </c>
      <c r="AZ45" s="332">
        <f t="shared" si="128"/>
        <v>3850</v>
      </c>
      <c r="BA45" s="332">
        <f t="shared" si="128"/>
        <v>3811</v>
      </c>
      <c r="BB45" s="338">
        <f t="shared" si="128"/>
        <v>3888</v>
      </c>
      <c r="BC45" s="36" t="s">
        <v>111</v>
      </c>
      <c r="BD45" s="327">
        <f t="shared" ref="BD45:BK45" si="129">K45</f>
        <v>2119</v>
      </c>
      <c r="BE45" s="332">
        <f t="shared" si="129"/>
        <v>3072</v>
      </c>
      <c r="BF45" s="332">
        <f t="shared" si="129"/>
        <v>3558</v>
      </c>
      <c r="BG45" s="332">
        <f t="shared" si="129"/>
        <v>3733</v>
      </c>
      <c r="BH45" s="332">
        <f t="shared" si="129"/>
        <v>3888</v>
      </c>
      <c r="BI45" s="332">
        <f t="shared" si="129"/>
        <v>3850</v>
      </c>
      <c r="BJ45" s="332">
        <f t="shared" si="129"/>
        <v>3811</v>
      </c>
      <c r="BK45" s="338">
        <f t="shared" si="129"/>
        <v>3888</v>
      </c>
    </row>
    <row r="46" spans="1:63" ht="15.75">
      <c r="A46" s="36" t="s">
        <v>90</v>
      </c>
      <c r="B46" s="44">
        <f>'환기량 산정'!I1488</f>
        <v>58.672159999999998</v>
      </c>
      <c r="C46" s="38">
        <f t="shared" ref="C46:I46" si="130">B46</f>
        <v>58.672159999999998</v>
      </c>
      <c r="D46" s="38">
        <f t="shared" si="130"/>
        <v>58.672159999999998</v>
      </c>
      <c r="E46" s="38">
        <f t="shared" si="130"/>
        <v>58.672159999999998</v>
      </c>
      <c r="F46" s="38">
        <f t="shared" si="130"/>
        <v>58.672159999999998</v>
      </c>
      <c r="G46" s="63">
        <f t="shared" si="130"/>
        <v>58.672159999999998</v>
      </c>
      <c r="H46" s="38">
        <f t="shared" si="130"/>
        <v>58.672159999999998</v>
      </c>
      <c r="I46" s="39">
        <f t="shared" si="130"/>
        <v>58.672159999999998</v>
      </c>
      <c r="J46" s="36" t="s">
        <v>90</v>
      </c>
      <c r="K46" s="62">
        <f>B46</f>
        <v>58.672159999999998</v>
      </c>
      <c r="L46" s="38">
        <f t="shared" ref="L46:R46" si="131">K46</f>
        <v>58.672159999999998</v>
      </c>
      <c r="M46" s="38">
        <f t="shared" si="131"/>
        <v>58.672159999999998</v>
      </c>
      <c r="N46" s="38">
        <f t="shared" si="131"/>
        <v>58.672159999999998</v>
      </c>
      <c r="O46" s="38">
        <f t="shared" si="131"/>
        <v>58.672159999999998</v>
      </c>
      <c r="P46" s="38">
        <f t="shared" si="131"/>
        <v>58.672159999999998</v>
      </c>
      <c r="Q46" s="38">
        <f t="shared" si="131"/>
        <v>58.672159999999998</v>
      </c>
      <c r="R46" s="39">
        <f t="shared" si="131"/>
        <v>58.672159999999998</v>
      </c>
      <c r="S46" s="181" t="s">
        <v>90</v>
      </c>
      <c r="T46" s="44">
        <f>K46</f>
        <v>58.672159999999998</v>
      </c>
      <c r="U46" s="38">
        <f t="shared" ref="U46:AA46" si="132">T46</f>
        <v>58.672159999999998</v>
      </c>
      <c r="V46" s="38">
        <f t="shared" si="132"/>
        <v>58.672159999999998</v>
      </c>
      <c r="W46" s="38">
        <f t="shared" si="132"/>
        <v>58.672159999999998</v>
      </c>
      <c r="X46" s="38">
        <f t="shared" si="132"/>
        <v>58.672159999999998</v>
      </c>
      <c r="Y46" s="38">
        <f t="shared" si="132"/>
        <v>58.672159999999998</v>
      </c>
      <c r="Z46" s="38">
        <f t="shared" si="132"/>
        <v>58.672159999999998</v>
      </c>
      <c r="AA46" s="39">
        <f t="shared" si="132"/>
        <v>58.672159999999998</v>
      </c>
      <c r="AB46" s="181" t="s">
        <v>155</v>
      </c>
      <c r="AC46" s="37">
        <f t="shared" ref="AC46:AJ46" si="133">B58</f>
        <v>16.741299999999999</v>
      </c>
      <c r="AD46" s="38">
        <f t="shared" si="133"/>
        <v>16.741299999999999</v>
      </c>
      <c r="AE46" s="38">
        <f t="shared" si="133"/>
        <v>16.741299999999999</v>
      </c>
      <c r="AF46" s="38">
        <f t="shared" si="133"/>
        <v>16.741299999999999</v>
      </c>
      <c r="AG46" s="38">
        <f t="shared" si="133"/>
        <v>16.741299999999999</v>
      </c>
      <c r="AH46" s="63">
        <f t="shared" si="133"/>
        <v>16.741299999999999</v>
      </c>
      <c r="AI46" s="38">
        <f t="shared" si="133"/>
        <v>16.741299999999999</v>
      </c>
      <c r="AJ46" s="39">
        <f t="shared" si="133"/>
        <v>16.741299999999999</v>
      </c>
      <c r="AK46" s="356" t="s">
        <v>262</v>
      </c>
      <c r="AL46" s="170">
        <f t="shared" ref="AL46:AS46" si="134">IF(MAX(AL62:AL64)&gt;AU42,MAX(AL41:AL43),AL44)</f>
        <v>1</v>
      </c>
      <c r="AM46" s="171">
        <f t="shared" si="134"/>
        <v>0</v>
      </c>
      <c r="AN46" s="171">
        <f t="shared" si="134"/>
        <v>0</v>
      </c>
      <c r="AO46" s="171">
        <f t="shared" si="134"/>
        <v>0</v>
      </c>
      <c r="AP46" s="171">
        <f t="shared" si="134"/>
        <v>0</v>
      </c>
      <c r="AQ46" s="171">
        <f t="shared" si="134"/>
        <v>0</v>
      </c>
      <c r="AR46" s="171">
        <f t="shared" si="134"/>
        <v>0</v>
      </c>
      <c r="AS46" s="172">
        <f t="shared" si="134"/>
        <v>0</v>
      </c>
      <c r="AT46" s="36" t="s">
        <v>90</v>
      </c>
      <c r="AU46" s="327">
        <f>B46</f>
        <v>58.672159999999998</v>
      </c>
      <c r="AV46" s="328">
        <f t="shared" ref="AV46:BB46" si="135">AU46</f>
        <v>58.672159999999998</v>
      </c>
      <c r="AW46" s="328">
        <f t="shared" si="135"/>
        <v>58.672159999999998</v>
      </c>
      <c r="AX46" s="328">
        <f t="shared" si="135"/>
        <v>58.672159999999998</v>
      </c>
      <c r="AY46" s="328">
        <f t="shared" si="135"/>
        <v>58.672159999999998</v>
      </c>
      <c r="AZ46" s="328">
        <f t="shared" si="135"/>
        <v>58.672159999999998</v>
      </c>
      <c r="BA46" s="328">
        <f t="shared" si="135"/>
        <v>58.672159999999998</v>
      </c>
      <c r="BB46" s="329">
        <f t="shared" si="135"/>
        <v>58.672159999999998</v>
      </c>
      <c r="BC46" s="36" t="s">
        <v>90</v>
      </c>
      <c r="BD46" s="327">
        <f>K46</f>
        <v>58.672159999999998</v>
      </c>
      <c r="BE46" s="328">
        <f t="shared" ref="BE46:BK46" si="136">BD46</f>
        <v>58.672159999999998</v>
      </c>
      <c r="BF46" s="328">
        <f t="shared" si="136"/>
        <v>58.672159999999998</v>
      </c>
      <c r="BG46" s="328">
        <f t="shared" si="136"/>
        <v>58.672159999999998</v>
      </c>
      <c r="BH46" s="328">
        <f t="shared" si="136"/>
        <v>58.672159999999998</v>
      </c>
      <c r="BI46" s="328">
        <f t="shared" si="136"/>
        <v>58.672159999999998</v>
      </c>
      <c r="BJ46" s="328">
        <f t="shared" si="136"/>
        <v>58.672159999999998</v>
      </c>
      <c r="BK46" s="329">
        <f t="shared" si="136"/>
        <v>58.672159999999998</v>
      </c>
    </row>
    <row r="47" spans="1:63">
      <c r="A47" s="36" t="s">
        <v>112</v>
      </c>
      <c r="B47" s="44">
        <f>'환기량 산정'!$I1494</f>
        <v>904.56</v>
      </c>
      <c r="C47" s="38">
        <f>'환기량 산정'!$I1494</f>
        <v>904.56</v>
      </c>
      <c r="D47" s="38">
        <f>'환기량 산정'!$I1494</f>
        <v>904.56</v>
      </c>
      <c r="E47" s="38">
        <f>'환기량 산정'!$I1494</f>
        <v>904.56</v>
      </c>
      <c r="F47" s="38">
        <f>'환기량 산정'!$I1494</f>
        <v>904.56</v>
      </c>
      <c r="G47" s="63">
        <f>'환기량 산정'!$I1494</f>
        <v>904.56</v>
      </c>
      <c r="H47" s="38">
        <f>'환기량 산정'!$I1494</f>
        <v>904.56</v>
      </c>
      <c r="I47" s="39">
        <f>'환기량 산정'!$I1494</f>
        <v>904.56</v>
      </c>
      <c r="J47" s="36" t="s">
        <v>112</v>
      </c>
      <c r="K47" s="62">
        <f>'환기량 산정'!$I1494</f>
        <v>904.56</v>
      </c>
      <c r="L47" s="38">
        <f>'환기량 산정'!$I1494</f>
        <v>904.56</v>
      </c>
      <c r="M47" s="38">
        <f>'환기량 산정'!$I1494</f>
        <v>904.56</v>
      </c>
      <c r="N47" s="38">
        <f>'환기량 산정'!$I1494</f>
        <v>904.56</v>
      </c>
      <c r="O47" s="38">
        <f>'환기량 산정'!$I1494</f>
        <v>904.56</v>
      </c>
      <c r="P47" s="38">
        <f>'환기량 산정'!$I1494</f>
        <v>904.56</v>
      </c>
      <c r="Q47" s="38">
        <f>'환기량 산정'!$I1494</f>
        <v>904.56</v>
      </c>
      <c r="R47" s="39">
        <f>'환기량 산정'!$I1494</f>
        <v>904.56</v>
      </c>
      <c r="S47" s="181" t="s">
        <v>112</v>
      </c>
      <c r="T47" s="44">
        <f>'환기량 산정'!$I1494</f>
        <v>904.56</v>
      </c>
      <c r="U47" s="38">
        <f>'환기량 산정'!$I1494</f>
        <v>904.56</v>
      </c>
      <c r="V47" s="38">
        <f>'환기량 산정'!$I1494</f>
        <v>904.56</v>
      </c>
      <c r="W47" s="38">
        <f>'환기량 산정'!$I1494</f>
        <v>904.56</v>
      </c>
      <c r="X47" s="38">
        <f>'환기량 산정'!$I1494</f>
        <v>904.56</v>
      </c>
      <c r="Y47" s="38">
        <f>'환기량 산정'!$I1494</f>
        <v>904.56</v>
      </c>
      <c r="Z47" s="38">
        <f>'환기량 산정'!$I1494</f>
        <v>904.56</v>
      </c>
      <c r="AA47" s="39">
        <f>'환기량 산정'!$I1494</f>
        <v>904.56</v>
      </c>
      <c r="AB47" s="3" t="s">
        <v>534</v>
      </c>
      <c r="AC47" s="37">
        <f t="shared" ref="AC47:AJ47" si="137">ROUND(0.86*B52,4)</f>
        <v>0.92459999999999998</v>
      </c>
      <c r="AD47" s="38">
        <f t="shared" si="137"/>
        <v>0.92459999999999998</v>
      </c>
      <c r="AE47" s="38">
        <f t="shared" si="137"/>
        <v>0.92459999999999998</v>
      </c>
      <c r="AF47" s="38">
        <f t="shared" si="137"/>
        <v>0.92459999999999998</v>
      </c>
      <c r="AG47" s="38">
        <f t="shared" si="137"/>
        <v>0.92459999999999998</v>
      </c>
      <c r="AH47" s="63">
        <f t="shared" si="137"/>
        <v>0.92459999999999998</v>
      </c>
      <c r="AI47" s="38">
        <f t="shared" si="137"/>
        <v>0.92459999999999998</v>
      </c>
      <c r="AJ47" s="39">
        <f t="shared" si="137"/>
        <v>0.92459999999999998</v>
      </c>
      <c r="AK47" s="69" t="s">
        <v>123</v>
      </c>
      <c r="AL47" s="44">
        <f t="shared" ref="AL47:AS47" si="138">ROUND((1+B49+B50*B47/B51)*B48/2,4)</f>
        <v>2.6785999999999999</v>
      </c>
      <c r="AM47" s="38">
        <f t="shared" si="138"/>
        <v>2.6785999999999999</v>
      </c>
      <c r="AN47" s="38">
        <f t="shared" si="138"/>
        <v>2.6785999999999999</v>
      </c>
      <c r="AO47" s="38">
        <f t="shared" si="138"/>
        <v>2.6785999999999999</v>
      </c>
      <c r="AP47" s="38">
        <f t="shared" si="138"/>
        <v>2.6785999999999999</v>
      </c>
      <c r="AQ47" s="38">
        <f t="shared" si="138"/>
        <v>2.6785999999999999</v>
      </c>
      <c r="AR47" s="38">
        <f t="shared" si="138"/>
        <v>2.6785999999999999</v>
      </c>
      <c r="AS47" s="39">
        <f t="shared" si="138"/>
        <v>2.6785999999999999</v>
      </c>
      <c r="AT47" s="36" t="s">
        <v>112</v>
      </c>
      <c r="AU47" s="327">
        <f>'환기량 산정'!$I1494</f>
        <v>904.56</v>
      </c>
      <c r="AV47" s="328">
        <f>'환기량 산정'!$I1494</f>
        <v>904.56</v>
      </c>
      <c r="AW47" s="328">
        <f>'환기량 산정'!$I1494</f>
        <v>904.56</v>
      </c>
      <c r="AX47" s="328">
        <f>'환기량 산정'!$I1494</f>
        <v>904.56</v>
      </c>
      <c r="AY47" s="328">
        <f>'환기량 산정'!$I1494</f>
        <v>904.56</v>
      </c>
      <c r="AZ47" s="328">
        <f>'환기량 산정'!$I1494</f>
        <v>904.56</v>
      </c>
      <c r="BA47" s="328">
        <f>'환기량 산정'!$I1494</f>
        <v>904.56</v>
      </c>
      <c r="BB47" s="329">
        <f>'환기량 산정'!$I1494</f>
        <v>904.56</v>
      </c>
      <c r="BC47" s="36" t="s">
        <v>112</v>
      </c>
      <c r="BD47" s="327">
        <f>'환기량 산정'!$I1494</f>
        <v>904.56</v>
      </c>
      <c r="BE47" s="328">
        <f>'환기량 산정'!$I1494</f>
        <v>904.56</v>
      </c>
      <c r="BF47" s="328">
        <f>'환기량 산정'!$I1494</f>
        <v>904.56</v>
      </c>
      <c r="BG47" s="328">
        <f>'환기량 산정'!$I1494</f>
        <v>904.56</v>
      </c>
      <c r="BH47" s="328">
        <f>'환기량 산정'!$I1494</f>
        <v>904.56</v>
      </c>
      <c r="BI47" s="328">
        <f>'환기량 산정'!$I1494</f>
        <v>904.56</v>
      </c>
      <c r="BJ47" s="328">
        <f>'환기량 산정'!$I1494</f>
        <v>904.56</v>
      </c>
      <c r="BK47" s="329">
        <f>'환기량 산정'!$I1494</f>
        <v>904.56</v>
      </c>
    </row>
    <row r="48" spans="1:63" ht="15.75">
      <c r="A48" s="36" t="s">
        <v>113</v>
      </c>
      <c r="B48" s="44">
        <f>'환기량 산정'!I1493</f>
        <v>1.2</v>
      </c>
      <c r="C48" s="38">
        <f t="shared" ref="C48:I52" si="139">B48</f>
        <v>1.2</v>
      </c>
      <c r="D48" s="38">
        <f t="shared" si="139"/>
        <v>1.2</v>
      </c>
      <c r="E48" s="38">
        <f t="shared" si="139"/>
        <v>1.2</v>
      </c>
      <c r="F48" s="38">
        <f t="shared" si="139"/>
        <v>1.2</v>
      </c>
      <c r="G48" s="63">
        <f t="shared" si="139"/>
        <v>1.2</v>
      </c>
      <c r="H48" s="38">
        <f t="shared" si="139"/>
        <v>1.2</v>
      </c>
      <c r="I48" s="39">
        <f t="shared" si="139"/>
        <v>1.2</v>
      </c>
      <c r="J48" s="36" t="s">
        <v>113</v>
      </c>
      <c r="K48" s="62">
        <f>B48</f>
        <v>1.2</v>
      </c>
      <c r="L48" s="38">
        <f t="shared" ref="L48:R52" si="140">K48</f>
        <v>1.2</v>
      </c>
      <c r="M48" s="38">
        <f t="shared" si="140"/>
        <v>1.2</v>
      </c>
      <c r="N48" s="38">
        <f t="shared" si="140"/>
        <v>1.2</v>
      </c>
      <c r="O48" s="38">
        <f t="shared" si="140"/>
        <v>1.2</v>
      </c>
      <c r="P48" s="38">
        <f t="shared" si="140"/>
        <v>1.2</v>
      </c>
      <c r="Q48" s="38">
        <f t="shared" si="140"/>
        <v>1.2</v>
      </c>
      <c r="R48" s="39">
        <f t="shared" si="140"/>
        <v>1.2</v>
      </c>
      <c r="S48" s="181" t="s">
        <v>113</v>
      </c>
      <c r="T48" s="44">
        <f>K48</f>
        <v>1.2</v>
      </c>
      <c r="U48" s="38">
        <f t="shared" ref="U48:AA52" si="141">T48</f>
        <v>1.2</v>
      </c>
      <c r="V48" s="38">
        <f t="shared" si="141"/>
        <v>1.2</v>
      </c>
      <c r="W48" s="38">
        <f t="shared" si="141"/>
        <v>1.2</v>
      </c>
      <c r="X48" s="38">
        <f t="shared" si="141"/>
        <v>1.2</v>
      </c>
      <c r="Y48" s="38">
        <f t="shared" si="141"/>
        <v>1.2</v>
      </c>
      <c r="Z48" s="38">
        <f t="shared" si="141"/>
        <v>1.2</v>
      </c>
      <c r="AA48" s="39">
        <f t="shared" si="141"/>
        <v>1.2</v>
      </c>
      <c r="AB48" s="181" t="s">
        <v>159</v>
      </c>
      <c r="AC48" s="37">
        <f>ROUND(-AC47/B46*B48/2*AC43*AC41^2,4)</f>
        <v>-12.445499999999999</v>
      </c>
      <c r="AD48" s="38">
        <f t="shared" ref="AD48:AJ48" si="142">ROUND(-AD47/C46*C48/2*AD43*AD41^2,4)</f>
        <v>-12.445499999999999</v>
      </c>
      <c r="AE48" s="38">
        <f t="shared" si="142"/>
        <v>-12.445499999999999</v>
      </c>
      <c r="AF48" s="38">
        <f t="shared" si="142"/>
        <v>-12.445499999999999</v>
      </c>
      <c r="AG48" s="38">
        <f t="shared" si="142"/>
        <v>-12.445499999999999</v>
      </c>
      <c r="AH48" s="63">
        <f t="shared" si="142"/>
        <v>-12.014699999999999</v>
      </c>
      <c r="AI48" s="38">
        <f t="shared" si="142"/>
        <v>-11.488099999999999</v>
      </c>
      <c r="AJ48" s="39">
        <f t="shared" si="142"/>
        <v>-11.440300000000001</v>
      </c>
      <c r="AK48" s="69" t="s">
        <v>124</v>
      </c>
      <c r="AL48" s="188">
        <f>ROUND(-B48/2*B52/B46*B55,4)</f>
        <v>-2.1109</v>
      </c>
      <c r="AM48" s="38">
        <f t="shared" ref="AM48:AS48" si="143">IF(C41&gt;=C43,ROUND(C48/2*C52/C46*C55,4),IF(C41&lt;C43,ROUND(-C48/2*C52/C46*C55,4)))</f>
        <v>1.5282</v>
      </c>
      <c r="AN48" s="38">
        <f t="shared" si="143"/>
        <v>1.1874</v>
      </c>
      <c r="AO48" s="38">
        <f t="shared" si="143"/>
        <v>0.9345</v>
      </c>
      <c r="AP48" s="38">
        <f t="shared" si="143"/>
        <v>0.78059999999999996</v>
      </c>
      <c r="AQ48" s="38">
        <f t="shared" si="143"/>
        <v>0.63770000000000004</v>
      </c>
      <c r="AR48" s="38">
        <f t="shared" si="143"/>
        <v>0.54969999999999997</v>
      </c>
      <c r="AS48" s="39">
        <f t="shared" si="143"/>
        <v>0.48370000000000002</v>
      </c>
      <c r="AT48" s="36" t="s">
        <v>113</v>
      </c>
      <c r="AU48" s="327">
        <f t="shared" ref="AU48:AU55" si="144">B48</f>
        <v>1.2</v>
      </c>
      <c r="AV48" s="328">
        <f t="shared" ref="AV48:BB52" si="145">AU48</f>
        <v>1.2</v>
      </c>
      <c r="AW48" s="328">
        <f t="shared" si="145"/>
        <v>1.2</v>
      </c>
      <c r="AX48" s="328">
        <f t="shared" si="145"/>
        <v>1.2</v>
      </c>
      <c r="AY48" s="328">
        <f t="shared" si="145"/>
        <v>1.2</v>
      </c>
      <c r="AZ48" s="328">
        <f t="shared" si="145"/>
        <v>1.2</v>
      </c>
      <c r="BA48" s="328">
        <f t="shared" si="145"/>
        <v>1.2</v>
      </c>
      <c r="BB48" s="329">
        <f t="shared" si="145"/>
        <v>1.2</v>
      </c>
      <c r="BC48" s="36" t="s">
        <v>113</v>
      </c>
      <c r="BD48" s="327">
        <f t="shared" ref="BD48:BD55" si="146">K48</f>
        <v>1.2</v>
      </c>
      <c r="BE48" s="328">
        <f t="shared" ref="BE48:BK52" si="147">BD48</f>
        <v>1.2</v>
      </c>
      <c r="BF48" s="328">
        <f t="shared" si="147"/>
        <v>1.2</v>
      </c>
      <c r="BG48" s="328">
        <f t="shared" si="147"/>
        <v>1.2</v>
      </c>
      <c r="BH48" s="328">
        <f t="shared" si="147"/>
        <v>1.2</v>
      </c>
      <c r="BI48" s="328">
        <f t="shared" si="147"/>
        <v>1.2</v>
      </c>
      <c r="BJ48" s="328">
        <f t="shared" si="147"/>
        <v>1.2</v>
      </c>
      <c r="BK48" s="329">
        <f t="shared" si="147"/>
        <v>1.2</v>
      </c>
    </row>
    <row r="49" spans="1:63">
      <c r="A49" s="36" t="s">
        <v>114</v>
      </c>
      <c r="B49" s="44">
        <f>'환기량 산정'!I1491</f>
        <v>0.6</v>
      </c>
      <c r="C49" s="38">
        <f t="shared" si="139"/>
        <v>0.6</v>
      </c>
      <c r="D49" s="38">
        <f t="shared" si="139"/>
        <v>0.6</v>
      </c>
      <c r="E49" s="38">
        <f t="shared" si="139"/>
        <v>0.6</v>
      </c>
      <c r="F49" s="38">
        <f t="shared" si="139"/>
        <v>0.6</v>
      </c>
      <c r="G49" s="63">
        <f t="shared" si="139"/>
        <v>0.6</v>
      </c>
      <c r="H49" s="38">
        <f t="shared" si="139"/>
        <v>0.6</v>
      </c>
      <c r="I49" s="39">
        <f t="shared" si="139"/>
        <v>0.6</v>
      </c>
      <c r="J49" s="36" t="s">
        <v>114</v>
      </c>
      <c r="K49" s="62">
        <f>B49</f>
        <v>0.6</v>
      </c>
      <c r="L49" s="38">
        <f t="shared" si="140"/>
        <v>0.6</v>
      </c>
      <c r="M49" s="38">
        <f t="shared" si="140"/>
        <v>0.6</v>
      </c>
      <c r="N49" s="38">
        <f t="shared" si="140"/>
        <v>0.6</v>
      </c>
      <c r="O49" s="38">
        <f t="shared" si="140"/>
        <v>0.6</v>
      </c>
      <c r="P49" s="38">
        <f t="shared" si="140"/>
        <v>0.6</v>
      </c>
      <c r="Q49" s="38">
        <f t="shared" si="140"/>
        <v>0.6</v>
      </c>
      <c r="R49" s="39">
        <f t="shared" si="140"/>
        <v>0.6</v>
      </c>
      <c r="S49" s="181" t="s">
        <v>114</v>
      </c>
      <c r="T49" s="44">
        <f>K49</f>
        <v>0.6</v>
      </c>
      <c r="U49" s="38">
        <f t="shared" si="141"/>
        <v>0.6</v>
      </c>
      <c r="V49" s="38">
        <f t="shared" si="141"/>
        <v>0.6</v>
      </c>
      <c r="W49" s="38">
        <f t="shared" si="141"/>
        <v>0.6</v>
      </c>
      <c r="X49" s="38">
        <f t="shared" si="141"/>
        <v>0.6</v>
      </c>
      <c r="Y49" s="38">
        <f t="shared" si="141"/>
        <v>0.6</v>
      </c>
      <c r="Z49" s="38">
        <f t="shared" si="141"/>
        <v>0.6</v>
      </c>
      <c r="AA49" s="39">
        <f t="shared" si="141"/>
        <v>0.6</v>
      </c>
      <c r="AB49" s="181" t="s">
        <v>157</v>
      </c>
      <c r="AC49" s="183">
        <f>AC45+AC46-AC48</f>
        <v>42.747199999999992</v>
      </c>
      <c r="AD49" s="45">
        <f>AD45+AD46-AD48</f>
        <v>42.747199999999992</v>
      </c>
      <c r="AE49" s="45">
        <f>AE45+AE46-AE48</f>
        <v>42.747199999999992</v>
      </c>
      <c r="AF49" s="45">
        <f>AF45+AF46-AF48</f>
        <v>42.747199999999992</v>
      </c>
      <c r="AG49" s="45">
        <f t="shared" ref="AG49:AJ49" si="148">AG45+AG46-AG48</f>
        <v>42.747199999999992</v>
      </c>
      <c r="AH49" s="138">
        <f t="shared" si="148"/>
        <v>42.316399999999994</v>
      </c>
      <c r="AI49" s="45">
        <f t="shared" si="148"/>
        <v>41.7898</v>
      </c>
      <c r="AJ49" s="46">
        <f t="shared" si="148"/>
        <v>41.741999999999997</v>
      </c>
      <c r="AK49" s="69" t="s">
        <v>250</v>
      </c>
      <c r="AL49" s="44">
        <f t="shared" ref="AL49:AS49" si="149">ROUND(B48/2*B54*2*B53/B46*B62,4)</f>
        <v>0.48380000000000001</v>
      </c>
      <c r="AM49" s="38">
        <f t="shared" si="149"/>
        <v>0.48380000000000001</v>
      </c>
      <c r="AN49" s="38">
        <f t="shared" si="149"/>
        <v>0.48380000000000001</v>
      </c>
      <c r="AO49" s="38">
        <f t="shared" si="149"/>
        <v>0.48380000000000001</v>
      </c>
      <c r="AP49" s="38">
        <f t="shared" si="149"/>
        <v>0.48380000000000001</v>
      </c>
      <c r="AQ49" s="38">
        <f t="shared" si="149"/>
        <v>0.48380000000000001</v>
      </c>
      <c r="AR49" s="38">
        <f t="shared" si="149"/>
        <v>0.48380000000000001</v>
      </c>
      <c r="AS49" s="39">
        <f t="shared" si="149"/>
        <v>0.48380000000000001</v>
      </c>
      <c r="AT49" s="36" t="s">
        <v>114</v>
      </c>
      <c r="AU49" s="327">
        <f t="shared" si="144"/>
        <v>0.6</v>
      </c>
      <c r="AV49" s="328">
        <f t="shared" si="145"/>
        <v>0.6</v>
      </c>
      <c r="AW49" s="328">
        <f t="shared" si="145"/>
        <v>0.6</v>
      </c>
      <c r="AX49" s="328">
        <f t="shared" si="145"/>
        <v>0.6</v>
      </c>
      <c r="AY49" s="328">
        <f t="shared" si="145"/>
        <v>0.6</v>
      </c>
      <c r="AZ49" s="328">
        <f t="shared" si="145"/>
        <v>0.6</v>
      </c>
      <c r="BA49" s="328">
        <f t="shared" si="145"/>
        <v>0.6</v>
      </c>
      <c r="BB49" s="329">
        <f t="shared" si="145"/>
        <v>0.6</v>
      </c>
      <c r="BC49" s="36" t="s">
        <v>114</v>
      </c>
      <c r="BD49" s="327">
        <f t="shared" si="146"/>
        <v>0.6</v>
      </c>
      <c r="BE49" s="328">
        <f t="shared" si="147"/>
        <v>0.6</v>
      </c>
      <c r="BF49" s="328">
        <f t="shared" si="147"/>
        <v>0.6</v>
      </c>
      <c r="BG49" s="328">
        <f t="shared" si="147"/>
        <v>0.6</v>
      </c>
      <c r="BH49" s="328">
        <f t="shared" si="147"/>
        <v>0.6</v>
      </c>
      <c r="BI49" s="328">
        <f t="shared" si="147"/>
        <v>0.6</v>
      </c>
      <c r="BJ49" s="328">
        <f t="shared" si="147"/>
        <v>0.6</v>
      </c>
      <c r="BK49" s="329">
        <f t="shared" si="147"/>
        <v>0.6</v>
      </c>
    </row>
    <row r="50" spans="1:63" ht="15.75">
      <c r="A50" s="36" t="s">
        <v>115</v>
      </c>
      <c r="B50" s="44">
        <f>'환기량 산정'!I1492</f>
        <v>2.5000000000000001E-2</v>
      </c>
      <c r="C50" s="38">
        <f t="shared" si="139"/>
        <v>2.5000000000000001E-2</v>
      </c>
      <c r="D50" s="38">
        <f t="shared" si="139"/>
        <v>2.5000000000000001E-2</v>
      </c>
      <c r="E50" s="38">
        <f t="shared" si="139"/>
        <v>2.5000000000000001E-2</v>
      </c>
      <c r="F50" s="38">
        <f t="shared" si="139"/>
        <v>2.5000000000000001E-2</v>
      </c>
      <c r="G50" s="63">
        <f t="shared" si="139"/>
        <v>2.5000000000000001E-2</v>
      </c>
      <c r="H50" s="38">
        <f t="shared" si="139"/>
        <v>2.5000000000000001E-2</v>
      </c>
      <c r="I50" s="39">
        <f t="shared" si="139"/>
        <v>2.5000000000000001E-2</v>
      </c>
      <c r="J50" s="36" t="s">
        <v>115</v>
      </c>
      <c r="K50" s="62">
        <f>B50</f>
        <v>2.5000000000000001E-2</v>
      </c>
      <c r="L50" s="38">
        <f t="shared" si="140"/>
        <v>2.5000000000000001E-2</v>
      </c>
      <c r="M50" s="38">
        <f t="shared" si="140"/>
        <v>2.5000000000000001E-2</v>
      </c>
      <c r="N50" s="38">
        <f t="shared" si="140"/>
        <v>2.5000000000000001E-2</v>
      </c>
      <c r="O50" s="38">
        <f t="shared" si="140"/>
        <v>2.5000000000000001E-2</v>
      </c>
      <c r="P50" s="38">
        <f t="shared" si="140"/>
        <v>2.5000000000000001E-2</v>
      </c>
      <c r="Q50" s="38">
        <f t="shared" si="140"/>
        <v>2.5000000000000001E-2</v>
      </c>
      <c r="R50" s="39">
        <f t="shared" si="140"/>
        <v>2.5000000000000001E-2</v>
      </c>
      <c r="S50" s="181" t="s">
        <v>115</v>
      </c>
      <c r="T50" s="44">
        <f>K50</f>
        <v>2.5000000000000001E-2</v>
      </c>
      <c r="U50" s="38">
        <f t="shared" si="141"/>
        <v>2.5000000000000001E-2</v>
      </c>
      <c r="V50" s="38">
        <f t="shared" si="141"/>
        <v>2.5000000000000001E-2</v>
      </c>
      <c r="W50" s="38">
        <f t="shared" si="141"/>
        <v>2.5000000000000001E-2</v>
      </c>
      <c r="X50" s="38">
        <f t="shared" si="141"/>
        <v>2.5000000000000001E-2</v>
      </c>
      <c r="Y50" s="38">
        <f t="shared" si="141"/>
        <v>2.5000000000000001E-2</v>
      </c>
      <c r="Z50" s="38">
        <f t="shared" si="141"/>
        <v>2.5000000000000001E-2</v>
      </c>
      <c r="AA50" s="39">
        <f t="shared" si="141"/>
        <v>2.5000000000000001E-2</v>
      </c>
      <c r="AB50" s="36" t="s">
        <v>342</v>
      </c>
      <c r="AC50" s="44">
        <f t="shared" ref="AC50:AD50" si="150">ROUND(B56*B48*B54^2*B53/B46*(1-AC41/B54)*B62,4)</f>
        <v>13.291399999999999</v>
      </c>
      <c r="AD50" s="38">
        <f t="shared" si="150"/>
        <v>13.291399999999999</v>
      </c>
      <c r="AE50" s="38">
        <f t="shared" ref="AE50:AJ50" si="151">ROUND($B$56*D48*D54^2*D53/D46*(1-AE41/D54)*D62,4)</f>
        <v>13.291399999999999</v>
      </c>
      <c r="AF50" s="38">
        <f t="shared" si="151"/>
        <v>13.291399999999999</v>
      </c>
      <c r="AG50" s="38">
        <f t="shared" si="151"/>
        <v>13.291399999999999</v>
      </c>
      <c r="AH50" s="38">
        <f t="shared" si="151"/>
        <v>13.291399999999999</v>
      </c>
      <c r="AI50" s="38">
        <f t="shared" si="151"/>
        <v>13.291399999999999</v>
      </c>
      <c r="AJ50" s="38">
        <f t="shared" si="151"/>
        <v>13.291399999999999</v>
      </c>
      <c r="AK50" s="165" t="s">
        <v>152</v>
      </c>
      <c r="AL50" s="170" t="b">
        <f t="shared" ref="AL50:AS50" si="152">IF(AL51&gt;0,ROUND((-AL53+SQRT(AL53^2-4*AL52*AL54))/(2*AL52),4))</f>
        <v>0</v>
      </c>
      <c r="AM50" s="171">
        <f t="shared" si="152"/>
        <v>1.6176999999999999</v>
      </c>
      <c r="AN50" s="171">
        <f t="shared" si="152"/>
        <v>2.7490000000000001</v>
      </c>
      <c r="AO50" s="171">
        <f t="shared" si="152"/>
        <v>3.6374</v>
      </c>
      <c r="AP50" s="171">
        <f t="shared" si="152"/>
        <v>4.4442000000000004</v>
      </c>
      <c r="AQ50" s="171">
        <f t="shared" si="152"/>
        <v>5.0750999999999999</v>
      </c>
      <c r="AR50" s="171">
        <f t="shared" si="152"/>
        <v>5.7001999999999997</v>
      </c>
      <c r="AS50" s="172">
        <f t="shared" si="152"/>
        <v>6.2906000000000004</v>
      </c>
      <c r="AT50" s="36" t="s">
        <v>115</v>
      </c>
      <c r="AU50" s="327">
        <f t="shared" si="144"/>
        <v>2.5000000000000001E-2</v>
      </c>
      <c r="AV50" s="328">
        <f t="shared" si="145"/>
        <v>2.5000000000000001E-2</v>
      </c>
      <c r="AW50" s="328">
        <f t="shared" si="145"/>
        <v>2.5000000000000001E-2</v>
      </c>
      <c r="AX50" s="328">
        <f t="shared" si="145"/>
        <v>2.5000000000000001E-2</v>
      </c>
      <c r="AY50" s="328">
        <f t="shared" si="145"/>
        <v>2.5000000000000001E-2</v>
      </c>
      <c r="AZ50" s="328">
        <f t="shared" si="145"/>
        <v>2.5000000000000001E-2</v>
      </c>
      <c r="BA50" s="328">
        <f t="shared" si="145"/>
        <v>2.5000000000000001E-2</v>
      </c>
      <c r="BB50" s="329">
        <f t="shared" si="145"/>
        <v>2.5000000000000001E-2</v>
      </c>
      <c r="BC50" s="36" t="s">
        <v>115</v>
      </c>
      <c r="BD50" s="327">
        <f t="shared" si="146"/>
        <v>2.5000000000000001E-2</v>
      </c>
      <c r="BE50" s="328">
        <f t="shared" si="147"/>
        <v>2.5000000000000001E-2</v>
      </c>
      <c r="BF50" s="328">
        <f t="shared" si="147"/>
        <v>2.5000000000000001E-2</v>
      </c>
      <c r="BG50" s="328">
        <f t="shared" si="147"/>
        <v>2.5000000000000001E-2</v>
      </c>
      <c r="BH50" s="328">
        <f t="shared" si="147"/>
        <v>2.5000000000000001E-2</v>
      </c>
      <c r="BI50" s="328">
        <f t="shared" si="147"/>
        <v>2.5000000000000001E-2</v>
      </c>
      <c r="BJ50" s="328">
        <f t="shared" si="147"/>
        <v>2.5000000000000001E-2</v>
      </c>
      <c r="BK50" s="329">
        <f t="shared" si="147"/>
        <v>2.5000000000000001E-2</v>
      </c>
    </row>
    <row r="51" spans="1:63" ht="15.75">
      <c r="A51" s="36" t="s">
        <v>91</v>
      </c>
      <c r="B51" s="44">
        <f>'환기량 산정'!I1489</f>
        <v>7.8949999999999996</v>
      </c>
      <c r="C51" s="38">
        <f t="shared" si="139"/>
        <v>7.8949999999999996</v>
      </c>
      <c r="D51" s="38">
        <f t="shared" si="139"/>
        <v>7.8949999999999996</v>
      </c>
      <c r="E51" s="38">
        <f t="shared" si="139"/>
        <v>7.8949999999999996</v>
      </c>
      <c r="F51" s="38">
        <f t="shared" si="139"/>
        <v>7.8949999999999996</v>
      </c>
      <c r="G51" s="63">
        <f t="shared" si="139"/>
        <v>7.8949999999999996</v>
      </c>
      <c r="H51" s="38">
        <f t="shared" si="139"/>
        <v>7.8949999999999996</v>
      </c>
      <c r="I51" s="39">
        <f t="shared" si="139"/>
        <v>7.8949999999999996</v>
      </c>
      <c r="J51" s="36" t="s">
        <v>91</v>
      </c>
      <c r="K51" s="62">
        <f>B51</f>
        <v>7.8949999999999996</v>
      </c>
      <c r="L51" s="38">
        <f t="shared" si="140"/>
        <v>7.8949999999999996</v>
      </c>
      <c r="M51" s="38">
        <f t="shared" si="140"/>
        <v>7.8949999999999996</v>
      </c>
      <c r="N51" s="38">
        <f t="shared" si="140"/>
        <v>7.8949999999999996</v>
      </c>
      <c r="O51" s="38">
        <f t="shared" si="140"/>
        <v>7.8949999999999996</v>
      </c>
      <c r="P51" s="38">
        <f t="shared" si="140"/>
        <v>7.8949999999999996</v>
      </c>
      <c r="Q51" s="38">
        <f t="shared" si="140"/>
        <v>7.8949999999999996</v>
      </c>
      <c r="R51" s="39">
        <f t="shared" si="140"/>
        <v>7.8949999999999996</v>
      </c>
      <c r="S51" s="181" t="s">
        <v>91</v>
      </c>
      <c r="T51" s="44">
        <f>K51</f>
        <v>7.8949999999999996</v>
      </c>
      <c r="U51" s="38">
        <f t="shared" si="141"/>
        <v>7.8949999999999996</v>
      </c>
      <c r="V51" s="38">
        <f t="shared" si="141"/>
        <v>7.8949999999999996</v>
      </c>
      <c r="W51" s="38">
        <f t="shared" si="141"/>
        <v>7.8949999999999996</v>
      </c>
      <c r="X51" s="38">
        <f t="shared" si="141"/>
        <v>7.8949999999999996</v>
      </c>
      <c r="Y51" s="38">
        <f t="shared" si="141"/>
        <v>7.8949999999999996</v>
      </c>
      <c r="Z51" s="38">
        <f t="shared" si="141"/>
        <v>7.8949999999999996</v>
      </c>
      <c r="AA51" s="39">
        <f t="shared" si="141"/>
        <v>7.8949999999999996</v>
      </c>
      <c r="AB51" s="181" t="s">
        <v>172</v>
      </c>
      <c r="AC51" s="37">
        <f t="shared" ref="AC51:AJ51" si="153">ROUND(AC49/AC50,2)</f>
        <v>3.22</v>
      </c>
      <c r="AD51" s="38">
        <f t="shared" si="153"/>
        <v>3.22</v>
      </c>
      <c r="AE51" s="38">
        <f t="shared" si="153"/>
        <v>3.22</v>
      </c>
      <c r="AF51" s="38">
        <f t="shared" si="153"/>
        <v>3.22</v>
      </c>
      <c r="AG51" s="38">
        <f t="shared" si="153"/>
        <v>3.22</v>
      </c>
      <c r="AH51" s="63">
        <f t="shared" si="153"/>
        <v>3.18</v>
      </c>
      <c r="AI51" s="38">
        <f t="shared" si="153"/>
        <v>3.14</v>
      </c>
      <c r="AJ51" s="39">
        <f t="shared" si="153"/>
        <v>3.14</v>
      </c>
      <c r="AK51" s="166" t="s">
        <v>153</v>
      </c>
      <c r="AL51" s="44">
        <f t="shared" ref="AL51:AS51" si="154">ROUND(AL53^2-4*AL52*AL54,4)</f>
        <v>-228.5849</v>
      </c>
      <c r="AM51" s="38">
        <f t="shared" si="154"/>
        <v>429.1354</v>
      </c>
      <c r="AN51" s="38">
        <f t="shared" si="154"/>
        <v>782.92719999999997</v>
      </c>
      <c r="AO51" s="38">
        <f t="shared" si="154"/>
        <v>1119.0835</v>
      </c>
      <c r="AP51" s="38">
        <f t="shared" si="154"/>
        <v>1486.5201</v>
      </c>
      <c r="AQ51" s="38">
        <f t="shared" si="154"/>
        <v>1762.0264999999999</v>
      </c>
      <c r="AR51" s="38">
        <f t="shared" si="154"/>
        <v>2083.2368999999999</v>
      </c>
      <c r="AS51" s="39">
        <f t="shared" si="154"/>
        <v>2411.7921999999999</v>
      </c>
      <c r="AT51" s="36" t="s">
        <v>91</v>
      </c>
      <c r="AU51" s="327">
        <f t="shared" si="144"/>
        <v>7.8949999999999996</v>
      </c>
      <c r="AV51" s="328">
        <f t="shared" si="145"/>
        <v>7.8949999999999996</v>
      </c>
      <c r="AW51" s="328">
        <f t="shared" si="145"/>
        <v>7.8949999999999996</v>
      </c>
      <c r="AX51" s="328">
        <f t="shared" si="145"/>
        <v>7.8949999999999996</v>
      </c>
      <c r="AY51" s="328">
        <f t="shared" si="145"/>
        <v>7.8949999999999996</v>
      </c>
      <c r="AZ51" s="328">
        <f t="shared" si="145"/>
        <v>7.8949999999999996</v>
      </c>
      <c r="BA51" s="328">
        <f t="shared" si="145"/>
        <v>7.8949999999999996</v>
      </c>
      <c r="BB51" s="329">
        <f t="shared" si="145"/>
        <v>7.8949999999999996</v>
      </c>
      <c r="BC51" s="36" t="s">
        <v>91</v>
      </c>
      <c r="BD51" s="327">
        <f t="shared" si="146"/>
        <v>7.8949999999999996</v>
      </c>
      <c r="BE51" s="328">
        <f t="shared" si="147"/>
        <v>7.8949999999999996</v>
      </c>
      <c r="BF51" s="328">
        <f t="shared" si="147"/>
        <v>7.8949999999999996</v>
      </c>
      <c r="BG51" s="328">
        <f t="shared" si="147"/>
        <v>7.8949999999999996</v>
      </c>
      <c r="BH51" s="328">
        <f t="shared" si="147"/>
        <v>7.8949999999999996</v>
      </c>
      <c r="BI51" s="328">
        <f t="shared" si="147"/>
        <v>7.8949999999999996</v>
      </c>
      <c r="BJ51" s="328">
        <f t="shared" si="147"/>
        <v>7.8949999999999996</v>
      </c>
      <c r="BK51" s="329">
        <f t="shared" si="147"/>
        <v>7.8949999999999996</v>
      </c>
    </row>
    <row r="52" spans="1:63" ht="14.25" thickBot="1">
      <c r="A52" s="36" t="s">
        <v>116</v>
      </c>
      <c r="B52" s="44">
        <f>'환기량 산정'!I1486</f>
        <v>1.0750999999999999</v>
      </c>
      <c r="C52" s="38">
        <f t="shared" si="139"/>
        <v>1.0750999999999999</v>
      </c>
      <c r="D52" s="38">
        <f t="shared" si="139"/>
        <v>1.0750999999999999</v>
      </c>
      <c r="E52" s="38">
        <f t="shared" si="139"/>
        <v>1.0750999999999999</v>
      </c>
      <c r="F52" s="38">
        <f t="shared" si="139"/>
        <v>1.0750999999999999</v>
      </c>
      <c r="G52" s="63">
        <f t="shared" si="139"/>
        <v>1.0750999999999999</v>
      </c>
      <c r="H52" s="38">
        <f t="shared" si="139"/>
        <v>1.0750999999999999</v>
      </c>
      <c r="I52" s="39">
        <f t="shared" si="139"/>
        <v>1.0750999999999999</v>
      </c>
      <c r="J52" s="36" t="s">
        <v>116</v>
      </c>
      <c r="K52" s="62">
        <f>B52</f>
        <v>1.0750999999999999</v>
      </c>
      <c r="L52" s="38">
        <f t="shared" si="140"/>
        <v>1.0750999999999999</v>
      </c>
      <c r="M52" s="38">
        <f t="shared" si="140"/>
        <v>1.0750999999999999</v>
      </c>
      <c r="N52" s="38">
        <f t="shared" si="140"/>
        <v>1.0750999999999999</v>
      </c>
      <c r="O52" s="38">
        <f t="shared" si="140"/>
        <v>1.0750999999999999</v>
      </c>
      <c r="P52" s="38">
        <f t="shared" si="140"/>
        <v>1.0750999999999999</v>
      </c>
      <c r="Q52" s="38">
        <f t="shared" si="140"/>
        <v>1.0750999999999999</v>
      </c>
      <c r="R52" s="39">
        <f t="shared" si="140"/>
        <v>1.0750999999999999</v>
      </c>
      <c r="S52" s="181" t="s">
        <v>116</v>
      </c>
      <c r="T52" s="44">
        <f>K52</f>
        <v>1.0750999999999999</v>
      </c>
      <c r="U52" s="38">
        <f t="shared" si="141"/>
        <v>1.0750999999999999</v>
      </c>
      <c r="V52" s="38">
        <f t="shared" si="141"/>
        <v>1.0750999999999999</v>
      </c>
      <c r="W52" s="38">
        <f t="shared" si="141"/>
        <v>1.0750999999999999</v>
      </c>
      <c r="X52" s="38">
        <f t="shared" si="141"/>
        <v>1.0750999999999999</v>
      </c>
      <c r="Y52" s="38">
        <f t="shared" si="141"/>
        <v>1.0750999999999999</v>
      </c>
      <c r="Z52" s="38">
        <f t="shared" si="141"/>
        <v>1.0750999999999999</v>
      </c>
      <c r="AA52" s="39">
        <f t="shared" si="141"/>
        <v>1.0750999999999999</v>
      </c>
      <c r="AB52" s="194" t="s">
        <v>173</v>
      </c>
      <c r="AC52" s="50">
        <f t="shared" ref="AC52:AJ52" si="155">IF(AC51&lt;0,0,IF(AC51&gt;0,ROUNDUP(AC51,0)))</f>
        <v>4</v>
      </c>
      <c r="AD52" s="51">
        <f t="shared" si="155"/>
        <v>4</v>
      </c>
      <c r="AE52" s="51">
        <f t="shared" si="155"/>
        <v>4</v>
      </c>
      <c r="AF52" s="51">
        <f t="shared" si="155"/>
        <v>4</v>
      </c>
      <c r="AG52" s="51">
        <f t="shared" si="155"/>
        <v>4</v>
      </c>
      <c r="AH52" s="51">
        <f t="shared" si="155"/>
        <v>4</v>
      </c>
      <c r="AI52" s="51">
        <f t="shared" si="155"/>
        <v>4</v>
      </c>
      <c r="AJ52" s="52">
        <f t="shared" si="155"/>
        <v>4</v>
      </c>
      <c r="AK52" s="166" t="s">
        <v>125</v>
      </c>
      <c r="AL52" s="44">
        <f>ROUND(AL47-AL48,4)</f>
        <v>4.7895000000000003</v>
      </c>
      <c r="AM52" s="38">
        <f t="shared" ref="AM52:AS52" si="156">ROUND(AM47-AM48,4)</f>
        <v>1.1504000000000001</v>
      </c>
      <c r="AN52" s="38">
        <f t="shared" si="156"/>
        <v>1.4912000000000001</v>
      </c>
      <c r="AO52" s="38">
        <f t="shared" si="156"/>
        <v>1.7441</v>
      </c>
      <c r="AP52" s="38">
        <f t="shared" si="156"/>
        <v>1.8979999999999999</v>
      </c>
      <c r="AQ52" s="38">
        <f t="shared" si="156"/>
        <v>2.0409000000000002</v>
      </c>
      <c r="AR52" s="38">
        <f t="shared" si="156"/>
        <v>2.1288999999999998</v>
      </c>
      <c r="AS52" s="39">
        <f t="shared" si="156"/>
        <v>2.1949000000000001</v>
      </c>
      <c r="AT52" s="36" t="s">
        <v>116</v>
      </c>
      <c r="AU52" s="327">
        <f t="shared" si="144"/>
        <v>1.0750999999999999</v>
      </c>
      <c r="AV52" s="328">
        <f t="shared" si="145"/>
        <v>1.0750999999999999</v>
      </c>
      <c r="AW52" s="328">
        <f t="shared" si="145"/>
        <v>1.0750999999999999</v>
      </c>
      <c r="AX52" s="328">
        <f t="shared" si="145"/>
        <v>1.0750999999999999</v>
      </c>
      <c r="AY52" s="328">
        <f t="shared" si="145"/>
        <v>1.0750999999999999</v>
      </c>
      <c r="AZ52" s="328">
        <f t="shared" si="145"/>
        <v>1.0750999999999999</v>
      </c>
      <c r="BA52" s="328">
        <f t="shared" si="145"/>
        <v>1.0750999999999999</v>
      </c>
      <c r="BB52" s="329">
        <f t="shared" si="145"/>
        <v>1.0750999999999999</v>
      </c>
      <c r="BC52" s="36" t="s">
        <v>116</v>
      </c>
      <c r="BD52" s="327">
        <f t="shared" si="146"/>
        <v>1.0750999999999999</v>
      </c>
      <c r="BE52" s="328">
        <f t="shared" si="147"/>
        <v>1.0750999999999999</v>
      </c>
      <c r="BF52" s="328">
        <f t="shared" si="147"/>
        <v>1.0750999999999999</v>
      </c>
      <c r="BG52" s="328">
        <f t="shared" si="147"/>
        <v>1.0750999999999999</v>
      </c>
      <c r="BH52" s="328">
        <f t="shared" si="147"/>
        <v>1.0750999999999999</v>
      </c>
      <c r="BI52" s="328">
        <f t="shared" si="147"/>
        <v>1.0750999999999999</v>
      </c>
      <c r="BJ52" s="328">
        <f t="shared" si="147"/>
        <v>1.0750999999999999</v>
      </c>
      <c r="BK52" s="329">
        <f t="shared" si="147"/>
        <v>1.0750999999999999</v>
      </c>
    </row>
    <row r="53" spans="1:63" ht="14.25" thickBot="1">
      <c r="A53" s="36" t="s">
        <v>117</v>
      </c>
      <c r="B53" s="44">
        <f t="shared" ref="B53:I53" si="157">IF($C$3=630,0.27,IF($C$3=710,0.396,IF($C$3=1030,0.83,IF($C$3=1250,1.227,IF($C$3=1530,1.83)))))</f>
        <v>0.83</v>
      </c>
      <c r="C53" s="38">
        <f t="shared" si="157"/>
        <v>0.83</v>
      </c>
      <c r="D53" s="38">
        <f t="shared" si="157"/>
        <v>0.83</v>
      </c>
      <c r="E53" s="38">
        <f t="shared" si="157"/>
        <v>0.83</v>
      </c>
      <c r="F53" s="38">
        <f t="shared" si="157"/>
        <v>0.83</v>
      </c>
      <c r="G53" s="63">
        <f t="shared" si="157"/>
        <v>0.83</v>
      </c>
      <c r="H53" s="38">
        <f t="shared" si="157"/>
        <v>0.83</v>
      </c>
      <c r="I53" s="39">
        <f t="shared" si="157"/>
        <v>0.83</v>
      </c>
      <c r="J53" s="36" t="s">
        <v>117</v>
      </c>
      <c r="K53" s="62">
        <f t="shared" ref="K53:R53" si="158">IF($C$3=630,0.27,IF($C$3=710,0.396,IF($C$3=1030,0.83,IF($C$3=1250,1.227,IF($C$3=1530,1.83)))))</f>
        <v>0.83</v>
      </c>
      <c r="L53" s="38">
        <f t="shared" si="158"/>
        <v>0.83</v>
      </c>
      <c r="M53" s="38">
        <f t="shared" si="158"/>
        <v>0.83</v>
      </c>
      <c r="N53" s="38">
        <f t="shared" si="158"/>
        <v>0.83</v>
      </c>
      <c r="O53" s="38">
        <f t="shared" si="158"/>
        <v>0.83</v>
      </c>
      <c r="P53" s="38">
        <f t="shared" si="158"/>
        <v>0.83</v>
      </c>
      <c r="Q53" s="38">
        <f t="shared" si="158"/>
        <v>0.83</v>
      </c>
      <c r="R53" s="39">
        <f t="shared" si="158"/>
        <v>0.83</v>
      </c>
      <c r="S53" s="181" t="s">
        <v>117</v>
      </c>
      <c r="T53" s="44">
        <f t="shared" ref="T53:AA53" si="159">IF($C$3=630,0.27,IF($C$3=710,0.396,IF($C$3=1030,0.83,IF($C$3=1250,1.227,IF($C$3=1530,1.83)))))</f>
        <v>0.83</v>
      </c>
      <c r="U53" s="38">
        <f t="shared" si="159"/>
        <v>0.83</v>
      </c>
      <c r="V53" s="38">
        <f t="shared" si="159"/>
        <v>0.83</v>
      </c>
      <c r="W53" s="38">
        <f t="shared" si="159"/>
        <v>0.83</v>
      </c>
      <c r="X53" s="38">
        <f t="shared" si="159"/>
        <v>0.83</v>
      </c>
      <c r="Y53" s="38">
        <f t="shared" si="159"/>
        <v>0.83</v>
      </c>
      <c r="Z53" s="38">
        <f t="shared" si="159"/>
        <v>0.83</v>
      </c>
      <c r="AA53" s="39">
        <f t="shared" si="159"/>
        <v>0.83</v>
      </c>
      <c r="AB53" s="195" t="str">
        <f>CONCATENATE("예비용 ",AC55," 포함")</f>
        <v>예비용 2 포함</v>
      </c>
      <c r="AC53" s="132">
        <f t="shared" ref="AC53:AJ53" si="160">AC52+$AC$55</f>
        <v>6</v>
      </c>
      <c r="AD53" s="133">
        <f t="shared" si="160"/>
        <v>6</v>
      </c>
      <c r="AE53" s="133">
        <f t="shared" si="160"/>
        <v>6</v>
      </c>
      <c r="AF53" s="133">
        <f t="shared" si="160"/>
        <v>6</v>
      </c>
      <c r="AG53" s="133">
        <f t="shared" si="160"/>
        <v>6</v>
      </c>
      <c r="AH53" s="133">
        <f t="shared" si="160"/>
        <v>6</v>
      </c>
      <c r="AI53" s="133">
        <f t="shared" si="160"/>
        <v>6</v>
      </c>
      <c r="AJ53" s="134">
        <f t="shared" si="160"/>
        <v>6</v>
      </c>
      <c r="AK53" s="166" t="s">
        <v>251</v>
      </c>
      <c r="AL53" s="44">
        <f t="shared" ref="AL53:AS53" si="161">ROUND(2*AL48*B41+AL49*AL46,4)</f>
        <v>-11.252800000000001</v>
      </c>
      <c r="AM53" s="38">
        <f t="shared" si="161"/>
        <v>16.993600000000001</v>
      </c>
      <c r="AN53" s="38">
        <f t="shared" si="161"/>
        <v>19.7821</v>
      </c>
      <c r="AO53" s="38">
        <f t="shared" si="161"/>
        <v>20.764600000000002</v>
      </c>
      <c r="AP53" s="38">
        <f t="shared" si="161"/>
        <v>21.685099999999998</v>
      </c>
      <c r="AQ53" s="38">
        <f t="shared" si="161"/>
        <v>21.260899999999999</v>
      </c>
      <c r="AR53" s="38">
        <f t="shared" si="161"/>
        <v>21.372299999999999</v>
      </c>
      <c r="AS53" s="39">
        <f t="shared" si="161"/>
        <v>21.4956</v>
      </c>
      <c r="AT53" s="36" t="s">
        <v>117</v>
      </c>
      <c r="AU53" s="327">
        <f t="shared" si="144"/>
        <v>0.83</v>
      </c>
      <c r="AV53" s="328">
        <f t="shared" ref="AV53:BB53" si="162">IF($C$3=630,0.27,IF($C$3=710,0.396,IF($C$3=1030,0.83,IF($C$3=1250,1.227,IF($C$3=1530,1.83)))))</f>
        <v>0.83</v>
      </c>
      <c r="AW53" s="328">
        <f t="shared" si="162"/>
        <v>0.83</v>
      </c>
      <c r="AX53" s="328">
        <f t="shared" si="162"/>
        <v>0.83</v>
      </c>
      <c r="AY53" s="328">
        <f t="shared" si="162"/>
        <v>0.83</v>
      </c>
      <c r="AZ53" s="328">
        <f t="shared" si="162"/>
        <v>0.83</v>
      </c>
      <c r="BA53" s="328">
        <f t="shared" si="162"/>
        <v>0.83</v>
      </c>
      <c r="BB53" s="329">
        <f t="shared" si="162"/>
        <v>0.83</v>
      </c>
      <c r="BC53" s="36" t="s">
        <v>117</v>
      </c>
      <c r="BD53" s="327">
        <f t="shared" si="146"/>
        <v>0.83</v>
      </c>
      <c r="BE53" s="328">
        <f t="shared" ref="BE53:BK53" si="163">IF($C$3=630,0.27,IF($C$3=710,0.396,IF($C$3=1030,0.83,IF($C$3=1250,1.227,IF($C$3=1530,1.83)))))</f>
        <v>0.83</v>
      </c>
      <c r="BF53" s="328">
        <f t="shared" si="163"/>
        <v>0.83</v>
      </c>
      <c r="BG53" s="328">
        <f t="shared" si="163"/>
        <v>0.83</v>
      </c>
      <c r="BH53" s="328">
        <f t="shared" si="163"/>
        <v>0.83</v>
      </c>
      <c r="BI53" s="328">
        <f t="shared" si="163"/>
        <v>0.83</v>
      </c>
      <c r="BJ53" s="328">
        <f t="shared" si="163"/>
        <v>0.83</v>
      </c>
      <c r="BK53" s="329">
        <f t="shared" si="163"/>
        <v>0.83</v>
      </c>
    </row>
    <row r="54" spans="1:63" ht="15.75">
      <c r="A54" s="36" t="s">
        <v>118</v>
      </c>
      <c r="B54" s="62">
        <f>B20</f>
        <v>30</v>
      </c>
      <c r="C54" s="38">
        <f t="shared" ref="C54:I54" si="164">B54</f>
        <v>30</v>
      </c>
      <c r="D54" s="38">
        <f t="shared" si="164"/>
        <v>30</v>
      </c>
      <c r="E54" s="38">
        <f t="shared" si="164"/>
        <v>30</v>
      </c>
      <c r="F54" s="38">
        <f t="shared" si="164"/>
        <v>30</v>
      </c>
      <c r="G54" s="63">
        <f t="shared" si="164"/>
        <v>30</v>
      </c>
      <c r="H54" s="38">
        <f t="shared" si="164"/>
        <v>30</v>
      </c>
      <c r="I54" s="39">
        <f t="shared" si="164"/>
        <v>30</v>
      </c>
      <c r="J54" s="36" t="s">
        <v>118</v>
      </c>
      <c r="K54" s="62">
        <f>B54</f>
        <v>30</v>
      </c>
      <c r="L54" s="38">
        <f t="shared" ref="L54:R54" si="165">K54</f>
        <v>30</v>
      </c>
      <c r="M54" s="38">
        <f t="shared" si="165"/>
        <v>30</v>
      </c>
      <c r="N54" s="38">
        <f t="shared" si="165"/>
        <v>30</v>
      </c>
      <c r="O54" s="38">
        <f t="shared" si="165"/>
        <v>30</v>
      </c>
      <c r="P54" s="38">
        <f t="shared" si="165"/>
        <v>30</v>
      </c>
      <c r="Q54" s="38">
        <f t="shared" si="165"/>
        <v>30</v>
      </c>
      <c r="R54" s="39">
        <f t="shared" si="165"/>
        <v>30</v>
      </c>
      <c r="S54" s="181" t="s">
        <v>118</v>
      </c>
      <c r="T54" s="62">
        <f>K54</f>
        <v>30</v>
      </c>
      <c r="U54" s="38">
        <f t="shared" ref="U54:AA54" si="166">T54</f>
        <v>30</v>
      </c>
      <c r="V54" s="38">
        <f t="shared" si="166"/>
        <v>30</v>
      </c>
      <c r="W54" s="38">
        <f t="shared" si="166"/>
        <v>30</v>
      </c>
      <c r="X54" s="38">
        <f t="shared" si="166"/>
        <v>30</v>
      </c>
      <c r="Y54" s="38">
        <f t="shared" si="166"/>
        <v>30</v>
      </c>
      <c r="Z54" s="38">
        <f t="shared" si="166"/>
        <v>30</v>
      </c>
      <c r="AA54" s="39">
        <f t="shared" si="166"/>
        <v>30</v>
      </c>
      <c r="AJ54" s="72"/>
      <c r="AK54" s="166" t="s">
        <v>252</v>
      </c>
      <c r="AL54" s="44">
        <f t="shared" ref="AL54:AS54" si="167">ROUND(AL47*B44^2-AL48*B41^2-AL49*B54*AL46,4)</f>
        <v>18.5411</v>
      </c>
      <c r="AM54" s="38">
        <f t="shared" si="167"/>
        <v>-30.500900000000001</v>
      </c>
      <c r="AN54" s="38">
        <f t="shared" si="167"/>
        <v>-65.6511</v>
      </c>
      <c r="AO54" s="38">
        <f t="shared" si="167"/>
        <v>-98.605999999999995</v>
      </c>
      <c r="AP54" s="38">
        <f t="shared" si="167"/>
        <v>-133.86150000000001</v>
      </c>
      <c r="AQ54" s="38">
        <f t="shared" si="167"/>
        <v>-160.46850000000001</v>
      </c>
      <c r="AR54" s="38">
        <f t="shared" si="167"/>
        <v>-190.99789999999999</v>
      </c>
      <c r="AS54" s="39">
        <f t="shared" si="167"/>
        <v>-222.0752</v>
      </c>
      <c r="AT54" s="36" t="s">
        <v>118</v>
      </c>
      <c r="AU54" s="327">
        <f t="shared" si="144"/>
        <v>30</v>
      </c>
      <c r="AV54" s="328">
        <f t="shared" ref="AV54:BB54" si="168">AU54</f>
        <v>30</v>
      </c>
      <c r="AW54" s="328">
        <f t="shared" si="168"/>
        <v>30</v>
      </c>
      <c r="AX54" s="328">
        <f t="shared" si="168"/>
        <v>30</v>
      </c>
      <c r="AY54" s="328">
        <f t="shared" si="168"/>
        <v>30</v>
      </c>
      <c r="AZ54" s="328">
        <f t="shared" si="168"/>
        <v>30</v>
      </c>
      <c r="BA54" s="328">
        <f t="shared" si="168"/>
        <v>30</v>
      </c>
      <c r="BB54" s="329">
        <f t="shared" si="168"/>
        <v>30</v>
      </c>
      <c r="BC54" s="36" t="s">
        <v>118</v>
      </c>
      <c r="BD54" s="327">
        <f t="shared" si="146"/>
        <v>30</v>
      </c>
      <c r="BE54" s="328">
        <f t="shared" ref="BE54:BK54" si="169">BD54</f>
        <v>30</v>
      </c>
      <c r="BF54" s="328">
        <f t="shared" si="169"/>
        <v>30</v>
      </c>
      <c r="BG54" s="328">
        <f t="shared" si="169"/>
        <v>30</v>
      </c>
      <c r="BH54" s="328">
        <f t="shared" si="169"/>
        <v>30</v>
      </c>
      <c r="BI54" s="328">
        <f t="shared" si="169"/>
        <v>30</v>
      </c>
      <c r="BJ54" s="328">
        <f t="shared" si="169"/>
        <v>30</v>
      </c>
      <c r="BK54" s="329">
        <f t="shared" si="169"/>
        <v>30</v>
      </c>
    </row>
    <row r="55" spans="1:63">
      <c r="A55" s="36" t="s">
        <v>119</v>
      </c>
      <c r="B55" s="44">
        <f t="shared" ref="B55:I55" si="170">ROUND(B45*B47/3600/B41+0.4,0)</f>
        <v>192</v>
      </c>
      <c r="C55" s="38">
        <f t="shared" si="170"/>
        <v>139</v>
      </c>
      <c r="D55" s="38">
        <f t="shared" si="170"/>
        <v>108</v>
      </c>
      <c r="E55" s="38">
        <f t="shared" si="170"/>
        <v>85</v>
      </c>
      <c r="F55" s="38">
        <f t="shared" si="170"/>
        <v>71</v>
      </c>
      <c r="G55" s="63">
        <f t="shared" si="170"/>
        <v>58</v>
      </c>
      <c r="H55" s="38">
        <f t="shared" si="170"/>
        <v>50</v>
      </c>
      <c r="I55" s="39">
        <f t="shared" si="170"/>
        <v>44</v>
      </c>
      <c r="J55" s="36" t="s">
        <v>119</v>
      </c>
      <c r="K55" s="62">
        <f t="shared" ref="K55:R55" si="171">ROUND(K45*K47/3600/K41+0.4,0)</f>
        <v>192</v>
      </c>
      <c r="L55" s="38">
        <f t="shared" si="171"/>
        <v>139</v>
      </c>
      <c r="M55" s="38">
        <f t="shared" si="171"/>
        <v>108</v>
      </c>
      <c r="N55" s="38">
        <f t="shared" si="171"/>
        <v>85</v>
      </c>
      <c r="O55" s="38">
        <f t="shared" si="171"/>
        <v>71</v>
      </c>
      <c r="P55" s="38">
        <f t="shared" si="171"/>
        <v>58</v>
      </c>
      <c r="Q55" s="38">
        <f t="shared" si="171"/>
        <v>50</v>
      </c>
      <c r="R55" s="39">
        <f t="shared" si="171"/>
        <v>44</v>
      </c>
      <c r="S55" s="181" t="s">
        <v>119</v>
      </c>
      <c r="T55" s="44">
        <f t="shared" ref="T55:AA55" si="172">ROUND(T45*T47/3600/T41+0.4,0)</f>
        <v>192</v>
      </c>
      <c r="U55" s="38">
        <f t="shared" si="172"/>
        <v>139</v>
      </c>
      <c r="V55" s="38">
        <f t="shared" si="172"/>
        <v>108</v>
      </c>
      <c r="W55" s="38">
        <f t="shared" si="172"/>
        <v>85</v>
      </c>
      <c r="X55" s="38">
        <f t="shared" si="172"/>
        <v>71</v>
      </c>
      <c r="Y55" s="38">
        <f t="shared" si="172"/>
        <v>58</v>
      </c>
      <c r="Z55" s="38">
        <f t="shared" si="172"/>
        <v>50</v>
      </c>
      <c r="AA55" s="39">
        <f t="shared" si="172"/>
        <v>44</v>
      </c>
      <c r="AB55" s="12" t="s">
        <v>221</v>
      </c>
      <c r="AC55" s="135">
        <f>AC21</f>
        <v>2</v>
      </c>
      <c r="AD55" s="3" t="s">
        <v>213</v>
      </c>
      <c r="AE55" s="7"/>
      <c r="AF55" s="7"/>
      <c r="AG55" s="7"/>
      <c r="AH55" s="7"/>
      <c r="AI55" s="7"/>
      <c r="AJ55" s="7"/>
      <c r="AK55" s="167" t="s">
        <v>126</v>
      </c>
      <c r="AL55" s="170">
        <f t="shared" ref="AL55:AS55" si="173">ROUND(AL50*B46,4)</f>
        <v>0</v>
      </c>
      <c r="AM55" s="171">
        <f t="shared" si="173"/>
        <v>94.914000000000001</v>
      </c>
      <c r="AN55" s="171">
        <f t="shared" si="173"/>
        <v>161.28980000000001</v>
      </c>
      <c r="AO55" s="171">
        <f t="shared" si="173"/>
        <v>213.41409999999999</v>
      </c>
      <c r="AP55" s="171">
        <f t="shared" si="173"/>
        <v>260.75080000000003</v>
      </c>
      <c r="AQ55" s="171">
        <f t="shared" si="173"/>
        <v>297.76710000000003</v>
      </c>
      <c r="AR55" s="171">
        <f t="shared" si="173"/>
        <v>334.44299999999998</v>
      </c>
      <c r="AS55" s="172">
        <f t="shared" si="173"/>
        <v>369.0831</v>
      </c>
      <c r="AT55" s="36" t="s">
        <v>119</v>
      </c>
      <c r="AU55" s="327">
        <f t="shared" si="144"/>
        <v>192</v>
      </c>
      <c r="AV55" s="328">
        <f t="shared" ref="AV55:BB55" si="174">ROUND(AV45*AV47/3600/AV41+0.4,0)</f>
        <v>139</v>
      </c>
      <c r="AW55" s="328">
        <f t="shared" si="174"/>
        <v>108</v>
      </c>
      <c r="AX55" s="328">
        <f t="shared" si="174"/>
        <v>85</v>
      </c>
      <c r="AY55" s="328">
        <f t="shared" si="174"/>
        <v>71</v>
      </c>
      <c r="AZ55" s="328">
        <f t="shared" si="174"/>
        <v>58</v>
      </c>
      <c r="BA55" s="328">
        <f t="shared" si="174"/>
        <v>50</v>
      </c>
      <c r="BB55" s="329">
        <f t="shared" si="174"/>
        <v>44</v>
      </c>
      <c r="BC55" s="36" t="s">
        <v>119</v>
      </c>
      <c r="BD55" s="327">
        <f t="shared" si="146"/>
        <v>192</v>
      </c>
      <c r="BE55" s="328">
        <f t="shared" ref="BE55:BK55" si="175">ROUND(BE45*BE47/3600/BE41+0.4,0)</f>
        <v>139</v>
      </c>
      <c r="BF55" s="328">
        <f t="shared" si="175"/>
        <v>108</v>
      </c>
      <c r="BG55" s="328">
        <f t="shared" si="175"/>
        <v>85</v>
      </c>
      <c r="BH55" s="328">
        <f t="shared" si="175"/>
        <v>71</v>
      </c>
      <c r="BI55" s="328">
        <f t="shared" si="175"/>
        <v>58</v>
      </c>
      <c r="BJ55" s="328">
        <f t="shared" si="175"/>
        <v>50</v>
      </c>
      <c r="BK55" s="329">
        <f t="shared" si="175"/>
        <v>44</v>
      </c>
    </row>
    <row r="56" spans="1:63">
      <c r="A56" s="36" t="s">
        <v>343</v>
      </c>
      <c r="B56" s="44">
        <f>IF(B43&lt;4,0.99,IF(B43&lt;8,0.92,0.9))</f>
        <v>0.99</v>
      </c>
      <c r="C56" s="38">
        <f t="shared" ref="C56:I56" si="176">IF(C43&lt;4,0.99,IF(C43&lt;8,0.92,0.9))</f>
        <v>0.99</v>
      </c>
      <c r="D56" s="38">
        <f t="shared" si="176"/>
        <v>0.99</v>
      </c>
      <c r="E56" s="38">
        <f t="shared" si="176"/>
        <v>0.99</v>
      </c>
      <c r="F56" s="38">
        <f t="shared" si="176"/>
        <v>0.99</v>
      </c>
      <c r="G56" s="38">
        <f t="shared" si="176"/>
        <v>0.99</v>
      </c>
      <c r="H56" s="38">
        <f t="shared" si="176"/>
        <v>0.99</v>
      </c>
      <c r="I56" s="39">
        <f t="shared" si="176"/>
        <v>0.99</v>
      </c>
      <c r="J56" s="36" t="s">
        <v>343</v>
      </c>
      <c r="K56" s="44">
        <f>IF(K43&lt;4,0.99,IF(K43&lt;8,0.92,0.9))</f>
        <v>0.99</v>
      </c>
      <c r="L56" s="38">
        <f t="shared" ref="L56:R56" si="177">IF(L43&lt;4,0.99,IF(L43&lt;8,0.92,0.9))</f>
        <v>0.99</v>
      </c>
      <c r="M56" s="38">
        <f t="shared" si="177"/>
        <v>0.99</v>
      </c>
      <c r="N56" s="38">
        <f t="shared" si="177"/>
        <v>0.99</v>
      </c>
      <c r="O56" s="38">
        <f t="shared" si="177"/>
        <v>0.99</v>
      </c>
      <c r="P56" s="38">
        <f t="shared" si="177"/>
        <v>0.99</v>
      </c>
      <c r="Q56" s="38">
        <f t="shared" si="177"/>
        <v>0.99</v>
      </c>
      <c r="R56" s="39">
        <f t="shared" si="177"/>
        <v>0.99</v>
      </c>
      <c r="S56" s="36" t="s">
        <v>343</v>
      </c>
      <c r="T56" s="44">
        <f>IF(T43&lt;4,0.99,IF(T43&lt;8,0.92,0.9))</f>
        <v>0.99</v>
      </c>
      <c r="U56" s="38">
        <f t="shared" ref="U56:AA56" si="178">IF(U43&lt;4,0.99,IF(U43&lt;8,0.92,0.9))</f>
        <v>0.99</v>
      </c>
      <c r="V56" s="38">
        <f t="shared" si="178"/>
        <v>0.99</v>
      </c>
      <c r="W56" s="38">
        <f t="shared" si="178"/>
        <v>0.99</v>
      </c>
      <c r="X56" s="38">
        <f t="shared" si="178"/>
        <v>0.99</v>
      </c>
      <c r="Y56" s="38">
        <f t="shared" si="178"/>
        <v>0.99</v>
      </c>
      <c r="Z56" s="38">
        <f t="shared" si="178"/>
        <v>0.99</v>
      </c>
      <c r="AA56" s="39">
        <f t="shared" si="178"/>
        <v>0.99</v>
      </c>
      <c r="AB56" s="12"/>
      <c r="AC56" s="141"/>
      <c r="AE56" s="13"/>
      <c r="AF56" s="142"/>
      <c r="AG56" s="141"/>
      <c r="AH56" s="13"/>
      <c r="AK56" s="168" t="s">
        <v>228</v>
      </c>
      <c r="AL56" s="62" t="e">
        <f t="shared" ref="AL56:AS56" si="179">ROUND(B42/AL55,4)</f>
        <v>#DIV/0!</v>
      </c>
      <c r="AM56" s="63">
        <f t="shared" si="179"/>
        <v>0.1686</v>
      </c>
      <c r="AN56" s="63">
        <f t="shared" si="179"/>
        <v>0.10539999999999999</v>
      </c>
      <c r="AO56" s="63">
        <f t="shared" si="179"/>
        <v>8.43E-2</v>
      </c>
      <c r="AP56" s="63">
        <f t="shared" si="179"/>
        <v>9.5899999999999999E-2</v>
      </c>
      <c r="AQ56" s="63">
        <f t="shared" si="179"/>
        <v>8.4000000000000005E-2</v>
      </c>
      <c r="AR56" s="63">
        <f t="shared" si="179"/>
        <v>7.4800000000000005E-2</v>
      </c>
      <c r="AS56" s="64">
        <f t="shared" si="179"/>
        <v>7.0400000000000004E-2</v>
      </c>
      <c r="AT56" s="69" t="s">
        <v>343</v>
      </c>
      <c r="AU56" s="350">
        <f t="shared" ref="AU56:BB56" si="180">IF(AU43&lt;4,0.99,IF(AU43&lt;8,0.92,0.9))</f>
        <v>0.99</v>
      </c>
      <c r="AV56" s="328">
        <f t="shared" si="180"/>
        <v>0.99</v>
      </c>
      <c r="AW56" s="328">
        <f t="shared" si="180"/>
        <v>0.99</v>
      </c>
      <c r="AX56" s="328">
        <f t="shared" si="180"/>
        <v>0.99</v>
      </c>
      <c r="AY56" s="328">
        <f t="shared" si="180"/>
        <v>0.99</v>
      </c>
      <c r="AZ56" s="328">
        <f t="shared" si="180"/>
        <v>0.99</v>
      </c>
      <c r="BA56" s="328">
        <f t="shared" si="180"/>
        <v>0.99</v>
      </c>
      <c r="BB56" s="329">
        <f t="shared" si="180"/>
        <v>0.99</v>
      </c>
      <c r="BC56" s="69" t="s">
        <v>343</v>
      </c>
      <c r="BD56" s="350">
        <f t="shared" ref="BD56:BK56" si="181">IF(BD43&lt;4,0.99,IF(BD43&lt;8,0.92,0.9))</f>
        <v>0.99</v>
      </c>
      <c r="BE56" s="328">
        <f t="shared" si="181"/>
        <v>0.99</v>
      </c>
      <c r="BF56" s="328">
        <f t="shared" si="181"/>
        <v>0.99</v>
      </c>
      <c r="BG56" s="328">
        <f t="shared" si="181"/>
        <v>0.99</v>
      </c>
      <c r="BH56" s="328">
        <f t="shared" si="181"/>
        <v>0.99</v>
      </c>
      <c r="BI56" s="328">
        <f t="shared" si="181"/>
        <v>0.99</v>
      </c>
      <c r="BJ56" s="328">
        <f t="shared" si="181"/>
        <v>0.99</v>
      </c>
      <c r="BK56" s="329">
        <f t="shared" si="181"/>
        <v>0.99</v>
      </c>
    </row>
    <row r="57" spans="1:63" ht="15.75">
      <c r="A57" s="36" t="s">
        <v>154</v>
      </c>
      <c r="B57" s="44">
        <f t="shared" ref="B57:I57" si="182">ROUND((1+B49+B50*B47/B51)*B48/2*B43^2,4)</f>
        <v>7.7799999999999994E-2</v>
      </c>
      <c r="C57" s="38">
        <f t="shared" si="182"/>
        <v>0.19919999999999999</v>
      </c>
      <c r="D57" s="38">
        <f t="shared" si="182"/>
        <v>0.2248</v>
      </c>
      <c r="E57" s="38">
        <f t="shared" si="182"/>
        <v>0.25209999999999999</v>
      </c>
      <c r="F57" s="38">
        <f t="shared" si="182"/>
        <v>0.48630000000000001</v>
      </c>
      <c r="G57" s="63">
        <f t="shared" si="182"/>
        <v>0.48630000000000001</v>
      </c>
      <c r="H57" s="38">
        <f t="shared" si="182"/>
        <v>0.48630000000000001</v>
      </c>
      <c r="I57" s="39">
        <f t="shared" si="182"/>
        <v>0.52590000000000003</v>
      </c>
      <c r="J57" s="36" t="s">
        <v>154</v>
      </c>
      <c r="K57" s="62">
        <f t="shared" ref="K57:R57" si="183">ROUND((1+K49+K50*K47/K51)*K48/2*K43^2,4)</f>
        <v>0.65449999999999997</v>
      </c>
      <c r="L57" s="38">
        <f t="shared" si="183"/>
        <v>0.61</v>
      </c>
      <c r="M57" s="38">
        <f t="shared" si="183"/>
        <v>0.34310000000000002</v>
      </c>
      <c r="N57" s="38">
        <f t="shared" si="183"/>
        <v>0.28079999999999999</v>
      </c>
      <c r="O57" s="38">
        <f t="shared" si="183"/>
        <v>0.25209999999999999</v>
      </c>
      <c r="P57" s="38">
        <f t="shared" si="183"/>
        <v>0.2248</v>
      </c>
      <c r="Q57" s="38">
        <f t="shared" si="183"/>
        <v>0.2248</v>
      </c>
      <c r="R57" s="39">
        <f t="shared" si="183"/>
        <v>0.28079999999999999</v>
      </c>
      <c r="S57" s="181" t="s">
        <v>154</v>
      </c>
      <c r="T57" s="44">
        <f t="shared" ref="T57:AA57" si="184">ROUND((1+T49+T50*T47/T51)*T48/2*T43^2,4)</f>
        <v>1.9400000000000001E-2</v>
      </c>
      <c r="U57" s="38">
        <f t="shared" si="184"/>
        <v>1.2500000000000001E-2</v>
      </c>
      <c r="V57" s="38">
        <f t="shared" si="184"/>
        <v>1.2500000000000001E-2</v>
      </c>
      <c r="W57" s="38">
        <f t="shared" si="184"/>
        <v>7.0000000000000001E-3</v>
      </c>
      <c r="X57" s="38">
        <f t="shared" si="184"/>
        <v>7.0000000000000001E-3</v>
      </c>
      <c r="Y57" s="38">
        <f t="shared" si="184"/>
        <v>7.0000000000000001E-3</v>
      </c>
      <c r="Z57" s="38">
        <f t="shared" si="184"/>
        <v>1.2500000000000001E-2</v>
      </c>
      <c r="AA57" s="39">
        <f t="shared" si="184"/>
        <v>1.2500000000000001E-2</v>
      </c>
      <c r="AI57" s="13"/>
      <c r="AK57" s="69" t="s">
        <v>229</v>
      </c>
      <c r="AL57" s="179" t="e">
        <f t="shared" ref="AL57:AS57" si="185">ROUND(K42/AL55,4)</f>
        <v>#DIV/0!</v>
      </c>
      <c r="AM57" s="63">
        <f t="shared" si="185"/>
        <v>0.29499999999999998</v>
      </c>
      <c r="AN57" s="63">
        <f t="shared" si="185"/>
        <v>0.13020000000000001</v>
      </c>
      <c r="AO57" s="63">
        <f t="shared" si="185"/>
        <v>8.8999999999999996E-2</v>
      </c>
      <c r="AP57" s="63">
        <f t="shared" si="185"/>
        <v>6.9000000000000006E-2</v>
      </c>
      <c r="AQ57" s="63">
        <f t="shared" si="185"/>
        <v>5.7099999999999998E-2</v>
      </c>
      <c r="AR57" s="63">
        <f t="shared" si="185"/>
        <v>5.0799999999999998E-2</v>
      </c>
      <c r="AS57" s="64">
        <f t="shared" si="185"/>
        <v>5.1499999999999997E-2</v>
      </c>
      <c r="AT57" s="36" t="s">
        <v>154</v>
      </c>
      <c r="AU57" s="327">
        <f t="shared" ref="AU57:BB57" si="186">ROUND((1+AU49+AU50*AU47/AU51)*AU48/2*AU43^2,4)</f>
        <v>0</v>
      </c>
      <c r="AV57" s="328">
        <f t="shared" si="186"/>
        <v>0</v>
      </c>
      <c r="AW57" s="328">
        <f t="shared" si="186"/>
        <v>0</v>
      </c>
      <c r="AX57" s="328">
        <f t="shared" si="186"/>
        <v>0</v>
      </c>
      <c r="AY57" s="328">
        <f t="shared" si="186"/>
        <v>0</v>
      </c>
      <c r="AZ57" s="328">
        <f t="shared" si="186"/>
        <v>0</v>
      </c>
      <c r="BA57" s="328">
        <f t="shared" si="186"/>
        <v>0</v>
      </c>
      <c r="BB57" s="329">
        <f t="shared" si="186"/>
        <v>0</v>
      </c>
      <c r="BC57" s="36" t="s">
        <v>154</v>
      </c>
      <c r="BD57" s="327">
        <f t="shared" ref="BD57:BK57" si="187">ROUND((1+BD49+BD50*BD47/BD51)*BD48/2*BD43^2,4)</f>
        <v>0</v>
      </c>
      <c r="BE57" s="328">
        <f t="shared" si="187"/>
        <v>0</v>
      </c>
      <c r="BF57" s="328">
        <f t="shared" si="187"/>
        <v>0</v>
      </c>
      <c r="BG57" s="328">
        <f t="shared" si="187"/>
        <v>0</v>
      </c>
      <c r="BH57" s="328">
        <f t="shared" si="187"/>
        <v>0</v>
      </c>
      <c r="BI57" s="328">
        <f t="shared" si="187"/>
        <v>0</v>
      </c>
      <c r="BJ57" s="328">
        <f t="shared" si="187"/>
        <v>0</v>
      </c>
      <c r="BK57" s="329">
        <f t="shared" si="187"/>
        <v>0</v>
      </c>
    </row>
    <row r="58" spans="1:63" ht="16.5" thickBot="1">
      <c r="A58" s="36" t="s">
        <v>155</v>
      </c>
      <c r="B58" s="44">
        <f t="shared" ref="B58:I58" si="188">ROUND((1+B49+B50*B47/B51)*B48/2*B44^2,4)</f>
        <v>16.741299999999999</v>
      </c>
      <c r="C58" s="38">
        <f t="shared" si="188"/>
        <v>16.741299999999999</v>
      </c>
      <c r="D58" s="38">
        <f t="shared" si="188"/>
        <v>16.741299999999999</v>
      </c>
      <c r="E58" s="38">
        <f t="shared" si="188"/>
        <v>16.741299999999999</v>
      </c>
      <c r="F58" s="38">
        <f t="shared" si="188"/>
        <v>16.741299999999999</v>
      </c>
      <c r="G58" s="63">
        <f t="shared" si="188"/>
        <v>16.741299999999999</v>
      </c>
      <c r="H58" s="38">
        <f t="shared" si="188"/>
        <v>16.741299999999999</v>
      </c>
      <c r="I58" s="39">
        <f t="shared" si="188"/>
        <v>16.741299999999999</v>
      </c>
      <c r="J58" s="36" t="s">
        <v>155</v>
      </c>
      <c r="K58" s="62">
        <f t="shared" ref="K58:R58" si="189">ROUND((1+K49+K50*K47/K51)*K48/2*K44^2,4)</f>
        <v>16.741299999999999</v>
      </c>
      <c r="L58" s="38">
        <f t="shared" si="189"/>
        <v>16.741299999999999</v>
      </c>
      <c r="M58" s="38">
        <f t="shared" si="189"/>
        <v>16.741299999999999</v>
      </c>
      <c r="N58" s="38">
        <f t="shared" si="189"/>
        <v>16.741299999999999</v>
      </c>
      <c r="O58" s="38">
        <f t="shared" si="189"/>
        <v>16.741299999999999</v>
      </c>
      <c r="P58" s="38">
        <f t="shared" si="189"/>
        <v>16.741299999999999</v>
      </c>
      <c r="Q58" s="38">
        <f t="shared" si="189"/>
        <v>16.741299999999999</v>
      </c>
      <c r="R58" s="39">
        <f t="shared" si="189"/>
        <v>16.741299999999999</v>
      </c>
      <c r="S58" s="181" t="s">
        <v>155</v>
      </c>
      <c r="T58" s="44">
        <f t="shared" ref="T58:AA58" si="190">ROUND((1+T49+T50*T47/T51)*T48/2*T44^2,4)</f>
        <v>16.741299999999999</v>
      </c>
      <c r="U58" s="38">
        <f t="shared" si="190"/>
        <v>16.741299999999999</v>
      </c>
      <c r="V58" s="38">
        <f t="shared" si="190"/>
        <v>16.741299999999999</v>
      </c>
      <c r="W58" s="38">
        <f t="shared" si="190"/>
        <v>16.741299999999999</v>
      </c>
      <c r="X58" s="38">
        <f t="shared" si="190"/>
        <v>16.741299999999999</v>
      </c>
      <c r="Y58" s="38">
        <f t="shared" si="190"/>
        <v>16.741299999999999</v>
      </c>
      <c r="Z58" s="38">
        <f t="shared" si="190"/>
        <v>16.741299999999999</v>
      </c>
      <c r="AA58" s="39">
        <f t="shared" si="190"/>
        <v>16.741299999999999</v>
      </c>
      <c r="AC58" s="136" t="s">
        <v>220</v>
      </c>
      <c r="AD58" s="141">
        <f>C37</f>
        <v>1030</v>
      </c>
      <c r="AH58" s="12" t="s">
        <v>519</v>
      </c>
      <c r="AI58" s="12" t="s">
        <v>423</v>
      </c>
      <c r="AK58" s="69" t="s">
        <v>230</v>
      </c>
      <c r="AL58" s="62" t="e">
        <f t="shared" ref="AL58:AS58" si="191">ROUND(T42/AL55,4)</f>
        <v>#DIV/0!</v>
      </c>
      <c r="AM58" s="63">
        <f t="shared" si="191"/>
        <v>4.2099999999999999E-2</v>
      </c>
      <c r="AN58" s="63">
        <f t="shared" si="191"/>
        <v>2.4799999999999999E-2</v>
      </c>
      <c r="AO58" s="63">
        <f t="shared" si="191"/>
        <v>1.41E-2</v>
      </c>
      <c r="AP58" s="63">
        <f t="shared" si="191"/>
        <v>1.15E-2</v>
      </c>
      <c r="AQ58" s="63">
        <f t="shared" si="191"/>
        <v>1.01E-2</v>
      </c>
      <c r="AR58" s="63">
        <f t="shared" si="191"/>
        <v>1.2E-2</v>
      </c>
      <c r="AS58" s="64">
        <f t="shared" si="191"/>
        <v>1.0800000000000001E-2</v>
      </c>
      <c r="AT58" s="36" t="s">
        <v>155</v>
      </c>
      <c r="AU58" s="327">
        <f t="shared" ref="AU58:BB58" si="192">ROUND((1+AU49+AU50*AU47/AU51)*AU48/2*AU44^2,4)</f>
        <v>16.741299999999999</v>
      </c>
      <c r="AV58" s="328">
        <f t="shared" si="192"/>
        <v>16.741299999999999</v>
      </c>
      <c r="AW58" s="328">
        <f t="shared" si="192"/>
        <v>16.741299999999999</v>
      </c>
      <c r="AX58" s="328">
        <f t="shared" si="192"/>
        <v>16.741299999999999</v>
      </c>
      <c r="AY58" s="328">
        <f t="shared" si="192"/>
        <v>16.741299999999999</v>
      </c>
      <c r="AZ58" s="328">
        <f t="shared" si="192"/>
        <v>16.741299999999999</v>
      </c>
      <c r="BA58" s="328">
        <f t="shared" si="192"/>
        <v>16.741299999999999</v>
      </c>
      <c r="BB58" s="329">
        <f t="shared" si="192"/>
        <v>16.741299999999999</v>
      </c>
      <c r="BC58" s="36" t="s">
        <v>155</v>
      </c>
      <c r="BD58" s="327">
        <f t="shared" ref="BD58:BK58" si="193">ROUND((1+BD49+BD50*BD47/BD51)*BD48/2*BD44^2,4)</f>
        <v>16.741299999999999</v>
      </c>
      <c r="BE58" s="328">
        <f t="shared" si="193"/>
        <v>16.741299999999999</v>
      </c>
      <c r="BF58" s="328">
        <f t="shared" si="193"/>
        <v>16.741299999999999</v>
      </c>
      <c r="BG58" s="328">
        <f t="shared" si="193"/>
        <v>16.741299999999999</v>
      </c>
      <c r="BH58" s="328">
        <f t="shared" si="193"/>
        <v>16.741299999999999</v>
      </c>
      <c r="BI58" s="328">
        <f t="shared" si="193"/>
        <v>16.741299999999999</v>
      </c>
      <c r="BJ58" s="328">
        <f t="shared" si="193"/>
        <v>16.741299999999999</v>
      </c>
      <c r="BK58" s="329">
        <f t="shared" si="193"/>
        <v>16.741299999999999</v>
      </c>
    </row>
    <row r="59" spans="1:63" ht="15.75">
      <c r="A59" s="36" t="s">
        <v>156</v>
      </c>
      <c r="B59" s="44">
        <f t="shared" ref="B59:I59" si="194">IF(B41&gt;B43,ROUND(B48/2*B52/B46*(B41-B43)^2*B55,4),IF(B41&lt;B43,ROUND(-B48/2*B52/B46*(B43-B41)^2*B55,4)))</f>
        <v>14.375299999999999</v>
      </c>
      <c r="C59" s="38">
        <f t="shared" si="194"/>
        <v>42.721899999999998</v>
      </c>
      <c r="D59" s="38">
        <f t="shared" si="194"/>
        <v>76.760199999999998</v>
      </c>
      <c r="E59" s="38">
        <f t="shared" si="194"/>
        <v>109.06659999999999</v>
      </c>
      <c r="F59" s="38">
        <f t="shared" si="194"/>
        <v>141.50380000000001</v>
      </c>
      <c r="G59" s="63">
        <f t="shared" si="194"/>
        <v>168.25839999999999</v>
      </c>
      <c r="H59" s="38">
        <f t="shared" si="194"/>
        <v>198.73779999999999</v>
      </c>
      <c r="I59" s="39">
        <f t="shared" si="194"/>
        <v>229.41030000000001</v>
      </c>
      <c r="J59" s="36" t="s">
        <v>156</v>
      </c>
      <c r="K59" s="62">
        <f>IF('환기량 산정'!K1526=1,IF(K41&gt;K43,ROUND(K48/2*K52/K46*(K41-K43)^2*K55,4),IF(K41&lt;K43,ROUND(-K48/2*K52/K46*(K43-K41)^2*K55,4))),ROUND(K48/2*K52/K46*(K41+K43)^2*K55,4))</f>
        <v>11.0283</v>
      </c>
      <c r="L59" s="38">
        <f t="shared" ref="L59:R59" si="195">IF(L41&gt;L43,ROUND(L48/2*L52/L46*(L41-L43)^2*L55,4),IF(L41&lt;L43,ROUND(-L48/2*L52/L46*(L43-L41)^2*L55,4)))</f>
        <v>39.481099999999998</v>
      </c>
      <c r="M59" s="38">
        <f t="shared" si="195"/>
        <v>75.4636</v>
      </c>
      <c r="N59" s="38">
        <f t="shared" si="195"/>
        <v>108.7236</v>
      </c>
      <c r="O59" s="38">
        <f t="shared" si="195"/>
        <v>144.02260000000001</v>
      </c>
      <c r="P59" s="38">
        <f t="shared" si="195"/>
        <v>171.096</v>
      </c>
      <c r="Q59" s="38">
        <f t="shared" si="195"/>
        <v>201.5994</v>
      </c>
      <c r="R59" s="39">
        <f t="shared" si="195"/>
        <v>231.9307</v>
      </c>
      <c r="S59" s="181" t="s">
        <v>156</v>
      </c>
      <c r="T59" s="44">
        <f>IF('환기량 산정'!K1526=1,IF(T41&gt;T43,ROUND(T48/2*T52/T46*(T41-T43)^2*T55,4),IF(T41&lt;T43,ROUND(-T48/2*T52/T46*(T43-T41)^2*T55,4))),ROUND(T48/2*T52/T46*(T41+T43)^2*T55,4))</f>
        <v>15.3293</v>
      </c>
      <c r="U59" s="38">
        <f t="shared" ref="U59:AA59" si="196">IF(U41&gt;U43,ROUND(U48/2*U52/U46*(U41-U43)^2*U55,4),IF(U41&lt;U43,ROUND(-U48/2*U52/U46*(U43-U41)^2*U55,4)))</f>
        <v>46.090600000000002</v>
      </c>
      <c r="V59" s="38">
        <f t="shared" si="196"/>
        <v>81.047799999999995</v>
      </c>
      <c r="W59" s="38">
        <f t="shared" si="196"/>
        <v>114.2907</v>
      </c>
      <c r="X59" s="38">
        <f t="shared" si="196"/>
        <v>149.49600000000001</v>
      </c>
      <c r="Y59" s="38">
        <f t="shared" si="196"/>
        <v>176.11670000000001</v>
      </c>
      <c r="Z59" s="38">
        <f t="shared" si="196"/>
        <v>206.28989999999999</v>
      </c>
      <c r="AA59" s="39">
        <f t="shared" si="196"/>
        <v>237.37710000000001</v>
      </c>
      <c r="AC59" s="146" t="s">
        <v>214</v>
      </c>
      <c r="AD59" s="147">
        <f>MAX(B65:I65)</f>
        <v>1</v>
      </c>
      <c r="AE59" s="148" t="s">
        <v>213</v>
      </c>
      <c r="AF59" s="147">
        <f>IF($AH$59=I64,I40,IF($AH$59=H64,H40,IF($AH$59=G64,G40,IF($AH$59=F64,F40,IF($AH$59=E64,E40,IF($AH$59=D64,D40,IF($AH$59=C64,C40,IF($AH$59=B64,B40))))))))</f>
        <v>10</v>
      </c>
      <c r="AG59" s="149" t="s">
        <v>219</v>
      </c>
      <c r="AH59" s="3">
        <f>MAX(B64:I64)</f>
        <v>0.17</v>
      </c>
      <c r="AI59" s="3">
        <f>MAX(B43:I43)</f>
        <v>0.44309999999999999</v>
      </c>
      <c r="AK59" s="69" t="s">
        <v>253</v>
      </c>
      <c r="AL59" s="62" t="e">
        <f>ROUND('환기량 산정'!C683/6.25*AL56*AL55,4)</f>
        <v>#DIV/0!</v>
      </c>
      <c r="AM59" s="63">
        <f>ROUND('환기량 산정'!D683/6.25*AM56*AM55,4)</f>
        <v>1.7899999999999999E-2</v>
      </c>
      <c r="AN59" s="63">
        <f>ROUND('환기량 산정'!E683/6.25*AN56*AN55,4)</f>
        <v>1.9E-2</v>
      </c>
      <c r="AO59" s="63">
        <f>ROUND('환기량 산정'!F683/6.25*AO56*AO55,4)</f>
        <v>2.01E-2</v>
      </c>
      <c r="AP59" s="63">
        <f>ROUND('환기량 산정'!G683/6.25*AP56*AP55,4)</f>
        <v>0.02</v>
      </c>
      <c r="AQ59" s="63">
        <f>ROUND('환기량 산정'!H683/6.25*AQ56*AQ55,4)</f>
        <v>0.02</v>
      </c>
      <c r="AR59" s="63">
        <f>ROUND('환기량 산정'!I683/6.25*AR56*AR55,4)</f>
        <v>0.02</v>
      </c>
      <c r="AS59" s="64">
        <f>ROUND('환기량 산정'!J683/6.25*AS56*AS55,4)</f>
        <v>2.0799999999999999E-2</v>
      </c>
      <c r="AT59" s="36" t="s">
        <v>156</v>
      </c>
      <c r="AU59" s="327">
        <f>IF('환기량 산정'!$K$1526=1,IF(AU41&gt;AU43,ROUND(AU48/2*AU52/AU46*(AU41-AU43)^2*AU55,4),IF(AU41&lt;AU43,ROUND(-AU48/2*AU52/AU46*(AU43-AU41)^2*AU55,4))),ROUND(AU48/2*AU52/AU46*(AU41+AU43)^2*AU55,4))</f>
        <v>16.3139</v>
      </c>
      <c r="AV59" s="328">
        <f t="shared" ref="AV59:BB59" si="197">IF(AV41&gt;AV43,ROUND(AV48/2*AV52/AV46*(AV41-AV43)^2*AV55,4),IF(AV41&lt;AV43,ROUND(-AV48/2*AV52/AV46*(AV43-AV41)^2*AV55,4)))</f>
        <v>47.2425</v>
      </c>
      <c r="AW59" s="328">
        <f t="shared" si="197"/>
        <v>82.391400000000004</v>
      </c>
      <c r="AX59" s="328">
        <f t="shared" si="197"/>
        <v>115.3493</v>
      </c>
      <c r="AY59" s="328">
        <f t="shared" si="197"/>
        <v>150.602</v>
      </c>
      <c r="AZ59" s="328">
        <f t="shared" si="197"/>
        <v>177.20140000000001</v>
      </c>
      <c r="BA59" s="328">
        <f t="shared" si="197"/>
        <v>207.745</v>
      </c>
      <c r="BB59" s="329">
        <f t="shared" si="197"/>
        <v>238.84100000000001</v>
      </c>
      <c r="BC59" s="36" t="s">
        <v>156</v>
      </c>
      <c r="BD59" s="327">
        <f>IF('환기량 산정'!$K$1526=1,IF(BD41&gt;BD43,ROUND(BD48/2*BD52/BD46*(BD41-BD43)^2*BD55,4),IF(BD41&lt;BD43,ROUND(-BD48/2*BD52/BD46*(BD43-BD41)^2*BD55,4))),ROUND(BD48/2*BD52/BD46*(BD41+BD43)^2*BD55,4))</f>
        <v>16.3139</v>
      </c>
      <c r="BE59" s="328">
        <f t="shared" ref="BE59:BK59" si="198">IF(BE41&gt;BE43,ROUND(BE48/2*BE52/BE46*(BE41-BE43)^2*BE55,4),IF(BE41&lt;BE43,ROUND(-BE48/2*BE52/BE46*(BE43-BE41)^2*BE55,4)))</f>
        <v>47.2425</v>
      </c>
      <c r="BF59" s="328">
        <f t="shared" si="198"/>
        <v>82.391400000000004</v>
      </c>
      <c r="BG59" s="328">
        <f t="shared" si="198"/>
        <v>115.3493</v>
      </c>
      <c r="BH59" s="328">
        <f t="shared" si="198"/>
        <v>150.602</v>
      </c>
      <c r="BI59" s="328">
        <f t="shared" si="198"/>
        <v>177.20140000000001</v>
      </c>
      <c r="BJ59" s="328">
        <f t="shared" si="198"/>
        <v>207.745</v>
      </c>
      <c r="BK59" s="329">
        <f t="shared" si="198"/>
        <v>238.84100000000001</v>
      </c>
    </row>
    <row r="60" spans="1:63" ht="15.75">
      <c r="A60" s="36" t="s">
        <v>158</v>
      </c>
      <c r="B60" s="44"/>
      <c r="C60" s="38"/>
      <c r="D60" s="38"/>
      <c r="E60" s="38"/>
      <c r="F60" s="38"/>
      <c r="G60" s="63"/>
      <c r="H60" s="38"/>
      <c r="I60" s="39"/>
      <c r="J60" s="36" t="s">
        <v>158</v>
      </c>
      <c r="K60" s="62"/>
      <c r="L60" s="38"/>
      <c r="M60" s="38"/>
      <c r="N60" s="38"/>
      <c r="O60" s="38"/>
      <c r="P60" s="38"/>
      <c r="Q60" s="38"/>
      <c r="R60" s="39"/>
      <c r="S60" s="181" t="s">
        <v>158</v>
      </c>
      <c r="T60" s="44"/>
      <c r="U60" s="38"/>
      <c r="V60" s="38"/>
      <c r="W60" s="38"/>
      <c r="X60" s="38"/>
      <c r="Y60" s="38"/>
      <c r="Z60" s="38"/>
      <c r="AA60" s="39"/>
      <c r="AC60" s="150" t="s">
        <v>215</v>
      </c>
      <c r="AD60" s="151">
        <f>MAX(K65:R65)</f>
        <v>1</v>
      </c>
      <c r="AE60" s="152" t="s">
        <v>213</v>
      </c>
      <c r="AF60" s="151">
        <f>IF($AH$60=R64,R40,IF($AH$60=Q64,Q40,IF($AH$60=P64,P40,IF($AH$60=O64,O40,IF($AH$60=N64,N40,IF($AH$60=M64,M40,IF($AH$60=L64,L40,IF($AH$60=K64,K40))))))))</f>
        <v>10</v>
      </c>
      <c r="AG60" s="153" t="s">
        <v>219</v>
      </c>
      <c r="AH60" s="3">
        <f>MAX(K64:R64)</f>
        <v>0.45</v>
      </c>
      <c r="AI60" s="3">
        <f>MAX(K43:R43)</f>
        <v>0.49430000000000002</v>
      </c>
      <c r="AK60" s="69" t="s">
        <v>254</v>
      </c>
      <c r="AL60" s="62" t="e">
        <f>ROUND(AL57*AL55*'환기량 산정'!C1057*10^-6*1.25*1000,4)</f>
        <v>#DIV/0!</v>
      </c>
      <c r="AM60" s="63">
        <f>ROUND(AM57*AM55*'환기량 산정'!D1057*10^-6*1.25*1000,4)</f>
        <v>2.4500000000000002</v>
      </c>
      <c r="AN60" s="63">
        <f>ROUND(AN57*AN55*'환기량 산정'!E1057*10^-6*1.25*1000,4)</f>
        <v>1.8374999999999999</v>
      </c>
      <c r="AO60" s="63">
        <f>ROUND(AO57*AO55*'환기량 산정'!F1057*10^-6*1.25*1000,4)</f>
        <v>1.6619999999999999</v>
      </c>
      <c r="AP60" s="63">
        <f>ROUND(AP57*AP55*'환기량 산정'!G1057*10^-6*1.25*1000,4)</f>
        <v>1.5743</v>
      </c>
      <c r="AQ60" s="63">
        <f>ROUND(AQ57*AQ55*'환기량 산정'!H1057*10^-6*1.25*1000,4)</f>
        <v>1.4877</v>
      </c>
      <c r="AR60" s="63">
        <f>ROUND(AR57*AR55*'환기량 산정'!I1057*10^-6*1.25*1000,4)</f>
        <v>1.4865999999999999</v>
      </c>
      <c r="AS60" s="64">
        <f>ROUND(AS57*AS55*'환기량 산정'!J1057*10^-6*1.25*1000,4)</f>
        <v>1.6632</v>
      </c>
      <c r="AT60" s="36" t="s">
        <v>158</v>
      </c>
      <c r="AU60" s="327"/>
      <c r="AV60" s="328"/>
      <c r="AW60" s="328"/>
      <c r="AX60" s="328"/>
      <c r="AY60" s="328"/>
      <c r="AZ60" s="328"/>
      <c r="BA60" s="328"/>
      <c r="BB60" s="329"/>
      <c r="BC60" s="36" t="s">
        <v>158</v>
      </c>
      <c r="BD60" s="327"/>
      <c r="BE60" s="328"/>
      <c r="BF60" s="328"/>
      <c r="BG60" s="328"/>
      <c r="BH60" s="328"/>
      <c r="BI60" s="328"/>
      <c r="BJ60" s="328"/>
      <c r="BK60" s="329"/>
    </row>
    <row r="61" spans="1:63">
      <c r="A61" s="36" t="s">
        <v>157</v>
      </c>
      <c r="B61" s="183">
        <f t="shared" ref="B61:I61" si="199">B57+B58-B59</f>
        <v>2.4437999999999995</v>
      </c>
      <c r="C61" s="45">
        <f t="shared" si="199"/>
        <v>-25.781399999999998</v>
      </c>
      <c r="D61" s="45">
        <f t="shared" si="199"/>
        <v>-59.7941</v>
      </c>
      <c r="E61" s="45">
        <f t="shared" si="199"/>
        <v>-92.0732</v>
      </c>
      <c r="F61" s="45">
        <f t="shared" si="199"/>
        <v>-124.27620000000002</v>
      </c>
      <c r="G61" s="138">
        <f t="shared" si="199"/>
        <v>-151.0308</v>
      </c>
      <c r="H61" s="45">
        <f t="shared" si="199"/>
        <v>-181.5102</v>
      </c>
      <c r="I61" s="46">
        <f t="shared" si="199"/>
        <v>-212.1431</v>
      </c>
      <c r="J61" s="36" t="s">
        <v>157</v>
      </c>
      <c r="K61" s="189">
        <f>IF('환기량 산정'!K1526=1,K57+K58-K59,K57+K59-K58)</f>
        <v>6.3674999999999979</v>
      </c>
      <c r="L61" s="45">
        <f t="shared" ref="L61:R61" si="200">L57+L58-L59</f>
        <v>-22.129799999999999</v>
      </c>
      <c r="M61" s="45">
        <f t="shared" si="200"/>
        <v>-58.379199999999997</v>
      </c>
      <c r="N61" s="45">
        <f t="shared" si="200"/>
        <v>-91.70150000000001</v>
      </c>
      <c r="O61" s="45">
        <f t="shared" si="200"/>
        <v>-127.02920000000002</v>
      </c>
      <c r="P61" s="45">
        <f t="shared" si="200"/>
        <v>-154.12990000000002</v>
      </c>
      <c r="Q61" s="45">
        <f t="shared" si="200"/>
        <v>-184.63330000000002</v>
      </c>
      <c r="R61" s="46">
        <f t="shared" si="200"/>
        <v>-214.90860000000001</v>
      </c>
      <c r="S61" s="181" t="s">
        <v>157</v>
      </c>
      <c r="T61" s="183">
        <f>IF('환기량 산정'!K1526=1,T57+T58-T59,T57+T59-T58)</f>
        <v>1.4314</v>
      </c>
      <c r="U61" s="45">
        <f t="shared" ref="U61:AA61" si="201">U57+U58-U59</f>
        <v>-29.336800000000004</v>
      </c>
      <c r="V61" s="45">
        <f t="shared" si="201"/>
        <v>-64.293999999999997</v>
      </c>
      <c r="W61" s="45">
        <f t="shared" si="201"/>
        <v>-97.542400000000001</v>
      </c>
      <c r="X61" s="45">
        <f t="shared" si="201"/>
        <v>-132.74770000000001</v>
      </c>
      <c r="Y61" s="45">
        <f t="shared" si="201"/>
        <v>-159.36840000000001</v>
      </c>
      <c r="Z61" s="45">
        <f t="shared" si="201"/>
        <v>-189.53609999999998</v>
      </c>
      <c r="AA61" s="46">
        <f t="shared" si="201"/>
        <v>-220.62330000000003</v>
      </c>
      <c r="AC61" s="150" t="s">
        <v>216</v>
      </c>
      <c r="AD61" s="151">
        <f>MAX(T65:AA65)</f>
        <v>1</v>
      </c>
      <c r="AE61" s="152" t="s">
        <v>213</v>
      </c>
      <c r="AF61" s="151">
        <f>IF($AH$61=AA64,AA40,IF($AH$61=Z64,Z40,IF($AH$61=Y64,Y40,IF($AH$61=X64,X40,IF($AH$61=W64,W40,IF($AH$61=V64,V40,IF($AH$61=U64,U40,IF($AH$61=T64,T40))))))))</f>
        <v>10</v>
      </c>
      <c r="AG61" s="153" t="s">
        <v>219</v>
      </c>
      <c r="AH61" s="7">
        <f>MAX(T64:AA64)</f>
        <v>0.1</v>
      </c>
      <c r="AI61" s="3">
        <f>MAX(T43:AA43)</f>
        <v>8.5199999999999998E-2</v>
      </c>
      <c r="AK61" s="69" t="s">
        <v>263</v>
      </c>
      <c r="AL61" s="62" t="e">
        <f>ROUND(AL58*AL55*'환기량 산정'!C1432*10^-6*1.554*1000,4)</f>
        <v>#DIV/0!</v>
      </c>
      <c r="AM61" s="63">
        <f>ROUND(AM58*AM55*'환기량 산정'!D1432*10^-6*1.554*1000,4)</f>
        <v>0.1242</v>
      </c>
      <c r="AN61" s="63">
        <f>ROUND(AN58*AN55*'환기량 산정'!E1432*10^-6*1.554*1000,4)</f>
        <v>0.12429999999999999</v>
      </c>
      <c r="AO61" s="63">
        <f>ROUND(AO58*AO55*'환기량 산정'!F1432*10^-6*1.554*1000,4)</f>
        <v>9.35E-2</v>
      </c>
      <c r="AP61" s="63">
        <f>ROUND(AP58*AP55*'환기량 산정'!G1432*10^-6*1.554*1000,4)</f>
        <v>9.3200000000000005E-2</v>
      </c>
      <c r="AQ61" s="63">
        <f>ROUND(AQ58*AQ55*'환기량 산정'!H1432*10^-6*1.554*1000,4)</f>
        <v>9.35E-2</v>
      </c>
      <c r="AR61" s="63">
        <f>ROUND(AR58*AR55*'환기량 산정'!I1432*10^-6*1.554*1000,4)</f>
        <v>0.12470000000000001</v>
      </c>
      <c r="AS61" s="64">
        <f>ROUND(AS58*AS55*'환기량 산정'!J1432*10^-6*1.554*1000,4)</f>
        <v>0.1239</v>
      </c>
      <c r="AT61" s="36" t="s">
        <v>157</v>
      </c>
      <c r="AU61" s="334">
        <f>IF('환기량 산정'!$K$1526=1,AU57+AU58-AU59,AU57+AU59-AU58)</f>
        <v>0.42739999999999867</v>
      </c>
      <c r="AV61" s="346">
        <f t="shared" ref="AV61:BB61" si="202">AV57+AV58-AV59</f>
        <v>-30.501200000000001</v>
      </c>
      <c r="AW61" s="346">
        <f t="shared" si="202"/>
        <v>-65.650100000000009</v>
      </c>
      <c r="AX61" s="346">
        <f t="shared" si="202"/>
        <v>-98.608000000000004</v>
      </c>
      <c r="AY61" s="346">
        <f t="shared" si="202"/>
        <v>-133.86070000000001</v>
      </c>
      <c r="AZ61" s="346">
        <f t="shared" si="202"/>
        <v>-160.46010000000001</v>
      </c>
      <c r="BA61" s="346">
        <f t="shared" si="202"/>
        <v>-191.00370000000001</v>
      </c>
      <c r="BB61" s="347">
        <f t="shared" si="202"/>
        <v>-222.09970000000001</v>
      </c>
      <c r="BC61" s="36" t="s">
        <v>157</v>
      </c>
      <c r="BD61" s="334">
        <f>IF('환기량 산정'!$K$1526=1,BD57+BD58-BD59,BD57+BD59-BD58)</f>
        <v>0.42739999999999867</v>
      </c>
      <c r="BE61" s="346">
        <f t="shared" ref="BE61:BK61" si="203">BE57+BE58-BE59</f>
        <v>-30.501200000000001</v>
      </c>
      <c r="BF61" s="346">
        <f t="shared" si="203"/>
        <v>-65.650100000000009</v>
      </c>
      <c r="BG61" s="346">
        <f t="shared" si="203"/>
        <v>-98.608000000000004</v>
      </c>
      <c r="BH61" s="346">
        <f t="shared" si="203"/>
        <v>-133.86070000000001</v>
      </c>
      <c r="BI61" s="346">
        <f t="shared" si="203"/>
        <v>-160.46010000000001</v>
      </c>
      <c r="BJ61" s="346">
        <f t="shared" si="203"/>
        <v>-191.00370000000001</v>
      </c>
      <c r="BK61" s="347">
        <f t="shared" si="203"/>
        <v>-222.09970000000001</v>
      </c>
    </row>
    <row r="62" spans="1:63">
      <c r="A62" s="36" t="s">
        <v>191</v>
      </c>
      <c r="B62" s="196">
        <f>B28</f>
        <v>0.95</v>
      </c>
      <c r="C62" s="47">
        <f t="shared" ref="C62:I62" si="204">B62</f>
        <v>0.95</v>
      </c>
      <c r="D62" s="47">
        <f t="shared" si="204"/>
        <v>0.95</v>
      </c>
      <c r="E62" s="47">
        <f t="shared" si="204"/>
        <v>0.95</v>
      </c>
      <c r="F62" s="47">
        <f t="shared" si="204"/>
        <v>0.95</v>
      </c>
      <c r="G62" s="140">
        <f t="shared" si="204"/>
        <v>0.95</v>
      </c>
      <c r="H62" s="47">
        <f t="shared" si="204"/>
        <v>0.95</v>
      </c>
      <c r="I62" s="48">
        <f t="shared" si="204"/>
        <v>0.95</v>
      </c>
      <c r="J62" s="36" t="s">
        <v>191</v>
      </c>
      <c r="K62" s="190">
        <f>B62</f>
        <v>0.95</v>
      </c>
      <c r="L62" s="47">
        <f t="shared" ref="L62:R62" si="205">K62</f>
        <v>0.95</v>
      </c>
      <c r="M62" s="47">
        <f t="shared" si="205"/>
        <v>0.95</v>
      </c>
      <c r="N62" s="47">
        <f t="shared" si="205"/>
        <v>0.95</v>
      </c>
      <c r="O62" s="47">
        <f t="shared" si="205"/>
        <v>0.95</v>
      </c>
      <c r="P62" s="47">
        <f t="shared" si="205"/>
        <v>0.95</v>
      </c>
      <c r="Q62" s="47">
        <f t="shared" si="205"/>
        <v>0.95</v>
      </c>
      <c r="R62" s="48">
        <f t="shared" si="205"/>
        <v>0.95</v>
      </c>
      <c r="S62" s="181" t="s">
        <v>191</v>
      </c>
      <c r="T62" s="196">
        <f>B62</f>
        <v>0.95</v>
      </c>
      <c r="U62" s="47">
        <f t="shared" ref="U62:AA62" si="206">T62</f>
        <v>0.95</v>
      </c>
      <c r="V62" s="47">
        <f t="shared" si="206"/>
        <v>0.95</v>
      </c>
      <c r="W62" s="47">
        <f t="shared" si="206"/>
        <v>0.95</v>
      </c>
      <c r="X62" s="47">
        <f t="shared" si="206"/>
        <v>0.95</v>
      </c>
      <c r="Y62" s="47">
        <f t="shared" si="206"/>
        <v>0.95</v>
      </c>
      <c r="Z62" s="47">
        <f t="shared" si="206"/>
        <v>0.95</v>
      </c>
      <c r="AA62" s="48">
        <f t="shared" si="206"/>
        <v>0.95</v>
      </c>
      <c r="AB62" s="7"/>
      <c r="AC62" s="150" t="s">
        <v>422</v>
      </c>
      <c r="AD62" s="351">
        <f>MAX(AU65:BB65)</f>
        <v>1</v>
      </c>
      <c r="AE62" s="152" t="s">
        <v>213</v>
      </c>
      <c r="AF62" s="151">
        <f>IF($AH$62=BB64,BB40,IF($AH$62=BA64,BA40,IF($AH$62=AZ64,AZ40,IF($AH$62=AY64,AY40,IF($AH$62=AX64,AX40,IF($AH$62=AW64,AW40,IF($AH$62=AV64,AV40,IF($AH$62=AU64,AU40))))))))</f>
        <v>10</v>
      </c>
      <c r="AG62" s="153" t="s">
        <v>219</v>
      </c>
      <c r="AH62" s="7">
        <f>MAX(AU64:BB64)</f>
        <v>0.03</v>
      </c>
      <c r="AI62" s="3">
        <f>AU43</f>
        <v>0</v>
      </c>
      <c r="AK62" s="69" t="s">
        <v>264</v>
      </c>
      <c r="AL62" s="177">
        <f>'환기량 산정'!B1528</f>
        <v>10</v>
      </c>
      <c r="AM62" s="177">
        <f>'환기량 산정'!C1528</f>
        <v>16</v>
      </c>
      <c r="AN62" s="177">
        <f>'환기량 산정'!D1528</f>
        <v>17</v>
      </c>
      <c r="AO62" s="177">
        <f>'환기량 산정'!E1528</f>
        <v>18</v>
      </c>
      <c r="AP62" s="177">
        <f>'환기량 산정'!F1528</f>
        <v>25</v>
      </c>
      <c r="AQ62" s="177">
        <f>'환기량 산정'!G1528</f>
        <v>25</v>
      </c>
      <c r="AR62" s="177">
        <f>'환기량 산정'!H1528</f>
        <v>25</v>
      </c>
      <c r="AS62" s="178">
        <f>'환기량 산정'!I1528</f>
        <v>26</v>
      </c>
      <c r="AT62" s="36" t="s">
        <v>191</v>
      </c>
      <c r="AU62" s="336">
        <f>B62</f>
        <v>0.95</v>
      </c>
      <c r="AV62" s="348">
        <f t="shared" ref="AV62:BB62" si="207">AU62</f>
        <v>0.95</v>
      </c>
      <c r="AW62" s="348">
        <f t="shared" si="207"/>
        <v>0.95</v>
      </c>
      <c r="AX62" s="348">
        <f t="shared" si="207"/>
        <v>0.95</v>
      </c>
      <c r="AY62" s="348">
        <f t="shared" si="207"/>
        <v>0.95</v>
      </c>
      <c r="AZ62" s="348">
        <f t="shared" si="207"/>
        <v>0.95</v>
      </c>
      <c r="BA62" s="348">
        <f t="shared" si="207"/>
        <v>0.95</v>
      </c>
      <c r="BB62" s="349">
        <f t="shared" si="207"/>
        <v>0.95</v>
      </c>
      <c r="BC62" s="36" t="s">
        <v>191</v>
      </c>
      <c r="BD62" s="336">
        <f>K62</f>
        <v>0.95</v>
      </c>
      <c r="BE62" s="348">
        <f t="shared" ref="BE62:BK62" si="208">BD62</f>
        <v>0.95</v>
      </c>
      <c r="BF62" s="348">
        <f t="shared" si="208"/>
        <v>0.95</v>
      </c>
      <c r="BG62" s="348">
        <f t="shared" si="208"/>
        <v>0.95</v>
      </c>
      <c r="BH62" s="348">
        <f t="shared" si="208"/>
        <v>0.95</v>
      </c>
      <c r="BI62" s="348">
        <f t="shared" si="208"/>
        <v>0.95</v>
      </c>
      <c r="BJ62" s="348">
        <f t="shared" si="208"/>
        <v>0.95</v>
      </c>
      <c r="BK62" s="349">
        <f t="shared" si="208"/>
        <v>0.95</v>
      </c>
    </row>
    <row r="63" spans="1:63" ht="15.75">
      <c r="A63" s="36" t="s">
        <v>342</v>
      </c>
      <c r="B63" s="44">
        <f>ROUND(B56*B48*B54^2*B53/B46*(1-B43/B54)*B62,4)</f>
        <v>14.2875</v>
      </c>
      <c r="C63" s="38">
        <f t="shared" ref="C63:I63" si="209">ROUND(C56*C48*C54^2*C53/C46*(1-C43/C54)*C62,4)</f>
        <v>14.2385</v>
      </c>
      <c r="D63" s="38">
        <f t="shared" si="209"/>
        <v>14.2303</v>
      </c>
      <c r="E63" s="38">
        <f t="shared" si="209"/>
        <v>14.222099999999999</v>
      </c>
      <c r="F63" s="38">
        <f t="shared" si="209"/>
        <v>14.164999999999999</v>
      </c>
      <c r="G63" s="38">
        <f t="shared" si="209"/>
        <v>14.164999999999999</v>
      </c>
      <c r="H63" s="38">
        <f t="shared" si="209"/>
        <v>14.164999999999999</v>
      </c>
      <c r="I63" s="39">
        <f t="shared" si="209"/>
        <v>14.1568</v>
      </c>
      <c r="J63" s="36" t="s">
        <v>342</v>
      </c>
      <c r="K63" s="62">
        <f>ROUND(K56*K48*K54^2*K53/K46*(1-K43/K54)*K62,4)</f>
        <v>14.132300000000001</v>
      </c>
      <c r="L63" s="63">
        <f t="shared" ref="L63:R63" si="210">ROUND(L56*L48*L54^2*L53/L46*(1-L43/L54)*L62,4)</f>
        <v>14.140499999999999</v>
      </c>
      <c r="M63" s="63">
        <f t="shared" si="210"/>
        <v>14.1976</v>
      </c>
      <c r="N63" s="63">
        <f t="shared" si="210"/>
        <v>14.214</v>
      </c>
      <c r="O63" s="63">
        <f t="shared" si="210"/>
        <v>14.222099999999999</v>
      </c>
      <c r="P63" s="63">
        <f t="shared" si="210"/>
        <v>14.2303</v>
      </c>
      <c r="Q63" s="63">
        <f t="shared" si="210"/>
        <v>14.2303</v>
      </c>
      <c r="R63" s="64">
        <f t="shared" si="210"/>
        <v>14.214</v>
      </c>
      <c r="S63" s="181" t="s">
        <v>342</v>
      </c>
      <c r="T63" s="44">
        <f>ROUND(T56*T48*T54^2*T53/T46*(1-T43/T54)*T62,4)</f>
        <v>14.3283</v>
      </c>
      <c r="U63" s="38">
        <f t="shared" ref="U63:AA63" si="211">ROUND(U56*U48*U54^2*U53/U46*(1-U43/U54)*U62,4)</f>
        <v>14.336399999999999</v>
      </c>
      <c r="V63" s="38">
        <f t="shared" si="211"/>
        <v>14.336399999999999</v>
      </c>
      <c r="W63" s="38">
        <f t="shared" si="211"/>
        <v>14.3446</v>
      </c>
      <c r="X63" s="38">
        <f t="shared" si="211"/>
        <v>14.3446</v>
      </c>
      <c r="Y63" s="38">
        <f t="shared" si="211"/>
        <v>14.3446</v>
      </c>
      <c r="Z63" s="38">
        <f t="shared" si="211"/>
        <v>14.336399999999999</v>
      </c>
      <c r="AA63" s="39">
        <f t="shared" si="211"/>
        <v>14.336399999999999</v>
      </c>
      <c r="AB63" s="7"/>
      <c r="AC63" s="150" t="s">
        <v>217</v>
      </c>
      <c r="AD63" s="151">
        <f>MAX(AC53:AJ53)</f>
        <v>6</v>
      </c>
      <c r="AE63" s="152" t="s">
        <v>213</v>
      </c>
      <c r="AF63" s="151">
        <f>IF($GP$64=AJ51,AJ40,IF($AH$63=AI51,AI40,IF($AH$63=AH51,AH40,IF($AH$63=AG51,AG40,IF($AH$63=AF51,AF40,IF($AH$63=AE51,AE40,IF($AH$63=AD51,AD40,IF($AH$63=AC51,AC40))))))))</f>
        <v>50</v>
      </c>
      <c r="AG63" s="153" t="s">
        <v>219</v>
      </c>
      <c r="AH63" s="7">
        <f>MAX(AC51:AJ51)</f>
        <v>3.22</v>
      </c>
      <c r="AK63" s="69" t="s">
        <v>255</v>
      </c>
      <c r="AL63" s="176">
        <f>'환기량 산정'!B1530</f>
        <v>29</v>
      </c>
      <c r="AM63" s="177">
        <f>'환기량 산정'!C1530</f>
        <v>28</v>
      </c>
      <c r="AN63" s="177">
        <f>'환기량 산정'!D1530</f>
        <v>21</v>
      </c>
      <c r="AO63" s="177">
        <f>'환기량 산정'!E1530</f>
        <v>19</v>
      </c>
      <c r="AP63" s="177">
        <f>'환기량 산정'!F1530</f>
        <v>18</v>
      </c>
      <c r="AQ63" s="177">
        <f>'환기량 산정'!G1530</f>
        <v>17</v>
      </c>
      <c r="AR63" s="177">
        <f>'환기량 산정'!H1530</f>
        <v>17</v>
      </c>
      <c r="AS63" s="178">
        <f>'환기량 산정'!I1530</f>
        <v>19</v>
      </c>
      <c r="AT63" s="36" t="s">
        <v>342</v>
      </c>
      <c r="AU63" s="327">
        <f t="shared" ref="AU63:BB63" si="212">ROUND(AU56*AU48*AU54^2*AU53/AU46*(1-AU43/AU54)*AU62,4)</f>
        <v>14.3691</v>
      </c>
      <c r="AV63" s="332">
        <f t="shared" si="212"/>
        <v>14.3691</v>
      </c>
      <c r="AW63" s="332">
        <f t="shared" si="212"/>
        <v>14.3691</v>
      </c>
      <c r="AX63" s="332">
        <f t="shared" si="212"/>
        <v>14.3691</v>
      </c>
      <c r="AY63" s="332">
        <f t="shared" si="212"/>
        <v>14.3691</v>
      </c>
      <c r="AZ63" s="332">
        <f t="shared" si="212"/>
        <v>14.3691</v>
      </c>
      <c r="BA63" s="332">
        <f t="shared" si="212"/>
        <v>14.3691</v>
      </c>
      <c r="BB63" s="338">
        <f t="shared" si="212"/>
        <v>14.3691</v>
      </c>
      <c r="BC63" s="36" t="s">
        <v>342</v>
      </c>
      <c r="BD63" s="327">
        <f t="shared" ref="BD63:BK63" si="213">ROUND(BD56*BD48*BD54^2*BD53/BD46*(1-BD43/BD54)*BD62,4)</f>
        <v>14.3691</v>
      </c>
      <c r="BE63" s="332">
        <f t="shared" si="213"/>
        <v>14.3691</v>
      </c>
      <c r="BF63" s="332">
        <f t="shared" si="213"/>
        <v>14.3691</v>
      </c>
      <c r="BG63" s="332">
        <f t="shared" si="213"/>
        <v>14.3691</v>
      </c>
      <c r="BH63" s="332">
        <f t="shared" si="213"/>
        <v>14.3691</v>
      </c>
      <c r="BI63" s="332">
        <f t="shared" si="213"/>
        <v>14.3691</v>
      </c>
      <c r="BJ63" s="332">
        <f t="shared" si="213"/>
        <v>14.3691</v>
      </c>
      <c r="BK63" s="338">
        <f t="shared" si="213"/>
        <v>14.3691</v>
      </c>
    </row>
    <row r="64" spans="1:63" ht="14.25" thickBot="1">
      <c r="A64" s="36" t="s">
        <v>172</v>
      </c>
      <c r="B64" s="44">
        <f t="shared" ref="B64:I64" si="214">ROUND(B61/B63,2)</f>
        <v>0.17</v>
      </c>
      <c r="C64" s="38">
        <f t="shared" si="214"/>
        <v>-1.81</v>
      </c>
      <c r="D64" s="38">
        <f t="shared" si="214"/>
        <v>-4.2</v>
      </c>
      <c r="E64" s="38">
        <f t="shared" si="214"/>
        <v>-6.47</v>
      </c>
      <c r="F64" s="38">
        <f t="shared" si="214"/>
        <v>-8.77</v>
      </c>
      <c r="G64" s="63">
        <f t="shared" si="214"/>
        <v>-10.66</v>
      </c>
      <c r="H64" s="38">
        <f t="shared" si="214"/>
        <v>-12.81</v>
      </c>
      <c r="I64" s="39">
        <f t="shared" si="214"/>
        <v>-14.99</v>
      </c>
      <c r="J64" s="36" t="s">
        <v>172</v>
      </c>
      <c r="K64" s="62">
        <f t="shared" ref="K64:R64" si="215">ROUND(K61/K63,2)</f>
        <v>0.45</v>
      </c>
      <c r="L64" s="38">
        <f t="shared" si="215"/>
        <v>-1.56</v>
      </c>
      <c r="M64" s="38">
        <f t="shared" si="215"/>
        <v>-4.1100000000000003</v>
      </c>
      <c r="N64" s="38">
        <f t="shared" si="215"/>
        <v>-6.45</v>
      </c>
      <c r="O64" s="38">
        <f t="shared" si="215"/>
        <v>-8.93</v>
      </c>
      <c r="P64" s="38">
        <f t="shared" si="215"/>
        <v>-10.83</v>
      </c>
      <c r="Q64" s="38">
        <f t="shared" si="215"/>
        <v>-12.97</v>
      </c>
      <c r="R64" s="39">
        <f t="shared" si="215"/>
        <v>-15.12</v>
      </c>
      <c r="S64" s="181" t="s">
        <v>172</v>
      </c>
      <c r="T64" s="44">
        <f t="shared" ref="T64:AA64" si="216">ROUND(T61/T63,2)</f>
        <v>0.1</v>
      </c>
      <c r="U64" s="38">
        <f t="shared" si="216"/>
        <v>-2.0499999999999998</v>
      </c>
      <c r="V64" s="38">
        <f t="shared" si="216"/>
        <v>-4.4800000000000004</v>
      </c>
      <c r="W64" s="38">
        <f t="shared" si="216"/>
        <v>-6.8</v>
      </c>
      <c r="X64" s="38">
        <f t="shared" si="216"/>
        <v>-9.25</v>
      </c>
      <c r="Y64" s="38">
        <f t="shared" si="216"/>
        <v>-11.11</v>
      </c>
      <c r="Z64" s="38">
        <f t="shared" si="216"/>
        <v>-13.22</v>
      </c>
      <c r="AA64" s="39">
        <f t="shared" si="216"/>
        <v>-15.39</v>
      </c>
      <c r="AB64" s="7"/>
      <c r="AC64" s="154" t="s">
        <v>410</v>
      </c>
      <c r="AD64" s="155">
        <f>MAX(AD59:AD63)</f>
        <v>6</v>
      </c>
      <c r="AE64" s="156" t="s">
        <v>213</v>
      </c>
      <c r="AF64" s="157" t="str">
        <f>IF(AD64=AD63,IF(AD64=MAX(AD59:AD61),"환기 방재","방재"),"환기")</f>
        <v>방재</v>
      </c>
      <c r="AG64" s="158"/>
      <c r="AH64" s="7"/>
      <c r="AI64" s="7"/>
      <c r="AK64" s="69" t="s">
        <v>256</v>
      </c>
      <c r="AL64" s="62">
        <f>'환기량 산정'!B1532</f>
        <v>5</v>
      </c>
      <c r="AM64" s="63">
        <f>'환기량 산정'!C1532</f>
        <v>4</v>
      </c>
      <c r="AN64" s="63">
        <f>'환기량 산정'!D1532</f>
        <v>4</v>
      </c>
      <c r="AO64" s="63">
        <f>'환기량 산정'!E1532</f>
        <v>3</v>
      </c>
      <c r="AP64" s="63">
        <f>'환기량 산정'!F1532</f>
        <v>3</v>
      </c>
      <c r="AQ64" s="63">
        <f>'환기량 산정'!G1532</f>
        <v>3</v>
      </c>
      <c r="AR64" s="63">
        <f>'환기량 산정'!H1532</f>
        <v>4</v>
      </c>
      <c r="AS64" s="64">
        <f>'환기량 산정'!I1532</f>
        <v>4</v>
      </c>
      <c r="AT64" s="36" t="s">
        <v>172</v>
      </c>
      <c r="AU64" s="327">
        <f t="shared" ref="AU64:BB64" si="217">ROUND(AU61/AU63,2)</f>
        <v>0.03</v>
      </c>
      <c r="AV64" s="328">
        <f t="shared" si="217"/>
        <v>-2.12</v>
      </c>
      <c r="AW64" s="328">
        <f t="shared" si="217"/>
        <v>-4.57</v>
      </c>
      <c r="AX64" s="328">
        <f t="shared" si="217"/>
        <v>-6.86</v>
      </c>
      <c r="AY64" s="328">
        <f t="shared" si="217"/>
        <v>-9.32</v>
      </c>
      <c r="AZ64" s="328">
        <f t="shared" si="217"/>
        <v>-11.17</v>
      </c>
      <c r="BA64" s="328">
        <f t="shared" si="217"/>
        <v>-13.29</v>
      </c>
      <c r="BB64" s="329">
        <f t="shared" si="217"/>
        <v>-15.46</v>
      </c>
      <c r="BC64" s="36" t="s">
        <v>172</v>
      </c>
      <c r="BD64" s="327">
        <f t="shared" ref="BD64:BK64" si="218">ROUND(BD61/BD63,2)</f>
        <v>0.03</v>
      </c>
      <c r="BE64" s="328">
        <f t="shared" si="218"/>
        <v>-2.12</v>
      </c>
      <c r="BF64" s="328">
        <f t="shared" si="218"/>
        <v>-4.57</v>
      </c>
      <c r="BG64" s="328">
        <f t="shared" si="218"/>
        <v>-6.86</v>
      </c>
      <c r="BH64" s="328">
        <f t="shared" si="218"/>
        <v>-9.32</v>
      </c>
      <c r="BI64" s="328">
        <f t="shared" si="218"/>
        <v>-11.17</v>
      </c>
      <c r="BJ64" s="328">
        <f t="shared" si="218"/>
        <v>-13.29</v>
      </c>
      <c r="BK64" s="329">
        <f t="shared" si="218"/>
        <v>-15.46</v>
      </c>
    </row>
    <row r="65" spans="1:63" ht="14.25" thickBot="1">
      <c r="A65" s="49" t="s">
        <v>173</v>
      </c>
      <c r="B65" s="185">
        <f t="shared" ref="B65:I65" si="219">IF(B64&lt;0,0,IF(B64&gt;0,ROUNDUP(B64,0)))</f>
        <v>1</v>
      </c>
      <c r="C65" s="51">
        <f t="shared" si="219"/>
        <v>0</v>
      </c>
      <c r="D65" s="51">
        <f t="shared" si="219"/>
        <v>0</v>
      </c>
      <c r="E65" s="51">
        <f t="shared" si="219"/>
        <v>0</v>
      </c>
      <c r="F65" s="51">
        <f t="shared" si="219"/>
        <v>0</v>
      </c>
      <c r="G65" s="51">
        <f t="shared" si="219"/>
        <v>0</v>
      </c>
      <c r="H65" s="51">
        <f t="shared" si="219"/>
        <v>0</v>
      </c>
      <c r="I65" s="52">
        <f t="shared" si="219"/>
        <v>0</v>
      </c>
      <c r="J65" s="49" t="s">
        <v>173</v>
      </c>
      <c r="K65" s="185">
        <f t="shared" ref="K65:R65" si="220">IF(K64&lt;0,0,IF(K64&gt;0,ROUNDUP(K64,0)))</f>
        <v>1</v>
      </c>
      <c r="L65" s="51">
        <f t="shared" si="220"/>
        <v>0</v>
      </c>
      <c r="M65" s="51">
        <f t="shared" si="220"/>
        <v>0</v>
      </c>
      <c r="N65" s="51">
        <f t="shared" si="220"/>
        <v>0</v>
      </c>
      <c r="O65" s="51">
        <f t="shared" si="220"/>
        <v>0</v>
      </c>
      <c r="P65" s="51">
        <f t="shared" si="220"/>
        <v>0</v>
      </c>
      <c r="Q65" s="51">
        <f t="shared" si="220"/>
        <v>0</v>
      </c>
      <c r="R65" s="52">
        <f t="shared" si="220"/>
        <v>0</v>
      </c>
      <c r="S65" s="194" t="s">
        <v>173</v>
      </c>
      <c r="T65" s="185">
        <f t="shared" ref="T65:AA65" si="221">IF(T64&lt;0,0,IF(T64&gt;0,ROUNDUP(T64,0)))</f>
        <v>1</v>
      </c>
      <c r="U65" s="51">
        <f t="shared" si="221"/>
        <v>0</v>
      </c>
      <c r="V65" s="51">
        <f t="shared" si="221"/>
        <v>0</v>
      </c>
      <c r="W65" s="51">
        <f t="shared" si="221"/>
        <v>0</v>
      </c>
      <c r="X65" s="51">
        <f t="shared" si="221"/>
        <v>0</v>
      </c>
      <c r="Y65" s="51">
        <f t="shared" si="221"/>
        <v>0</v>
      </c>
      <c r="Z65" s="51">
        <f t="shared" si="221"/>
        <v>0</v>
      </c>
      <c r="AA65" s="52">
        <f t="shared" si="221"/>
        <v>0</v>
      </c>
      <c r="AB65" s="7"/>
      <c r="AC65" s="136"/>
      <c r="AD65" s="7"/>
      <c r="AE65" s="7"/>
      <c r="AF65" s="7"/>
      <c r="AG65" s="7"/>
      <c r="AH65" s="7"/>
      <c r="AI65" s="7"/>
      <c r="AJ65" s="7"/>
      <c r="AK65" s="169" t="s">
        <v>257</v>
      </c>
      <c r="AL65" s="175">
        <f>MAX(AL62:AL64)</f>
        <v>29</v>
      </c>
      <c r="AM65" s="162">
        <f t="shared" ref="AM65:AS65" si="222">MAX(AM62:AM64)</f>
        <v>28</v>
      </c>
      <c r="AN65" s="162">
        <f t="shared" si="222"/>
        <v>21</v>
      </c>
      <c r="AO65" s="162">
        <f t="shared" si="222"/>
        <v>19</v>
      </c>
      <c r="AP65" s="162">
        <f t="shared" si="222"/>
        <v>25</v>
      </c>
      <c r="AQ65" s="162">
        <f t="shared" si="222"/>
        <v>25</v>
      </c>
      <c r="AR65" s="162">
        <f t="shared" si="222"/>
        <v>25</v>
      </c>
      <c r="AS65" s="163">
        <f t="shared" si="222"/>
        <v>26</v>
      </c>
      <c r="AT65" s="49" t="s">
        <v>173</v>
      </c>
      <c r="AU65" s="339">
        <f t="shared" ref="AU65:BB65" si="223">IF(AU64&lt;0,0,IF(AU64&gt;0,ROUNDUP(AU64,0)))</f>
        <v>1</v>
      </c>
      <c r="AV65" s="340">
        <f t="shared" si="223"/>
        <v>0</v>
      </c>
      <c r="AW65" s="340">
        <f t="shared" si="223"/>
        <v>0</v>
      </c>
      <c r="AX65" s="340">
        <f t="shared" si="223"/>
        <v>0</v>
      </c>
      <c r="AY65" s="340">
        <f t="shared" si="223"/>
        <v>0</v>
      </c>
      <c r="AZ65" s="340">
        <f t="shared" si="223"/>
        <v>0</v>
      </c>
      <c r="BA65" s="340">
        <f t="shared" si="223"/>
        <v>0</v>
      </c>
      <c r="BB65" s="341">
        <f t="shared" si="223"/>
        <v>0</v>
      </c>
      <c r="BC65" s="49" t="s">
        <v>173</v>
      </c>
      <c r="BD65" s="339">
        <f t="shared" ref="BD65:BK65" si="224">IF(BD64&lt;0,0,IF(BD64&gt;0,ROUNDUP(BD64,0)))</f>
        <v>1</v>
      </c>
      <c r="BE65" s="340">
        <f t="shared" si="224"/>
        <v>0</v>
      </c>
      <c r="BF65" s="340">
        <f t="shared" si="224"/>
        <v>0</v>
      </c>
      <c r="BG65" s="340">
        <f t="shared" si="224"/>
        <v>0</v>
      </c>
      <c r="BH65" s="340">
        <f t="shared" si="224"/>
        <v>0</v>
      </c>
      <c r="BI65" s="340">
        <f t="shared" si="224"/>
        <v>0</v>
      </c>
      <c r="BJ65" s="340">
        <f t="shared" si="224"/>
        <v>0</v>
      </c>
      <c r="BK65" s="341">
        <f t="shared" si="224"/>
        <v>0</v>
      </c>
    </row>
    <row r="66" spans="1:63" ht="14.25" thickBot="1">
      <c r="J66" s="53"/>
      <c r="K66" s="53"/>
      <c r="L66" s="53"/>
      <c r="M66" s="53"/>
      <c r="N66" s="53"/>
      <c r="O66" s="53"/>
      <c r="P66" s="53"/>
      <c r="Q66" s="53"/>
      <c r="R66" s="53"/>
      <c r="AB66" s="7"/>
      <c r="AC66" s="144" t="s">
        <v>218</v>
      </c>
      <c r="AD66" s="145" t="str">
        <f>IF(AF66&gt;10,"불가",IF(ROUNDDOWN(('환기량 산정'!H17/F37-1),0)*AC55&gt;=AD64,"가능","불가"))</f>
        <v>가능</v>
      </c>
      <c r="AE66" s="131" t="s">
        <v>222</v>
      </c>
      <c r="AF66" s="159">
        <f>ROUND(MAX(AI59:AI62),2)</f>
        <v>0.49</v>
      </c>
      <c r="AG66" s="160" t="str">
        <f>CONCATENATE(," m/s")</f>
        <v xml:space="preserve"> m/s</v>
      </c>
      <c r="AH66" s="7"/>
      <c r="AI66" s="7"/>
      <c r="AJ66" s="7"/>
      <c r="AL66" s="197" t="str">
        <f>IF(AL48&lt;0,IF(AL50&gt;2.78,"OK","AL47 수식 양수로 변경하세요"),IF(AL50&lt;=2.78,"OK","AL47 수식을 음수로 변경하세요"))</f>
        <v>OK</v>
      </c>
      <c r="AM66" s="197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</row>
    <row r="67" spans="1:63">
      <c r="A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BA67" s="7"/>
      <c r="BB67" s="7"/>
      <c r="BJ67" s="7"/>
      <c r="BK67" s="7"/>
    </row>
    <row r="68" spans="1:63"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BA68" s="7"/>
      <c r="BB68" s="7"/>
      <c r="BJ68" s="7"/>
      <c r="BK68" s="7"/>
    </row>
  </sheetData>
  <mergeCells count="11">
    <mergeCell ref="BD39:BK39"/>
    <mergeCell ref="AE22:AF22"/>
    <mergeCell ref="A38:A39"/>
    <mergeCell ref="AK38:AK39"/>
    <mergeCell ref="AC39:AJ39"/>
    <mergeCell ref="AU39:BB39"/>
    <mergeCell ref="A4:A5"/>
    <mergeCell ref="AK4:AK5"/>
    <mergeCell ref="AC5:AJ5"/>
    <mergeCell ref="AU5:BB5"/>
    <mergeCell ref="BD5:BK5"/>
  </mergeCells>
  <phoneticPr fontId="11" type="noConversion"/>
  <printOptions horizontalCentered="1"/>
  <pageMargins left="0.27559055118110237" right="0.19685039370078741" top="0.74803149606299213" bottom="0.55118110236220474" header="0.51181102362204722" footer="0.31496062992125984"/>
  <pageSetup paperSize="9" scale="75" pageOrder="overThenDown" orientation="portrait" r:id="rId1"/>
  <headerFooter alignWithMargins="0">
    <oddHeader>&amp;R&amp;D &amp;T</oddHeader>
    <oddFooter>&amp;L&amp;"Arial,보통"&amp;F&amp;C&amp;P 쪽&amp;R&amp;"Arial,보통"&amp;A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K70"/>
  <sheetViews>
    <sheetView view="pageBreakPreview" topLeftCell="T1" zoomScaleNormal="75" zoomScaleSheetLayoutView="100" workbookViewId="0">
      <selection activeCell="Y44" sqref="Y44"/>
    </sheetView>
  </sheetViews>
  <sheetFormatPr defaultRowHeight="13.5"/>
  <cols>
    <col min="1" max="1" width="29.21875" style="3" customWidth="1"/>
    <col min="2" max="9" width="10.21875" style="3" customWidth="1"/>
    <col min="10" max="10" width="27.6640625" style="3" customWidth="1"/>
    <col min="11" max="18" width="10.21875" style="3" customWidth="1"/>
    <col min="19" max="19" width="32.33203125" style="3" customWidth="1"/>
    <col min="20" max="27" width="10.21875" style="3" customWidth="1"/>
    <col min="28" max="28" width="32.33203125" style="3" customWidth="1"/>
    <col min="29" max="36" width="10.21875" style="3" customWidth="1"/>
    <col min="37" max="37" width="32.33203125" style="3" hidden="1" customWidth="1"/>
    <col min="38" max="45" width="10.21875" style="3" hidden="1" customWidth="1"/>
    <col min="46" max="46" width="27.6640625" style="3" hidden="1" customWidth="1"/>
    <col min="47" max="54" width="10.21875" style="3" hidden="1" customWidth="1"/>
    <col min="55" max="55" width="27.6640625" style="3" hidden="1" customWidth="1"/>
    <col min="56" max="63" width="10.21875" style="3" hidden="1" customWidth="1"/>
    <col min="64" max="16384" width="8.88671875" style="3"/>
  </cols>
  <sheetData>
    <row r="1" spans="1:63" ht="17.25" customHeight="1">
      <c r="A1" s="4" t="s">
        <v>164</v>
      </c>
      <c r="B1" s="5">
        <f>'환기량 산정'!H34</f>
        <v>2222</v>
      </c>
      <c r="C1" s="6" t="s">
        <v>148</v>
      </c>
      <c r="D1" s="7"/>
      <c r="E1" s="53"/>
      <c r="F1" s="53"/>
      <c r="G1" s="53"/>
      <c r="H1" s="53"/>
      <c r="I1" s="53"/>
      <c r="J1" s="4" t="s">
        <v>164</v>
      </c>
      <c r="K1" s="5">
        <f>B1</f>
        <v>2222</v>
      </c>
      <c r="L1" s="6" t="s">
        <v>148</v>
      </c>
      <c r="M1" s="7"/>
      <c r="N1" s="7"/>
      <c r="O1" s="9"/>
      <c r="P1" s="9"/>
      <c r="Q1" s="7"/>
      <c r="R1" s="7"/>
      <c r="S1" s="4" t="s">
        <v>164</v>
      </c>
      <c r="T1" s="5">
        <f>K1</f>
        <v>2222</v>
      </c>
      <c r="U1" s="6" t="s">
        <v>148</v>
      </c>
      <c r="V1" s="7"/>
      <c r="W1" s="9"/>
      <c r="X1" s="9"/>
      <c r="Y1" s="9"/>
      <c r="Z1" s="7"/>
      <c r="AA1" s="7"/>
      <c r="AB1" s="1217" t="s">
        <v>814</v>
      </c>
      <c r="AC1" s="1226"/>
      <c r="AK1" s="4"/>
      <c r="AL1" s="8"/>
      <c r="AM1" s="6"/>
      <c r="AN1" s="7"/>
      <c r="AO1" s="53"/>
      <c r="AP1" s="53"/>
      <c r="AQ1" s="53"/>
      <c r="AR1" s="53"/>
      <c r="AS1" s="53"/>
      <c r="AT1" s="4"/>
      <c r="AU1" s="5"/>
      <c r="AV1" s="6"/>
      <c r="AW1" s="7"/>
      <c r="AX1" s="7"/>
      <c r="AY1" s="9"/>
      <c r="AZ1" s="9"/>
      <c r="BA1" s="7"/>
      <c r="BB1" s="7"/>
      <c r="BC1" s="4"/>
      <c r="BD1" s="5"/>
      <c r="BE1" s="6"/>
      <c r="BF1" s="7"/>
      <c r="BG1" s="7"/>
      <c r="BH1" s="9"/>
      <c r="BI1" s="9"/>
      <c r="BJ1" s="7"/>
      <c r="BK1" s="7"/>
    </row>
    <row r="2" spans="1:63">
      <c r="A2" s="7"/>
      <c r="B2" s="7"/>
      <c r="C2" s="7"/>
      <c r="D2" s="181"/>
      <c r="E2" s="53"/>
      <c r="F2" s="53"/>
      <c r="G2" s="53"/>
      <c r="H2" s="53"/>
      <c r="I2" s="5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K2" s="7"/>
      <c r="AL2" s="7"/>
      <c r="AM2" s="7"/>
      <c r="AN2" s="7"/>
      <c r="AO2" s="53"/>
      <c r="AP2" s="53"/>
      <c r="AQ2" s="53"/>
      <c r="AR2" s="53"/>
      <c r="AS2" s="53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spans="1:63" ht="20.100000000000001" customHeight="1" thickBot="1">
      <c r="A3" s="4" t="s">
        <v>223</v>
      </c>
      <c r="B3" s="10" t="s">
        <v>160</v>
      </c>
      <c r="C3" s="11">
        <f>'환기용량 산정(제트팬식)'!C3</f>
        <v>1030</v>
      </c>
      <c r="E3" s="12" t="s">
        <v>177</v>
      </c>
      <c r="F3" s="135">
        <v>140</v>
      </c>
      <c r="G3" s="3" t="s">
        <v>178</v>
      </c>
      <c r="H3" s="13" t="s">
        <v>327</v>
      </c>
      <c r="I3" s="250">
        <v>1</v>
      </c>
      <c r="J3" s="4" t="s">
        <v>165</v>
      </c>
      <c r="K3" s="10" t="s">
        <v>160</v>
      </c>
      <c r="L3" s="14">
        <f>C3</f>
        <v>1030</v>
      </c>
      <c r="N3" s="12"/>
      <c r="O3" s="13"/>
      <c r="R3" s="9"/>
      <c r="S3" s="4" t="s">
        <v>166</v>
      </c>
      <c r="T3" s="10" t="s">
        <v>160</v>
      </c>
      <c r="U3" s="14">
        <f>L3</f>
        <v>1030</v>
      </c>
      <c r="AA3" s="9"/>
      <c r="AB3" s="4"/>
      <c r="AC3" s="54" t="s">
        <v>10</v>
      </c>
      <c r="AD3" s="5">
        <f>$B$1</f>
        <v>2222</v>
      </c>
      <c r="AE3" s="6" t="s">
        <v>148</v>
      </c>
      <c r="AF3" s="8" t="s">
        <v>211</v>
      </c>
      <c r="AG3" s="8"/>
      <c r="AH3" s="8"/>
      <c r="AI3" s="7"/>
      <c r="AJ3" s="7"/>
      <c r="AK3" s="4" t="s">
        <v>227</v>
      </c>
      <c r="AL3" s="10"/>
      <c r="AM3" s="174"/>
      <c r="AO3" s="12"/>
      <c r="AP3" s="13"/>
      <c r="AS3" s="9"/>
      <c r="AT3" s="4" t="s">
        <v>424</v>
      </c>
      <c r="AU3" s="10" t="s">
        <v>160</v>
      </c>
      <c r="AV3" s="14">
        <f>C3</f>
        <v>1030</v>
      </c>
      <c r="AX3" s="12"/>
      <c r="AY3" s="13"/>
      <c r="BB3" s="9"/>
      <c r="BC3" s="4" t="s">
        <v>509</v>
      </c>
      <c r="BD3" s="10" t="s">
        <v>160</v>
      </c>
      <c r="BE3" s="14">
        <f>L3</f>
        <v>1030</v>
      </c>
      <c r="BG3" s="12"/>
      <c r="BH3" s="13"/>
      <c r="BK3" s="9"/>
    </row>
    <row r="4" spans="1:63">
      <c r="A4" s="1523" t="s">
        <v>167</v>
      </c>
      <c r="B4" s="16"/>
      <c r="C4" s="17"/>
      <c r="D4" s="18" t="str">
        <f>'환기량 산정'!B6</f>
        <v>마산</v>
      </c>
      <c r="E4" s="19" t="str">
        <f>'환기량 산정'!D6</f>
        <v>⇒</v>
      </c>
      <c r="F4" s="18" t="str">
        <f>'환기량 산정'!E6</f>
        <v>진주</v>
      </c>
      <c r="G4" s="19" t="s">
        <v>328</v>
      </c>
      <c r="H4" s="17"/>
      <c r="I4" s="20"/>
      <c r="J4" s="1211" t="s">
        <v>167</v>
      </c>
      <c r="K4" s="16"/>
      <c r="L4" s="17"/>
      <c r="M4" s="18" t="str">
        <f>D4</f>
        <v>마산</v>
      </c>
      <c r="N4" s="19" t="str">
        <f>E4</f>
        <v>⇒</v>
      </c>
      <c r="O4" s="18" t="str">
        <f>F4</f>
        <v>진주</v>
      </c>
      <c r="P4" s="19" t="s">
        <v>9</v>
      </c>
      <c r="Q4" s="17"/>
      <c r="R4" s="20"/>
      <c r="S4" s="1211" t="s">
        <v>167</v>
      </c>
      <c r="T4" s="16"/>
      <c r="U4" s="17"/>
      <c r="V4" s="18" t="str">
        <f>M4</f>
        <v>마산</v>
      </c>
      <c r="W4" s="19" t="str">
        <f>N4</f>
        <v>⇒</v>
      </c>
      <c r="X4" s="18" t="str">
        <f>O4</f>
        <v>진주</v>
      </c>
      <c r="Y4" s="19" t="s">
        <v>9</v>
      </c>
      <c r="Z4" s="17"/>
      <c r="AA4" s="20"/>
      <c r="AB4" s="1211" t="s">
        <v>167</v>
      </c>
      <c r="AC4" s="55"/>
      <c r="AD4" s="19"/>
      <c r="AE4" s="18" t="str">
        <f>D4</f>
        <v>마산</v>
      </c>
      <c r="AF4" s="19" t="str">
        <f>E4</f>
        <v>⇒</v>
      </c>
      <c r="AG4" s="18" t="str">
        <f>F4</f>
        <v>진주</v>
      </c>
      <c r="AH4" s="19" t="str">
        <f>G4</f>
        <v>구 간</v>
      </c>
      <c r="AI4" s="19"/>
      <c r="AJ4" s="56"/>
      <c r="AK4" s="1523" t="s">
        <v>167</v>
      </c>
      <c r="AL4" s="16"/>
      <c r="AM4" s="17"/>
      <c r="AN4" s="18" t="str">
        <f>D4</f>
        <v>마산</v>
      </c>
      <c r="AO4" s="173" t="str">
        <f>E4</f>
        <v>⇒</v>
      </c>
      <c r="AP4" s="18" t="str">
        <f>F4</f>
        <v>진주</v>
      </c>
      <c r="AQ4" s="19" t="s">
        <v>9</v>
      </c>
      <c r="AR4" s="17"/>
      <c r="AS4" s="20"/>
      <c r="AT4" s="1211" t="s">
        <v>167</v>
      </c>
      <c r="AU4" s="16"/>
      <c r="AV4" s="17"/>
      <c r="AW4" s="18" t="str">
        <f>AN4</f>
        <v>마산</v>
      </c>
      <c r="AX4" s="19" t="str">
        <f>AO4</f>
        <v>⇒</v>
      </c>
      <c r="AY4" s="18" t="str">
        <f>AP4</f>
        <v>진주</v>
      </c>
      <c r="AZ4" s="19" t="s">
        <v>9</v>
      </c>
      <c r="BA4" s="17"/>
      <c r="BB4" s="20"/>
      <c r="BC4" s="1211" t="s">
        <v>167</v>
      </c>
      <c r="BD4" s="16"/>
      <c r="BE4" s="17"/>
      <c r="BF4" s="18" t="str">
        <f>AW4</f>
        <v>마산</v>
      </c>
      <c r="BG4" s="19" t="str">
        <f>AX4</f>
        <v>⇒</v>
      </c>
      <c r="BH4" s="18" t="str">
        <f>AY4</f>
        <v>진주</v>
      </c>
      <c r="BI4" s="19" t="s">
        <v>9</v>
      </c>
      <c r="BJ4" s="17"/>
      <c r="BK4" s="20"/>
    </row>
    <row r="5" spans="1:63">
      <c r="A5" s="1524"/>
      <c r="B5" s="21" t="s">
        <v>168</v>
      </c>
      <c r="C5" s="1213"/>
      <c r="D5" s="23"/>
      <c r="E5" s="24" t="s">
        <v>169</v>
      </c>
      <c r="F5" s="25"/>
      <c r="G5" s="23"/>
      <c r="H5" s="25"/>
      <c r="I5" s="26"/>
      <c r="J5" s="1212"/>
      <c r="K5" s="21" t="s">
        <v>168</v>
      </c>
      <c r="L5" s="1213"/>
      <c r="M5" s="23"/>
      <c r="N5" s="24" t="s">
        <v>170</v>
      </c>
      <c r="O5" s="25"/>
      <c r="P5" s="23"/>
      <c r="Q5" s="25"/>
      <c r="R5" s="26"/>
      <c r="S5" s="1212"/>
      <c r="T5" s="21" t="s">
        <v>168</v>
      </c>
      <c r="U5" s="1213"/>
      <c r="V5" s="23"/>
      <c r="W5" s="24" t="s">
        <v>171</v>
      </c>
      <c r="Y5" s="23"/>
      <c r="Z5" s="25"/>
      <c r="AA5" s="26"/>
      <c r="AB5" s="1212"/>
      <c r="AC5" s="1529" t="s">
        <v>244</v>
      </c>
      <c r="AD5" s="1530"/>
      <c r="AE5" s="1530"/>
      <c r="AF5" s="1530"/>
      <c r="AG5" s="1530"/>
      <c r="AH5" s="1530"/>
      <c r="AI5" s="1530"/>
      <c r="AJ5" s="1531"/>
      <c r="AK5" s="1524"/>
      <c r="AL5" s="21" t="s">
        <v>168</v>
      </c>
      <c r="AM5" s="1213"/>
      <c r="AN5" s="23"/>
      <c r="AO5" s="23"/>
      <c r="AP5" s="24"/>
      <c r="AQ5" s="23"/>
      <c r="AR5" s="25"/>
      <c r="AS5" s="26"/>
      <c r="AT5" s="1212"/>
      <c r="AU5" s="1526" t="s">
        <v>517</v>
      </c>
      <c r="AV5" s="1527"/>
      <c r="AW5" s="1527"/>
      <c r="AX5" s="1527"/>
      <c r="AY5" s="1527"/>
      <c r="AZ5" s="1527"/>
      <c r="BA5" s="1527"/>
      <c r="BB5" s="1528"/>
      <c r="BC5" s="1212"/>
      <c r="BD5" s="1526" t="s">
        <v>485</v>
      </c>
      <c r="BE5" s="1527"/>
      <c r="BF5" s="1527"/>
      <c r="BG5" s="1527"/>
      <c r="BH5" s="1527"/>
      <c r="BI5" s="1527"/>
      <c r="BJ5" s="1527"/>
      <c r="BK5" s="1528"/>
    </row>
    <row r="6" spans="1:63">
      <c r="A6" s="30" t="s">
        <v>106</v>
      </c>
      <c r="B6" s="184">
        <v>10</v>
      </c>
      <c r="C6" s="32">
        <v>20</v>
      </c>
      <c r="D6" s="32">
        <v>30</v>
      </c>
      <c r="E6" s="32">
        <v>40</v>
      </c>
      <c r="F6" s="32">
        <v>50</v>
      </c>
      <c r="G6" s="32">
        <v>60</v>
      </c>
      <c r="H6" s="32">
        <v>70</v>
      </c>
      <c r="I6" s="33">
        <v>80</v>
      </c>
      <c r="J6" s="30" t="s">
        <v>106</v>
      </c>
      <c r="K6" s="186">
        <v>10</v>
      </c>
      <c r="L6" s="32">
        <v>20</v>
      </c>
      <c r="M6" s="32">
        <v>30</v>
      </c>
      <c r="N6" s="32">
        <v>40</v>
      </c>
      <c r="O6" s="32">
        <v>50</v>
      </c>
      <c r="P6" s="32">
        <v>60</v>
      </c>
      <c r="Q6" s="32">
        <v>70</v>
      </c>
      <c r="R6" s="33">
        <v>80</v>
      </c>
      <c r="S6" s="30" t="s">
        <v>106</v>
      </c>
      <c r="T6" s="184">
        <v>10</v>
      </c>
      <c r="U6" s="32">
        <v>20</v>
      </c>
      <c r="V6" s="32">
        <v>30</v>
      </c>
      <c r="W6" s="32">
        <v>40</v>
      </c>
      <c r="X6" s="32">
        <v>50</v>
      </c>
      <c r="Y6" s="32">
        <v>60</v>
      </c>
      <c r="Z6" s="32">
        <v>70</v>
      </c>
      <c r="AA6" s="33">
        <v>80</v>
      </c>
      <c r="AB6" s="57" t="s">
        <v>106</v>
      </c>
      <c r="AC6" s="58">
        <f t="shared" ref="AC6:AJ6" si="0">B$6</f>
        <v>10</v>
      </c>
      <c r="AD6" s="59">
        <f t="shared" si="0"/>
        <v>20</v>
      </c>
      <c r="AE6" s="59">
        <f t="shared" si="0"/>
        <v>30</v>
      </c>
      <c r="AF6" s="59">
        <f t="shared" si="0"/>
        <v>40</v>
      </c>
      <c r="AG6" s="59">
        <f t="shared" si="0"/>
        <v>50</v>
      </c>
      <c r="AH6" s="137">
        <f t="shared" si="0"/>
        <v>60</v>
      </c>
      <c r="AI6" s="59">
        <f t="shared" si="0"/>
        <v>70</v>
      </c>
      <c r="AJ6" s="60">
        <f t="shared" si="0"/>
        <v>80</v>
      </c>
      <c r="AK6" s="30" t="s">
        <v>106</v>
      </c>
      <c r="AL6" s="31">
        <v>10</v>
      </c>
      <c r="AM6" s="32">
        <v>20</v>
      </c>
      <c r="AN6" s="32">
        <v>30</v>
      </c>
      <c r="AO6" s="32">
        <v>40</v>
      </c>
      <c r="AP6" s="32">
        <v>50</v>
      </c>
      <c r="AQ6" s="32">
        <v>60</v>
      </c>
      <c r="AR6" s="32">
        <v>70</v>
      </c>
      <c r="AS6" s="33">
        <v>80</v>
      </c>
      <c r="AT6" s="30" t="s">
        <v>106</v>
      </c>
      <c r="AU6" s="324">
        <v>10</v>
      </c>
      <c r="AV6" s="325">
        <v>20</v>
      </c>
      <c r="AW6" s="325">
        <v>30</v>
      </c>
      <c r="AX6" s="325">
        <v>40</v>
      </c>
      <c r="AY6" s="325">
        <v>50</v>
      </c>
      <c r="AZ6" s="325">
        <v>60</v>
      </c>
      <c r="BA6" s="325">
        <v>70</v>
      </c>
      <c r="BB6" s="326">
        <v>80</v>
      </c>
      <c r="BC6" s="30" t="s">
        <v>106</v>
      </c>
      <c r="BD6" s="324">
        <v>10</v>
      </c>
      <c r="BE6" s="325">
        <v>20</v>
      </c>
      <c r="BF6" s="325">
        <v>30</v>
      </c>
      <c r="BG6" s="325">
        <v>40</v>
      </c>
      <c r="BH6" s="325">
        <v>50</v>
      </c>
      <c r="BI6" s="325">
        <v>60</v>
      </c>
      <c r="BJ6" s="325">
        <v>70</v>
      </c>
      <c r="BK6" s="326">
        <v>80</v>
      </c>
    </row>
    <row r="7" spans="1:63">
      <c r="A7" s="36" t="s">
        <v>107</v>
      </c>
      <c r="B7" s="44">
        <f t="shared" ref="B7:I7" si="1">ROUND(B6/3.6,2)</f>
        <v>2.78</v>
      </c>
      <c r="C7" s="38">
        <f t="shared" si="1"/>
        <v>5.56</v>
      </c>
      <c r="D7" s="38">
        <f t="shared" si="1"/>
        <v>8.33</v>
      </c>
      <c r="E7" s="38">
        <f t="shared" si="1"/>
        <v>11.11</v>
      </c>
      <c r="F7" s="38">
        <f t="shared" si="1"/>
        <v>13.89</v>
      </c>
      <c r="G7" s="38">
        <f t="shared" si="1"/>
        <v>16.670000000000002</v>
      </c>
      <c r="H7" s="63">
        <f t="shared" si="1"/>
        <v>19.440000000000001</v>
      </c>
      <c r="I7" s="39">
        <f t="shared" si="1"/>
        <v>22.22</v>
      </c>
      <c r="J7" s="36" t="s">
        <v>107</v>
      </c>
      <c r="K7" s="62">
        <f t="shared" ref="K7:R7" si="2">ROUND(K6/3.6,2)</f>
        <v>2.78</v>
      </c>
      <c r="L7" s="38">
        <f t="shared" si="2"/>
        <v>5.56</v>
      </c>
      <c r="M7" s="38">
        <f t="shared" si="2"/>
        <v>8.33</v>
      </c>
      <c r="N7" s="38">
        <f t="shared" si="2"/>
        <v>11.11</v>
      </c>
      <c r="O7" s="38">
        <f t="shared" si="2"/>
        <v>13.89</v>
      </c>
      <c r="P7" s="38">
        <f t="shared" si="2"/>
        <v>16.670000000000002</v>
      </c>
      <c r="Q7" s="38">
        <f t="shared" si="2"/>
        <v>19.440000000000001</v>
      </c>
      <c r="R7" s="39">
        <f t="shared" si="2"/>
        <v>22.22</v>
      </c>
      <c r="S7" s="36" t="s">
        <v>107</v>
      </c>
      <c r="T7" s="44">
        <f t="shared" ref="T7:AA7" si="3">ROUND(T6/3.6,2)</f>
        <v>2.78</v>
      </c>
      <c r="U7" s="38">
        <f t="shared" si="3"/>
        <v>5.56</v>
      </c>
      <c r="V7" s="38">
        <f t="shared" si="3"/>
        <v>8.33</v>
      </c>
      <c r="W7" s="38">
        <f t="shared" si="3"/>
        <v>11.11</v>
      </c>
      <c r="X7" s="38">
        <f t="shared" si="3"/>
        <v>13.89</v>
      </c>
      <c r="Y7" s="38">
        <f t="shared" si="3"/>
        <v>16.670000000000002</v>
      </c>
      <c r="Z7" s="38">
        <f t="shared" si="3"/>
        <v>19.440000000000001</v>
      </c>
      <c r="AA7" s="39">
        <f t="shared" si="3"/>
        <v>22.22</v>
      </c>
      <c r="AB7" s="36" t="s">
        <v>121</v>
      </c>
      <c r="AC7" s="127">
        <v>2.25</v>
      </c>
      <c r="AD7" s="38">
        <f t="shared" ref="AD7:AJ7" si="4">AC7</f>
        <v>2.25</v>
      </c>
      <c r="AE7" s="38">
        <f t="shared" si="4"/>
        <v>2.25</v>
      </c>
      <c r="AF7" s="38">
        <f t="shared" si="4"/>
        <v>2.25</v>
      </c>
      <c r="AG7" s="38">
        <f t="shared" si="4"/>
        <v>2.25</v>
      </c>
      <c r="AH7" s="63">
        <f t="shared" si="4"/>
        <v>2.25</v>
      </c>
      <c r="AI7" s="38">
        <f t="shared" si="4"/>
        <v>2.25</v>
      </c>
      <c r="AJ7" s="39">
        <f t="shared" si="4"/>
        <v>2.25</v>
      </c>
      <c r="AK7" s="164" t="s">
        <v>246</v>
      </c>
      <c r="AL7" s="40">
        <f t="shared" ref="AL7:AS7" si="5">B32</f>
        <v>1</v>
      </c>
      <c r="AM7" s="40">
        <f t="shared" si="5"/>
        <v>0</v>
      </c>
      <c r="AN7" s="40">
        <f t="shared" si="5"/>
        <v>0</v>
      </c>
      <c r="AO7" s="40">
        <f t="shared" si="5"/>
        <v>0</v>
      </c>
      <c r="AP7" s="40">
        <f t="shared" si="5"/>
        <v>0</v>
      </c>
      <c r="AQ7" s="40">
        <f t="shared" si="5"/>
        <v>0</v>
      </c>
      <c r="AR7" s="139">
        <f t="shared" si="5"/>
        <v>0</v>
      </c>
      <c r="AS7" s="41">
        <f t="shared" si="5"/>
        <v>0</v>
      </c>
      <c r="AT7" s="36" t="s">
        <v>107</v>
      </c>
      <c r="AU7" s="327">
        <f t="shared" ref="AU7:BB7" si="6">ROUND(AU6/3.6,2)</f>
        <v>2.78</v>
      </c>
      <c r="AV7" s="328">
        <f t="shared" si="6"/>
        <v>5.56</v>
      </c>
      <c r="AW7" s="328">
        <f t="shared" si="6"/>
        <v>8.33</v>
      </c>
      <c r="AX7" s="328">
        <f t="shared" si="6"/>
        <v>11.11</v>
      </c>
      <c r="AY7" s="328">
        <f t="shared" si="6"/>
        <v>13.89</v>
      </c>
      <c r="AZ7" s="328">
        <f t="shared" si="6"/>
        <v>16.670000000000002</v>
      </c>
      <c r="BA7" s="328">
        <f t="shared" si="6"/>
        <v>19.440000000000001</v>
      </c>
      <c r="BB7" s="342">
        <f t="shared" si="6"/>
        <v>22.22</v>
      </c>
      <c r="BC7" s="36" t="s">
        <v>107</v>
      </c>
      <c r="BD7" s="327">
        <f t="shared" ref="BD7:BK7" si="7">ROUND(BD6/3.6,2)</f>
        <v>2.78</v>
      </c>
      <c r="BE7" s="328">
        <f t="shared" si="7"/>
        <v>5.56</v>
      </c>
      <c r="BF7" s="328">
        <f t="shared" si="7"/>
        <v>8.33</v>
      </c>
      <c r="BG7" s="328">
        <f t="shared" si="7"/>
        <v>11.11</v>
      </c>
      <c r="BH7" s="328">
        <f t="shared" si="7"/>
        <v>13.89</v>
      </c>
      <c r="BI7" s="328">
        <f t="shared" si="7"/>
        <v>16.670000000000002</v>
      </c>
      <c r="BJ7" s="328">
        <f t="shared" si="7"/>
        <v>19.440000000000001</v>
      </c>
      <c r="BK7" s="342">
        <f t="shared" si="7"/>
        <v>22.22</v>
      </c>
    </row>
    <row r="8" spans="1:63">
      <c r="A8" s="36" t="s">
        <v>108</v>
      </c>
      <c r="B8" s="180">
        <f>'환기량 산정'!B1511</f>
        <v>6</v>
      </c>
      <c r="C8" s="42">
        <f>'환기량 산정'!D$704</f>
        <v>9</v>
      </c>
      <c r="D8" s="42">
        <f>'환기량 산정'!E$704</f>
        <v>9</v>
      </c>
      <c r="E8" s="42">
        <f>'환기량 산정'!F$704</f>
        <v>10</v>
      </c>
      <c r="F8" s="42">
        <f>'환기량 산정'!G$704</f>
        <v>14</v>
      </c>
      <c r="G8" s="42">
        <f>'환기량 산정'!H$704</f>
        <v>14</v>
      </c>
      <c r="H8" s="61">
        <f>'환기량 산정'!I$704</f>
        <v>14</v>
      </c>
      <c r="I8" s="43">
        <f>'환기량 산정'!J$704</f>
        <v>14</v>
      </c>
      <c r="J8" s="36" t="s">
        <v>108</v>
      </c>
      <c r="K8" s="187">
        <f>'환기량 산정'!B1513</f>
        <v>15</v>
      </c>
      <c r="L8" s="42">
        <f>'환기량 산정'!C1513</f>
        <v>13</v>
      </c>
      <c r="M8" s="42">
        <f>'환기량 산정'!D1513</f>
        <v>9</v>
      </c>
      <c r="N8" s="42">
        <f>'환기량 산정'!E1513</f>
        <v>8</v>
      </c>
      <c r="O8" s="42">
        <f>'환기량 산정'!F1513</f>
        <v>7</v>
      </c>
      <c r="P8" s="42">
        <f>'환기량 산정'!G1513</f>
        <v>6</v>
      </c>
      <c r="Q8" s="42">
        <f>'환기량 산정'!H1513</f>
        <v>7</v>
      </c>
      <c r="R8" s="43">
        <f>'환기량 산정'!I1513</f>
        <v>7</v>
      </c>
      <c r="S8" s="36" t="s">
        <v>108</v>
      </c>
      <c r="T8" s="180">
        <f>'환기량 산정'!B1515</f>
        <v>3</v>
      </c>
      <c r="U8" s="42">
        <f>'환기량 산정'!C1515</f>
        <v>2</v>
      </c>
      <c r="V8" s="42">
        <f>'환기량 산정'!D1515</f>
        <v>2</v>
      </c>
      <c r="W8" s="42">
        <f>'환기량 산정'!E1515</f>
        <v>2</v>
      </c>
      <c r="X8" s="42">
        <f>'환기량 산정'!F1515</f>
        <v>1</v>
      </c>
      <c r="Y8" s="42">
        <f>'환기량 산정'!G1515</f>
        <v>1</v>
      </c>
      <c r="Z8" s="42">
        <f>'환기량 산정'!H1515</f>
        <v>1</v>
      </c>
      <c r="AA8" s="43">
        <f>'환기량 산정'!I1515</f>
        <v>1</v>
      </c>
      <c r="AB8" s="36" t="s">
        <v>111</v>
      </c>
      <c r="AC8" s="44">
        <f>'환기량 산정'!B1504</f>
        <v>1060</v>
      </c>
      <c r="AD8" s="38">
        <f>'환기량 산정'!C1504</f>
        <v>1536</v>
      </c>
      <c r="AE8" s="38">
        <f>'환기량 산정'!D1504</f>
        <v>1779</v>
      </c>
      <c r="AF8" s="38">
        <f>'환기량 산정'!E1504</f>
        <v>1867</v>
      </c>
      <c r="AG8" s="38">
        <f>'환기량 산정'!F1504</f>
        <v>1944</v>
      </c>
      <c r="AH8" s="38">
        <f>'환기량 산정'!G1504</f>
        <v>1925</v>
      </c>
      <c r="AI8" s="38">
        <f>'환기량 산정'!H1504</f>
        <v>1906</v>
      </c>
      <c r="AJ8" s="39">
        <f>'환기량 산정'!I1504</f>
        <v>1944</v>
      </c>
      <c r="AK8" s="69" t="s">
        <v>247</v>
      </c>
      <c r="AL8" s="44">
        <f t="shared" ref="AL8:AS8" si="8">K32</f>
        <v>1</v>
      </c>
      <c r="AM8" s="38">
        <f t="shared" si="8"/>
        <v>0</v>
      </c>
      <c r="AN8" s="38">
        <f t="shared" si="8"/>
        <v>0</v>
      </c>
      <c r="AO8" s="38">
        <f t="shared" si="8"/>
        <v>0</v>
      </c>
      <c r="AP8" s="38">
        <f t="shared" si="8"/>
        <v>0</v>
      </c>
      <c r="AQ8" s="38">
        <f t="shared" si="8"/>
        <v>0</v>
      </c>
      <c r="AR8" s="63">
        <f t="shared" si="8"/>
        <v>0</v>
      </c>
      <c r="AS8" s="39">
        <f t="shared" si="8"/>
        <v>0</v>
      </c>
      <c r="AT8" s="36" t="s">
        <v>108</v>
      </c>
      <c r="AU8" s="330">
        <f>'환기량 산정'!H1540</f>
        <v>137</v>
      </c>
      <c r="AV8" s="331">
        <f t="shared" ref="AV8:BB8" si="9">AU8</f>
        <v>137</v>
      </c>
      <c r="AW8" s="331">
        <f t="shared" si="9"/>
        <v>137</v>
      </c>
      <c r="AX8" s="331">
        <f t="shared" si="9"/>
        <v>137</v>
      </c>
      <c r="AY8" s="331">
        <f t="shared" si="9"/>
        <v>137</v>
      </c>
      <c r="AZ8" s="331">
        <f t="shared" si="9"/>
        <v>137</v>
      </c>
      <c r="BA8" s="331">
        <f t="shared" si="9"/>
        <v>137</v>
      </c>
      <c r="BB8" s="343">
        <f t="shared" si="9"/>
        <v>137</v>
      </c>
      <c r="BC8" s="36" t="s">
        <v>108</v>
      </c>
      <c r="BD8" s="330">
        <f>'환기량 산정'!H1545</f>
        <v>89</v>
      </c>
      <c r="BE8" s="331">
        <f t="shared" ref="BE8:BK8" si="10">BD8</f>
        <v>89</v>
      </c>
      <c r="BF8" s="331">
        <f t="shared" si="10"/>
        <v>89</v>
      </c>
      <c r="BG8" s="331">
        <f t="shared" si="10"/>
        <v>89</v>
      </c>
      <c r="BH8" s="331">
        <f t="shared" si="10"/>
        <v>89</v>
      </c>
      <c r="BI8" s="331">
        <f t="shared" si="10"/>
        <v>89</v>
      </c>
      <c r="BJ8" s="331">
        <f t="shared" si="10"/>
        <v>89</v>
      </c>
      <c r="BK8" s="343">
        <f t="shared" si="10"/>
        <v>89</v>
      </c>
    </row>
    <row r="9" spans="1:63">
      <c r="A9" s="69" t="s">
        <v>109</v>
      </c>
      <c r="B9" s="242">
        <f t="shared" ref="B9:I9" si="11">ROUND(B8/B12,4)</f>
        <v>0.1023</v>
      </c>
      <c r="C9" s="38">
        <f t="shared" si="11"/>
        <v>0.15340000000000001</v>
      </c>
      <c r="D9" s="38">
        <f t="shared" si="11"/>
        <v>0.15340000000000001</v>
      </c>
      <c r="E9" s="38">
        <f t="shared" si="11"/>
        <v>0.1704</v>
      </c>
      <c r="F9" s="38">
        <f t="shared" si="11"/>
        <v>0.23860000000000001</v>
      </c>
      <c r="G9" s="38">
        <f t="shared" si="11"/>
        <v>0.23860000000000001</v>
      </c>
      <c r="H9" s="63">
        <f t="shared" si="11"/>
        <v>0.23860000000000001</v>
      </c>
      <c r="I9" s="39">
        <f t="shared" si="11"/>
        <v>0.23860000000000001</v>
      </c>
      <c r="J9" s="36" t="s">
        <v>109</v>
      </c>
      <c r="K9" s="62">
        <f t="shared" ref="K9:R9" si="12">ROUND(K8/K12,4)</f>
        <v>0.25569999999999998</v>
      </c>
      <c r="L9" s="38">
        <f t="shared" si="12"/>
        <v>0.22159999999999999</v>
      </c>
      <c r="M9" s="38">
        <f t="shared" si="12"/>
        <v>0.15340000000000001</v>
      </c>
      <c r="N9" s="38">
        <f t="shared" si="12"/>
        <v>0.13639999999999999</v>
      </c>
      <c r="O9" s="38">
        <f t="shared" si="12"/>
        <v>0.1193</v>
      </c>
      <c r="P9" s="38">
        <f t="shared" si="12"/>
        <v>0.1023</v>
      </c>
      <c r="Q9" s="38">
        <f t="shared" si="12"/>
        <v>0.1193</v>
      </c>
      <c r="R9" s="39">
        <f t="shared" si="12"/>
        <v>0.1193</v>
      </c>
      <c r="S9" s="36" t="s">
        <v>109</v>
      </c>
      <c r="T9" s="44">
        <f t="shared" ref="T9:AA9" si="13">ROUND(T8/T12,4)</f>
        <v>5.11E-2</v>
      </c>
      <c r="U9" s="38">
        <f t="shared" si="13"/>
        <v>3.4099999999999998E-2</v>
      </c>
      <c r="V9" s="38">
        <f t="shared" si="13"/>
        <v>3.4099999999999998E-2</v>
      </c>
      <c r="W9" s="38">
        <f t="shared" si="13"/>
        <v>3.4099999999999998E-2</v>
      </c>
      <c r="X9" s="38">
        <f t="shared" si="13"/>
        <v>1.7000000000000001E-2</v>
      </c>
      <c r="Y9" s="38">
        <f t="shared" si="13"/>
        <v>1.7000000000000001E-2</v>
      </c>
      <c r="Z9" s="38">
        <f t="shared" si="13"/>
        <v>1.7000000000000001E-2</v>
      </c>
      <c r="AA9" s="39">
        <f t="shared" si="13"/>
        <v>1.7000000000000001E-2</v>
      </c>
      <c r="AB9" s="36" t="s">
        <v>535</v>
      </c>
      <c r="AC9" s="37">
        <f>차량정체길이산정!B9</f>
        <v>144</v>
      </c>
      <c r="AD9" s="38">
        <f>차량정체길이산정!C9</f>
        <v>144</v>
      </c>
      <c r="AE9" s="38">
        <f>차량정체길이산정!D9</f>
        <v>144</v>
      </c>
      <c r="AF9" s="38">
        <f>차량정체길이산정!E9</f>
        <v>140</v>
      </c>
      <c r="AG9" s="38">
        <f>차량정체길이산정!F9</f>
        <v>136</v>
      </c>
      <c r="AH9" s="63">
        <f>차량정체길이산정!G9</f>
        <v>129</v>
      </c>
      <c r="AI9" s="38">
        <f>차량정체길이산정!H9</f>
        <v>123</v>
      </c>
      <c r="AJ9" s="39">
        <f>차량정체길이산정!I9</f>
        <v>122</v>
      </c>
      <c r="AK9" s="69" t="s">
        <v>248</v>
      </c>
      <c r="AL9" s="44">
        <f t="shared" ref="AL9:AS9" si="14">T32</f>
        <v>1</v>
      </c>
      <c r="AM9" s="38">
        <f t="shared" si="14"/>
        <v>0</v>
      </c>
      <c r="AN9" s="38">
        <f t="shared" si="14"/>
        <v>0</v>
      </c>
      <c r="AO9" s="38">
        <f t="shared" si="14"/>
        <v>0</v>
      </c>
      <c r="AP9" s="38">
        <f t="shared" si="14"/>
        <v>0</v>
      </c>
      <c r="AQ9" s="38">
        <f t="shared" si="14"/>
        <v>0</v>
      </c>
      <c r="AR9" s="63">
        <f t="shared" si="14"/>
        <v>0</v>
      </c>
      <c r="AS9" s="39">
        <f t="shared" si="14"/>
        <v>0</v>
      </c>
      <c r="AT9" s="36" t="s">
        <v>109</v>
      </c>
      <c r="AU9" s="327">
        <f t="shared" ref="AU9:BB9" si="15">ROUND(AU8/AU12,4)</f>
        <v>2.335</v>
      </c>
      <c r="AV9" s="328">
        <f t="shared" si="15"/>
        <v>2.335</v>
      </c>
      <c r="AW9" s="328">
        <f t="shared" si="15"/>
        <v>2.335</v>
      </c>
      <c r="AX9" s="328">
        <f t="shared" si="15"/>
        <v>2.335</v>
      </c>
      <c r="AY9" s="328">
        <f t="shared" si="15"/>
        <v>2.335</v>
      </c>
      <c r="AZ9" s="328">
        <f t="shared" si="15"/>
        <v>2.335</v>
      </c>
      <c r="BA9" s="328">
        <f t="shared" si="15"/>
        <v>2.335</v>
      </c>
      <c r="BB9" s="329">
        <f t="shared" si="15"/>
        <v>2.335</v>
      </c>
      <c r="BC9" s="36" t="s">
        <v>109</v>
      </c>
      <c r="BD9" s="327">
        <f t="shared" ref="BD9:BK9" si="16">ROUND(BD8/BD12,4)</f>
        <v>1.5168999999999999</v>
      </c>
      <c r="BE9" s="328">
        <f t="shared" si="16"/>
        <v>1.5168999999999999</v>
      </c>
      <c r="BF9" s="328">
        <f t="shared" si="16"/>
        <v>1.5168999999999999</v>
      </c>
      <c r="BG9" s="328">
        <f t="shared" si="16"/>
        <v>1.5168999999999999</v>
      </c>
      <c r="BH9" s="328">
        <f t="shared" si="16"/>
        <v>1.5168999999999999</v>
      </c>
      <c r="BI9" s="328">
        <f t="shared" si="16"/>
        <v>1.5168999999999999</v>
      </c>
      <c r="BJ9" s="328">
        <f t="shared" si="16"/>
        <v>1.5168999999999999</v>
      </c>
      <c r="BK9" s="329">
        <f t="shared" si="16"/>
        <v>1.5168999999999999</v>
      </c>
    </row>
    <row r="10" spans="1:63">
      <c r="A10" s="36" t="s">
        <v>110</v>
      </c>
      <c r="B10" s="360">
        <f>'환기량 산정'!$C1490</f>
        <v>2.5</v>
      </c>
      <c r="C10" s="361">
        <f>'환기량 산정'!$C1490</f>
        <v>2.5</v>
      </c>
      <c r="D10" s="361">
        <f>'환기량 산정'!$C1490</f>
        <v>2.5</v>
      </c>
      <c r="E10" s="361">
        <f>'환기량 산정'!$C1490</f>
        <v>2.5</v>
      </c>
      <c r="F10" s="361">
        <f>'환기량 산정'!$C1490</f>
        <v>2.5</v>
      </c>
      <c r="G10" s="361">
        <f>'환기량 산정'!$C1490</f>
        <v>2.5</v>
      </c>
      <c r="H10" s="362">
        <f>'환기량 산정'!$C1490</f>
        <v>2.5</v>
      </c>
      <c r="I10" s="363">
        <f>'환기량 산정'!$C1490</f>
        <v>2.5</v>
      </c>
      <c r="J10" s="36" t="s">
        <v>110</v>
      </c>
      <c r="K10" s="364">
        <f>'환기량 산정'!$C1490</f>
        <v>2.5</v>
      </c>
      <c r="L10" s="361">
        <f>'환기량 산정'!$C1490</f>
        <v>2.5</v>
      </c>
      <c r="M10" s="361">
        <f>'환기량 산정'!$C1490</f>
        <v>2.5</v>
      </c>
      <c r="N10" s="361">
        <f>'환기량 산정'!$C1490</f>
        <v>2.5</v>
      </c>
      <c r="O10" s="361">
        <f>'환기량 산정'!$C1490</f>
        <v>2.5</v>
      </c>
      <c r="P10" s="361">
        <f>'환기량 산정'!$C1490</f>
        <v>2.5</v>
      </c>
      <c r="Q10" s="361">
        <f>'환기량 산정'!$C1490</f>
        <v>2.5</v>
      </c>
      <c r="R10" s="363">
        <f>'환기량 산정'!$C1490</f>
        <v>2.5</v>
      </c>
      <c r="S10" s="36" t="s">
        <v>110</v>
      </c>
      <c r="T10" s="360">
        <f>'환기량 산정'!$C1490</f>
        <v>2.5</v>
      </c>
      <c r="U10" s="361">
        <f>'환기량 산정'!$C1490</f>
        <v>2.5</v>
      </c>
      <c r="V10" s="361">
        <f>'환기량 산정'!$C1490</f>
        <v>2.5</v>
      </c>
      <c r="W10" s="361">
        <f>'환기량 산정'!$C1490</f>
        <v>2.5</v>
      </c>
      <c r="X10" s="361">
        <f>'환기량 산정'!$C1490</f>
        <v>2.5</v>
      </c>
      <c r="Y10" s="361">
        <f>'환기량 산정'!$C1490</f>
        <v>2.5</v>
      </c>
      <c r="Z10" s="361">
        <f>'환기량 산정'!$C1490</f>
        <v>2.5</v>
      </c>
      <c r="AA10" s="363">
        <f>'환기량 산정'!$C1490</f>
        <v>2.5</v>
      </c>
      <c r="AB10" s="36"/>
      <c r="AC10" s="37"/>
      <c r="AD10" s="38"/>
      <c r="AE10" s="38"/>
      <c r="AF10" s="38"/>
      <c r="AG10" s="38"/>
      <c r="AH10" s="63"/>
      <c r="AI10" s="38"/>
      <c r="AJ10" s="39"/>
      <c r="AK10" s="166" t="s">
        <v>425</v>
      </c>
      <c r="AL10" s="355">
        <f t="shared" ref="AL10:AS10" si="17">AU32</f>
        <v>3</v>
      </c>
      <c r="AM10" s="65">
        <f t="shared" si="17"/>
        <v>2</v>
      </c>
      <c r="AN10" s="65">
        <f t="shared" si="17"/>
        <v>1</v>
      </c>
      <c r="AO10" s="65">
        <f t="shared" si="17"/>
        <v>0</v>
      </c>
      <c r="AP10" s="65">
        <f t="shared" si="17"/>
        <v>0</v>
      </c>
      <c r="AQ10" s="65">
        <f t="shared" si="17"/>
        <v>0</v>
      </c>
      <c r="AR10" s="65">
        <f t="shared" si="17"/>
        <v>0</v>
      </c>
      <c r="AS10" s="66">
        <f t="shared" si="17"/>
        <v>0</v>
      </c>
      <c r="AT10" s="36" t="s">
        <v>110</v>
      </c>
      <c r="AU10" s="357">
        <f>'환기량 산정'!$C1490</f>
        <v>2.5</v>
      </c>
      <c r="AV10" s="358">
        <f>'환기량 산정'!$C1490</f>
        <v>2.5</v>
      </c>
      <c r="AW10" s="358">
        <f>'환기량 산정'!$C1490</f>
        <v>2.5</v>
      </c>
      <c r="AX10" s="358">
        <f>'환기량 산정'!$C1490</f>
        <v>2.5</v>
      </c>
      <c r="AY10" s="358">
        <f>'환기량 산정'!$C1490</f>
        <v>2.5</v>
      </c>
      <c r="AZ10" s="358">
        <f>'환기량 산정'!$C1490</f>
        <v>2.5</v>
      </c>
      <c r="BA10" s="358">
        <f>'환기량 산정'!$C1490</f>
        <v>2.5</v>
      </c>
      <c r="BB10" s="359">
        <f>'환기량 산정'!$C1490</f>
        <v>2.5</v>
      </c>
      <c r="BC10" s="36" t="s">
        <v>110</v>
      </c>
      <c r="BD10" s="357">
        <f>'환기량 산정'!$C1490</f>
        <v>2.5</v>
      </c>
      <c r="BE10" s="358">
        <f>'환기량 산정'!$C1490</f>
        <v>2.5</v>
      </c>
      <c r="BF10" s="358">
        <f>'환기량 산정'!$C1490</f>
        <v>2.5</v>
      </c>
      <c r="BG10" s="358">
        <f>'환기량 산정'!$C1490</f>
        <v>2.5</v>
      </c>
      <c r="BH10" s="358">
        <f>'환기량 산정'!$C1490</f>
        <v>2.5</v>
      </c>
      <c r="BI10" s="358">
        <f>'환기량 산정'!$C1490</f>
        <v>2.5</v>
      </c>
      <c r="BJ10" s="358">
        <f>'환기량 산정'!$C1490</f>
        <v>2.5</v>
      </c>
      <c r="BK10" s="359">
        <f>'환기량 산정'!$C1490</f>
        <v>2.5</v>
      </c>
    </row>
    <row r="11" spans="1:63" ht="15.75">
      <c r="A11" s="36" t="s">
        <v>111</v>
      </c>
      <c r="B11" s="44">
        <f>'환기량 산정'!B1504</f>
        <v>1060</v>
      </c>
      <c r="C11" s="38">
        <f>'환기량 산정'!C1504</f>
        <v>1536</v>
      </c>
      <c r="D11" s="38">
        <f>'환기량 산정'!D1504</f>
        <v>1779</v>
      </c>
      <c r="E11" s="38">
        <f>'환기량 산정'!E1504</f>
        <v>1867</v>
      </c>
      <c r="F11" s="38">
        <f>'환기량 산정'!F1504</f>
        <v>1944</v>
      </c>
      <c r="G11" s="38">
        <f>'환기량 산정'!G1504</f>
        <v>1925</v>
      </c>
      <c r="H11" s="63">
        <f>'환기량 산정'!H1504</f>
        <v>1906</v>
      </c>
      <c r="I11" s="39">
        <f>'환기량 산정'!I1504</f>
        <v>1944</v>
      </c>
      <c r="J11" s="36" t="s">
        <v>111</v>
      </c>
      <c r="K11" s="62">
        <f t="shared" ref="K11:R11" si="18">B11</f>
        <v>1060</v>
      </c>
      <c r="L11" s="38">
        <f t="shared" si="18"/>
        <v>1536</v>
      </c>
      <c r="M11" s="38">
        <f t="shared" si="18"/>
        <v>1779</v>
      </c>
      <c r="N11" s="38">
        <f t="shared" si="18"/>
        <v>1867</v>
      </c>
      <c r="O11" s="38">
        <f t="shared" si="18"/>
        <v>1944</v>
      </c>
      <c r="P11" s="38">
        <f t="shared" si="18"/>
        <v>1925</v>
      </c>
      <c r="Q11" s="38">
        <f t="shared" si="18"/>
        <v>1906</v>
      </c>
      <c r="R11" s="39">
        <f t="shared" si="18"/>
        <v>1944</v>
      </c>
      <c r="S11" s="36" t="s">
        <v>111</v>
      </c>
      <c r="T11" s="44">
        <f t="shared" ref="T11:AA11" si="19">K11</f>
        <v>1060</v>
      </c>
      <c r="U11" s="38">
        <f t="shared" si="19"/>
        <v>1536</v>
      </c>
      <c r="V11" s="38">
        <f t="shared" si="19"/>
        <v>1779</v>
      </c>
      <c r="W11" s="38">
        <f t="shared" si="19"/>
        <v>1867</v>
      </c>
      <c r="X11" s="38">
        <f t="shared" si="19"/>
        <v>1944</v>
      </c>
      <c r="Y11" s="38">
        <f t="shared" si="19"/>
        <v>1925</v>
      </c>
      <c r="Z11" s="38">
        <f t="shared" si="19"/>
        <v>1906</v>
      </c>
      <c r="AA11" s="39">
        <f t="shared" si="19"/>
        <v>1944</v>
      </c>
      <c r="AB11" s="36" t="s">
        <v>154</v>
      </c>
      <c r="AC11" s="37">
        <f t="shared" ref="AC11:AJ11" si="20">ROUND((1+B16+B17*B13/B18)*B14/2*AC7^2,4)</f>
        <v>14.478999999999999</v>
      </c>
      <c r="AD11" s="38">
        <f t="shared" si="20"/>
        <v>14.478999999999999</v>
      </c>
      <c r="AE11" s="38">
        <f t="shared" si="20"/>
        <v>14.478999999999999</v>
      </c>
      <c r="AF11" s="38">
        <f t="shared" si="20"/>
        <v>14.478999999999999</v>
      </c>
      <c r="AG11" s="38">
        <f t="shared" si="20"/>
        <v>14.478999999999999</v>
      </c>
      <c r="AH11" s="63">
        <f t="shared" si="20"/>
        <v>14.478999999999999</v>
      </c>
      <c r="AI11" s="38">
        <f t="shared" si="20"/>
        <v>14.478999999999999</v>
      </c>
      <c r="AJ11" s="39">
        <f t="shared" si="20"/>
        <v>14.478999999999999</v>
      </c>
      <c r="AK11" s="166" t="s">
        <v>249</v>
      </c>
      <c r="AL11" s="67">
        <f t="shared" ref="AL11:AS11" si="21">AC20</f>
        <v>9</v>
      </c>
      <c r="AM11" s="65">
        <f t="shared" si="21"/>
        <v>9</v>
      </c>
      <c r="AN11" s="65">
        <f t="shared" si="21"/>
        <v>9</v>
      </c>
      <c r="AO11" s="65">
        <f t="shared" si="21"/>
        <v>9</v>
      </c>
      <c r="AP11" s="65">
        <f t="shared" si="21"/>
        <v>9</v>
      </c>
      <c r="AQ11" s="65">
        <f t="shared" si="21"/>
        <v>9</v>
      </c>
      <c r="AR11" s="65">
        <f t="shared" si="21"/>
        <v>9</v>
      </c>
      <c r="AS11" s="66">
        <f t="shared" si="21"/>
        <v>9</v>
      </c>
      <c r="AT11" s="36" t="s">
        <v>111</v>
      </c>
      <c r="AU11" s="327">
        <f t="shared" ref="AU11:BB11" si="22">B11</f>
        <v>1060</v>
      </c>
      <c r="AV11" s="332">
        <f t="shared" si="22"/>
        <v>1536</v>
      </c>
      <c r="AW11" s="332">
        <f t="shared" si="22"/>
        <v>1779</v>
      </c>
      <c r="AX11" s="332">
        <f t="shared" si="22"/>
        <v>1867</v>
      </c>
      <c r="AY11" s="332">
        <f t="shared" si="22"/>
        <v>1944</v>
      </c>
      <c r="AZ11" s="332">
        <f t="shared" si="22"/>
        <v>1925</v>
      </c>
      <c r="BA11" s="332">
        <f t="shared" si="22"/>
        <v>1906</v>
      </c>
      <c r="BB11" s="338">
        <f t="shared" si="22"/>
        <v>1944</v>
      </c>
      <c r="BC11" s="36" t="s">
        <v>111</v>
      </c>
      <c r="BD11" s="327">
        <f t="shared" ref="BD11:BK11" si="23">K11</f>
        <v>1060</v>
      </c>
      <c r="BE11" s="332">
        <f t="shared" si="23"/>
        <v>1536</v>
      </c>
      <c r="BF11" s="332">
        <f t="shared" si="23"/>
        <v>1779</v>
      </c>
      <c r="BG11" s="332">
        <f t="shared" si="23"/>
        <v>1867</v>
      </c>
      <c r="BH11" s="332">
        <f t="shared" si="23"/>
        <v>1944</v>
      </c>
      <c r="BI11" s="332">
        <f t="shared" si="23"/>
        <v>1925</v>
      </c>
      <c r="BJ11" s="332">
        <f t="shared" si="23"/>
        <v>1906</v>
      </c>
      <c r="BK11" s="338">
        <f t="shared" si="23"/>
        <v>1944</v>
      </c>
    </row>
    <row r="12" spans="1:63" ht="15.75">
      <c r="A12" s="36" t="s">
        <v>90</v>
      </c>
      <c r="B12" s="44">
        <f>'환기량 산정'!$C1488</f>
        <v>58.672159999999998</v>
      </c>
      <c r="C12" s="38">
        <f>'환기량 산정'!$C1488</f>
        <v>58.672159999999998</v>
      </c>
      <c r="D12" s="38">
        <f>'환기량 산정'!$C1488</f>
        <v>58.672159999999998</v>
      </c>
      <c r="E12" s="38">
        <f>'환기량 산정'!$C1488</f>
        <v>58.672159999999998</v>
      </c>
      <c r="F12" s="38">
        <f>'환기량 산정'!$C1488</f>
        <v>58.672159999999998</v>
      </c>
      <c r="G12" s="38">
        <f>'환기량 산정'!$C1488</f>
        <v>58.672159999999998</v>
      </c>
      <c r="H12" s="63">
        <f>'환기량 산정'!$C1488</f>
        <v>58.672159999999998</v>
      </c>
      <c r="I12" s="39">
        <f>'환기량 산정'!$C1488</f>
        <v>58.672159999999998</v>
      </c>
      <c r="J12" s="36" t="s">
        <v>90</v>
      </c>
      <c r="K12" s="62">
        <f>'환기량 산정'!$C1488</f>
        <v>58.672159999999998</v>
      </c>
      <c r="L12" s="38">
        <f>'환기량 산정'!$C1488</f>
        <v>58.672159999999998</v>
      </c>
      <c r="M12" s="38">
        <f>'환기량 산정'!$C1488</f>
        <v>58.672159999999998</v>
      </c>
      <c r="N12" s="38">
        <f>'환기량 산정'!$C1488</f>
        <v>58.672159999999998</v>
      </c>
      <c r="O12" s="38">
        <f>'환기량 산정'!$C1488</f>
        <v>58.672159999999998</v>
      </c>
      <c r="P12" s="38">
        <f>'환기량 산정'!$C1488</f>
        <v>58.672159999999998</v>
      </c>
      <c r="Q12" s="38">
        <f>'환기량 산정'!$C1488</f>
        <v>58.672159999999998</v>
      </c>
      <c r="R12" s="39">
        <f>'환기량 산정'!$C1488</f>
        <v>58.672159999999998</v>
      </c>
      <c r="S12" s="36" t="s">
        <v>90</v>
      </c>
      <c r="T12" s="44">
        <f>'환기량 산정'!$C1488</f>
        <v>58.672159999999998</v>
      </c>
      <c r="U12" s="38">
        <f>'환기량 산정'!$C1488</f>
        <v>58.672159999999998</v>
      </c>
      <c r="V12" s="38">
        <f>'환기량 산정'!$C1488</f>
        <v>58.672159999999998</v>
      </c>
      <c r="W12" s="38">
        <f>'환기량 산정'!$C1488</f>
        <v>58.672159999999998</v>
      </c>
      <c r="X12" s="38">
        <f>'환기량 산정'!$C1488</f>
        <v>58.672159999999998</v>
      </c>
      <c r="Y12" s="38">
        <f>'환기량 산정'!$C1488</f>
        <v>58.672159999999998</v>
      </c>
      <c r="Z12" s="38">
        <f>'환기량 산정'!$C1488</f>
        <v>58.672159999999998</v>
      </c>
      <c r="AA12" s="39">
        <f>'환기량 산정'!$C1488</f>
        <v>58.672159999999998</v>
      </c>
      <c r="AB12" s="36" t="s">
        <v>155</v>
      </c>
      <c r="AC12" s="37">
        <f t="shared" ref="AC12:AJ12" si="24">B25</f>
        <v>17.875299999999999</v>
      </c>
      <c r="AD12" s="38">
        <f t="shared" si="24"/>
        <v>17.875299999999999</v>
      </c>
      <c r="AE12" s="38">
        <f t="shared" si="24"/>
        <v>17.875299999999999</v>
      </c>
      <c r="AF12" s="38">
        <f t="shared" si="24"/>
        <v>17.875299999999999</v>
      </c>
      <c r="AG12" s="38">
        <f t="shared" si="24"/>
        <v>17.875299999999999</v>
      </c>
      <c r="AH12" s="63">
        <f t="shared" si="24"/>
        <v>17.875299999999999</v>
      </c>
      <c r="AI12" s="38">
        <f t="shared" si="24"/>
        <v>17.875299999999999</v>
      </c>
      <c r="AJ12" s="39">
        <f t="shared" si="24"/>
        <v>17.875299999999999</v>
      </c>
      <c r="AK12" s="356" t="s">
        <v>262</v>
      </c>
      <c r="AL12" s="170">
        <f t="shared" ref="AL12:AS12" si="25">IF(MAX(AL29:AL31)&gt;AU8,MAX(AL7:AL9),AL10)</f>
        <v>3</v>
      </c>
      <c r="AM12" s="171">
        <f t="shared" si="25"/>
        <v>2</v>
      </c>
      <c r="AN12" s="171">
        <f t="shared" si="25"/>
        <v>1</v>
      </c>
      <c r="AO12" s="171">
        <f t="shared" si="25"/>
        <v>0</v>
      </c>
      <c r="AP12" s="171">
        <f t="shared" si="25"/>
        <v>0</v>
      </c>
      <c r="AQ12" s="171">
        <f t="shared" si="25"/>
        <v>0</v>
      </c>
      <c r="AR12" s="171">
        <f t="shared" si="25"/>
        <v>0</v>
      </c>
      <c r="AS12" s="172">
        <f t="shared" si="25"/>
        <v>0</v>
      </c>
      <c r="AT12" s="36" t="s">
        <v>90</v>
      </c>
      <c r="AU12" s="327">
        <f>'환기량 산정'!$C1488</f>
        <v>58.672159999999998</v>
      </c>
      <c r="AV12" s="328">
        <f>'환기량 산정'!$C1488</f>
        <v>58.672159999999998</v>
      </c>
      <c r="AW12" s="328">
        <f>'환기량 산정'!$C1488</f>
        <v>58.672159999999998</v>
      </c>
      <c r="AX12" s="328">
        <f>'환기량 산정'!$C1488</f>
        <v>58.672159999999998</v>
      </c>
      <c r="AY12" s="328">
        <f>'환기량 산정'!$C1488</f>
        <v>58.672159999999998</v>
      </c>
      <c r="AZ12" s="328">
        <f>'환기량 산정'!$C1488</f>
        <v>58.672159999999998</v>
      </c>
      <c r="BA12" s="328">
        <f>'환기량 산정'!$C1488</f>
        <v>58.672159999999998</v>
      </c>
      <c r="BB12" s="329">
        <f>'환기량 산정'!$C1488</f>
        <v>58.672159999999998</v>
      </c>
      <c r="BC12" s="36" t="s">
        <v>90</v>
      </c>
      <c r="BD12" s="327">
        <f>'환기량 산정'!$C1488</f>
        <v>58.672159999999998</v>
      </c>
      <c r="BE12" s="328">
        <f>'환기량 산정'!$C1488</f>
        <v>58.672159999999998</v>
      </c>
      <c r="BF12" s="328">
        <f>'환기량 산정'!$C1488</f>
        <v>58.672159999999998</v>
      </c>
      <c r="BG12" s="328">
        <f>'환기량 산정'!$C1488</f>
        <v>58.672159999999998</v>
      </c>
      <c r="BH12" s="328">
        <f>'환기량 산정'!$C1488</f>
        <v>58.672159999999998</v>
      </c>
      <c r="BI12" s="328">
        <f>'환기량 산정'!$C1488</f>
        <v>58.672159999999998</v>
      </c>
      <c r="BJ12" s="328">
        <f>'환기량 산정'!$C1488</f>
        <v>58.672159999999998</v>
      </c>
      <c r="BK12" s="329">
        <f>'환기량 산정'!$C1488</f>
        <v>58.672159999999998</v>
      </c>
    </row>
    <row r="13" spans="1:63">
      <c r="A13" s="36" t="s">
        <v>112</v>
      </c>
      <c r="B13" s="44">
        <f>'환기량 산정'!$C1494</f>
        <v>1000</v>
      </c>
      <c r="C13" s="38">
        <f>'환기량 산정'!$C1494</f>
        <v>1000</v>
      </c>
      <c r="D13" s="38">
        <f>'환기량 산정'!$C1494</f>
        <v>1000</v>
      </c>
      <c r="E13" s="38">
        <f>'환기량 산정'!$C1494</f>
        <v>1000</v>
      </c>
      <c r="F13" s="38">
        <f>'환기량 산정'!$C1494</f>
        <v>1000</v>
      </c>
      <c r="G13" s="38">
        <f>'환기량 산정'!$C1494</f>
        <v>1000</v>
      </c>
      <c r="H13" s="63">
        <f>'환기량 산정'!$C1494</f>
        <v>1000</v>
      </c>
      <c r="I13" s="39">
        <f>'환기량 산정'!$C1494</f>
        <v>1000</v>
      </c>
      <c r="J13" s="36" t="s">
        <v>112</v>
      </c>
      <c r="K13" s="62">
        <f>'환기량 산정'!$C1494</f>
        <v>1000</v>
      </c>
      <c r="L13" s="38">
        <f>'환기량 산정'!$C1494</f>
        <v>1000</v>
      </c>
      <c r="M13" s="38">
        <f>'환기량 산정'!$C1494</f>
        <v>1000</v>
      </c>
      <c r="N13" s="38">
        <f>'환기량 산정'!$C1494</f>
        <v>1000</v>
      </c>
      <c r="O13" s="38">
        <f>'환기량 산정'!$C1494</f>
        <v>1000</v>
      </c>
      <c r="P13" s="38">
        <f>'환기량 산정'!$C1494</f>
        <v>1000</v>
      </c>
      <c r="Q13" s="38">
        <f>'환기량 산정'!$C1494</f>
        <v>1000</v>
      </c>
      <c r="R13" s="39">
        <f>'환기량 산정'!$C1494</f>
        <v>1000</v>
      </c>
      <c r="S13" s="36" t="s">
        <v>112</v>
      </c>
      <c r="T13" s="44">
        <f>'환기량 산정'!$C1494</f>
        <v>1000</v>
      </c>
      <c r="U13" s="38">
        <f>'환기량 산정'!$C1494</f>
        <v>1000</v>
      </c>
      <c r="V13" s="38">
        <f>'환기량 산정'!$C1494</f>
        <v>1000</v>
      </c>
      <c r="W13" s="38">
        <f>'환기량 산정'!$C1494</f>
        <v>1000</v>
      </c>
      <c r="X13" s="38">
        <f>'환기량 산정'!$C1494</f>
        <v>1000</v>
      </c>
      <c r="Y13" s="38">
        <f>'환기량 산정'!$C1494</f>
        <v>1000</v>
      </c>
      <c r="Z13" s="38">
        <f>'환기량 산정'!$C1494</f>
        <v>1000</v>
      </c>
      <c r="AA13" s="39">
        <f>'환기량 산정'!$C1494</f>
        <v>1000</v>
      </c>
      <c r="AB13" s="3" t="s">
        <v>534</v>
      </c>
      <c r="AC13" s="37">
        <f>ROUND(0.86*B19,4)</f>
        <v>0.92459999999999998</v>
      </c>
      <c r="AD13" s="38">
        <f t="shared" ref="AD13:AJ13" si="26">ROUND(0.86*C19,4)</f>
        <v>0.92459999999999998</v>
      </c>
      <c r="AE13" s="38">
        <f t="shared" si="26"/>
        <v>0.92459999999999998</v>
      </c>
      <c r="AF13" s="38">
        <f t="shared" si="26"/>
        <v>0.92459999999999998</v>
      </c>
      <c r="AG13" s="38">
        <f t="shared" si="26"/>
        <v>0.92459999999999998</v>
      </c>
      <c r="AH13" s="63">
        <f t="shared" si="26"/>
        <v>0.92459999999999998</v>
      </c>
      <c r="AI13" s="38">
        <f t="shared" si="26"/>
        <v>0.92459999999999998</v>
      </c>
      <c r="AJ13" s="39">
        <f t="shared" si="26"/>
        <v>0.92459999999999998</v>
      </c>
      <c r="AK13" s="69" t="s">
        <v>123</v>
      </c>
      <c r="AL13" s="44">
        <f t="shared" ref="AL13:AS13" si="27">ROUND((1+B16+B17*B13/B18)*B14/2,4)</f>
        <v>2.86</v>
      </c>
      <c r="AM13" s="38">
        <f t="shared" si="27"/>
        <v>2.86</v>
      </c>
      <c r="AN13" s="38">
        <f t="shared" si="27"/>
        <v>2.86</v>
      </c>
      <c r="AO13" s="38">
        <f t="shared" si="27"/>
        <v>2.86</v>
      </c>
      <c r="AP13" s="38">
        <f t="shared" si="27"/>
        <v>2.86</v>
      </c>
      <c r="AQ13" s="38">
        <f t="shared" si="27"/>
        <v>2.86</v>
      </c>
      <c r="AR13" s="38">
        <f t="shared" si="27"/>
        <v>2.86</v>
      </c>
      <c r="AS13" s="39">
        <f t="shared" si="27"/>
        <v>2.86</v>
      </c>
      <c r="AT13" s="36" t="s">
        <v>112</v>
      </c>
      <c r="AU13" s="327">
        <f>'환기량 산정'!$C1494</f>
        <v>1000</v>
      </c>
      <c r="AV13" s="328">
        <f>'환기량 산정'!$C1494</f>
        <v>1000</v>
      </c>
      <c r="AW13" s="328">
        <f>'환기량 산정'!$C1494</f>
        <v>1000</v>
      </c>
      <c r="AX13" s="328">
        <f>'환기량 산정'!$C1494</f>
        <v>1000</v>
      </c>
      <c r="AY13" s="328">
        <f>'환기량 산정'!$C1494</f>
        <v>1000</v>
      </c>
      <c r="AZ13" s="328">
        <f>'환기량 산정'!$C1494</f>
        <v>1000</v>
      </c>
      <c r="BA13" s="328">
        <f>'환기량 산정'!$C1494</f>
        <v>1000</v>
      </c>
      <c r="BB13" s="329">
        <f>'환기량 산정'!$C1494</f>
        <v>1000</v>
      </c>
      <c r="BC13" s="36" t="s">
        <v>112</v>
      </c>
      <c r="BD13" s="327">
        <f>'환기량 산정'!$C1494</f>
        <v>1000</v>
      </c>
      <c r="BE13" s="328">
        <f>'환기량 산정'!$C1494</f>
        <v>1000</v>
      </c>
      <c r="BF13" s="328">
        <f>'환기량 산정'!$C1494</f>
        <v>1000</v>
      </c>
      <c r="BG13" s="328">
        <f>'환기량 산정'!$C1494</f>
        <v>1000</v>
      </c>
      <c r="BH13" s="328">
        <f>'환기량 산정'!$C1494</f>
        <v>1000</v>
      </c>
      <c r="BI13" s="328">
        <f>'환기량 산정'!$C1494</f>
        <v>1000</v>
      </c>
      <c r="BJ13" s="328">
        <f>'환기량 산정'!$C1494</f>
        <v>1000</v>
      </c>
      <c r="BK13" s="329">
        <f>'환기량 산정'!$C1494</f>
        <v>1000</v>
      </c>
    </row>
    <row r="14" spans="1:63" ht="15.75">
      <c r="A14" s="36" t="s">
        <v>113</v>
      </c>
      <c r="B14" s="44">
        <f>'환기량 산정'!$C1493</f>
        <v>1.2</v>
      </c>
      <c r="C14" s="38">
        <f>'환기량 산정'!$C1493</f>
        <v>1.2</v>
      </c>
      <c r="D14" s="38">
        <f>'환기량 산정'!$C1493</f>
        <v>1.2</v>
      </c>
      <c r="E14" s="38">
        <f>'환기량 산정'!$C1493</f>
        <v>1.2</v>
      </c>
      <c r="F14" s="38">
        <f>'환기량 산정'!$C1493</f>
        <v>1.2</v>
      </c>
      <c r="G14" s="38">
        <f>'환기량 산정'!$C1493</f>
        <v>1.2</v>
      </c>
      <c r="H14" s="63">
        <f>'환기량 산정'!$C1493</f>
        <v>1.2</v>
      </c>
      <c r="I14" s="39">
        <f>'환기량 산정'!$C1493</f>
        <v>1.2</v>
      </c>
      <c r="J14" s="36" t="s">
        <v>113</v>
      </c>
      <c r="K14" s="62">
        <f>'환기량 산정'!$C1493</f>
        <v>1.2</v>
      </c>
      <c r="L14" s="38">
        <f>'환기량 산정'!$C1493</f>
        <v>1.2</v>
      </c>
      <c r="M14" s="38">
        <f>'환기량 산정'!$C1493</f>
        <v>1.2</v>
      </c>
      <c r="N14" s="38">
        <f>'환기량 산정'!$C1493</f>
        <v>1.2</v>
      </c>
      <c r="O14" s="38">
        <f>'환기량 산정'!$C1493</f>
        <v>1.2</v>
      </c>
      <c r="P14" s="38">
        <f>'환기량 산정'!$C1493</f>
        <v>1.2</v>
      </c>
      <c r="Q14" s="38">
        <f>'환기량 산정'!$C1493</f>
        <v>1.2</v>
      </c>
      <c r="R14" s="39">
        <f>'환기량 산정'!$C1493</f>
        <v>1.2</v>
      </c>
      <c r="S14" s="36" t="s">
        <v>113</v>
      </c>
      <c r="T14" s="44">
        <f>'환기량 산정'!$C1493</f>
        <v>1.2</v>
      </c>
      <c r="U14" s="38">
        <f>'환기량 산정'!$C1493</f>
        <v>1.2</v>
      </c>
      <c r="V14" s="38">
        <f>'환기량 산정'!$C1493</f>
        <v>1.2</v>
      </c>
      <c r="W14" s="38">
        <f>'환기량 산정'!$C1493</f>
        <v>1.2</v>
      </c>
      <c r="X14" s="38">
        <f>'환기량 산정'!$C1493</f>
        <v>1.2</v>
      </c>
      <c r="Y14" s="38">
        <f>'환기량 산정'!$C1493</f>
        <v>1.2</v>
      </c>
      <c r="Z14" s="38">
        <f>'환기량 산정'!$C1493</f>
        <v>1.2</v>
      </c>
      <c r="AA14" s="39">
        <f>'환기량 산정'!$C1493</f>
        <v>1.2</v>
      </c>
      <c r="AB14" s="36" t="s">
        <v>159</v>
      </c>
      <c r="AC14" s="37">
        <v>0</v>
      </c>
      <c r="AD14" s="38">
        <v>0</v>
      </c>
      <c r="AE14" s="38">
        <v>0</v>
      </c>
      <c r="AF14" s="38">
        <v>0</v>
      </c>
      <c r="AG14" s="38">
        <v>0</v>
      </c>
      <c r="AH14" s="63">
        <v>0</v>
      </c>
      <c r="AI14" s="38">
        <v>0</v>
      </c>
      <c r="AJ14" s="39">
        <v>0</v>
      </c>
      <c r="AK14" s="69" t="s">
        <v>124</v>
      </c>
      <c r="AL14" s="188">
        <f>ROUND(-B14/2*B19/B12*B22,4)</f>
        <v>-1.1654</v>
      </c>
      <c r="AM14" s="38">
        <f t="shared" ref="AM14:AS14" si="28">IF(C7&gt;=C9,ROUND(C14/2*C19/C12*C22,4),IF(C7&lt;C9,ROUND(-C14/2*C19/C12*C22,4)))</f>
        <v>0.84660000000000002</v>
      </c>
      <c r="AN14" s="38">
        <f t="shared" si="28"/>
        <v>0.65969999999999995</v>
      </c>
      <c r="AO14" s="38">
        <f t="shared" si="28"/>
        <v>0.51670000000000005</v>
      </c>
      <c r="AP14" s="38">
        <f t="shared" si="28"/>
        <v>0.42880000000000001</v>
      </c>
      <c r="AQ14" s="38">
        <f t="shared" si="28"/>
        <v>0.3518</v>
      </c>
      <c r="AR14" s="38">
        <f t="shared" si="28"/>
        <v>0.30780000000000002</v>
      </c>
      <c r="AS14" s="39">
        <f t="shared" si="28"/>
        <v>0.27489999999999998</v>
      </c>
      <c r="AT14" s="36" t="s">
        <v>113</v>
      </c>
      <c r="AU14" s="327">
        <f>'환기량 산정'!$C1493</f>
        <v>1.2</v>
      </c>
      <c r="AV14" s="328">
        <f>'환기량 산정'!$C1493</f>
        <v>1.2</v>
      </c>
      <c r="AW14" s="328">
        <f>'환기량 산정'!$C1493</f>
        <v>1.2</v>
      </c>
      <c r="AX14" s="328">
        <f>'환기량 산정'!$C1493</f>
        <v>1.2</v>
      </c>
      <c r="AY14" s="328">
        <f>'환기량 산정'!$C1493</f>
        <v>1.2</v>
      </c>
      <c r="AZ14" s="328">
        <f>'환기량 산정'!$C1493</f>
        <v>1.2</v>
      </c>
      <c r="BA14" s="328">
        <f>'환기량 산정'!$C1493</f>
        <v>1.2</v>
      </c>
      <c r="BB14" s="329">
        <f>'환기량 산정'!$C1493</f>
        <v>1.2</v>
      </c>
      <c r="BC14" s="36" t="s">
        <v>113</v>
      </c>
      <c r="BD14" s="327">
        <f>'환기량 산정'!$C1493</f>
        <v>1.2</v>
      </c>
      <c r="BE14" s="328">
        <f>'환기량 산정'!$C1493</f>
        <v>1.2</v>
      </c>
      <c r="BF14" s="328">
        <f>'환기량 산정'!$C1493</f>
        <v>1.2</v>
      </c>
      <c r="BG14" s="328">
        <f>'환기량 산정'!$C1493</f>
        <v>1.2</v>
      </c>
      <c r="BH14" s="328">
        <f>'환기량 산정'!$C1493</f>
        <v>1.2</v>
      </c>
      <c r="BI14" s="328">
        <f>'환기량 산정'!$C1493</f>
        <v>1.2</v>
      </c>
      <c r="BJ14" s="328">
        <f>'환기량 산정'!$C1493</f>
        <v>1.2</v>
      </c>
      <c r="BK14" s="329">
        <f>'환기량 산정'!$C1493</f>
        <v>1.2</v>
      </c>
    </row>
    <row r="15" spans="1:63">
      <c r="A15" s="36"/>
      <c r="B15" s="44"/>
      <c r="C15" s="38"/>
      <c r="D15" s="38"/>
      <c r="E15" s="38"/>
      <c r="F15" s="38"/>
      <c r="G15" s="38"/>
      <c r="H15" s="63"/>
      <c r="I15" s="39"/>
      <c r="J15" s="36"/>
      <c r="K15" s="62"/>
      <c r="L15" s="38"/>
      <c r="M15" s="38"/>
      <c r="N15" s="38"/>
      <c r="O15" s="38"/>
      <c r="P15" s="38"/>
      <c r="Q15" s="38"/>
      <c r="R15" s="39"/>
      <c r="S15" s="36"/>
      <c r="T15" s="44"/>
      <c r="U15" s="38"/>
      <c r="V15" s="38"/>
      <c r="W15" s="38"/>
      <c r="X15" s="38"/>
      <c r="Y15" s="38"/>
      <c r="Z15" s="38"/>
      <c r="AA15" s="39"/>
      <c r="AB15" s="36" t="s">
        <v>810</v>
      </c>
      <c r="AC15" s="1218">
        <v>-51.21</v>
      </c>
      <c r="AD15" s="38">
        <f>AC15</f>
        <v>-51.21</v>
      </c>
      <c r="AE15" s="38">
        <f t="shared" ref="AE15:AJ15" si="29">AD15</f>
        <v>-51.21</v>
      </c>
      <c r="AF15" s="38">
        <f t="shared" si="29"/>
        <v>-51.21</v>
      </c>
      <c r="AG15" s="38">
        <f t="shared" si="29"/>
        <v>-51.21</v>
      </c>
      <c r="AH15" s="63">
        <f t="shared" si="29"/>
        <v>-51.21</v>
      </c>
      <c r="AI15" s="38">
        <f t="shared" si="29"/>
        <v>-51.21</v>
      </c>
      <c r="AJ15" s="39">
        <f t="shared" si="29"/>
        <v>-51.21</v>
      </c>
      <c r="AK15" s="69"/>
      <c r="AL15" s="188"/>
      <c r="AM15" s="38"/>
      <c r="AN15" s="38"/>
      <c r="AO15" s="38"/>
      <c r="AP15" s="38"/>
      <c r="AQ15" s="38"/>
      <c r="AR15" s="38"/>
      <c r="AS15" s="39"/>
      <c r="AT15" s="36"/>
      <c r="AU15" s="327"/>
      <c r="AV15" s="328"/>
      <c r="AW15" s="328"/>
      <c r="AX15" s="328"/>
      <c r="AY15" s="328"/>
      <c r="AZ15" s="328"/>
      <c r="BA15" s="328"/>
      <c r="BB15" s="329"/>
      <c r="BC15" s="36"/>
      <c r="BD15" s="327"/>
      <c r="BE15" s="328"/>
      <c r="BF15" s="328"/>
      <c r="BG15" s="328"/>
      <c r="BH15" s="328"/>
      <c r="BI15" s="328"/>
      <c r="BJ15" s="328"/>
      <c r="BK15" s="329"/>
    </row>
    <row r="16" spans="1:63">
      <c r="A16" s="36" t="s">
        <v>114</v>
      </c>
      <c r="B16" s="44">
        <f>'환기량 산정'!$C1491</f>
        <v>0.6</v>
      </c>
      <c r="C16" s="38">
        <f>'환기량 산정'!$C1491</f>
        <v>0.6</v>
      </c>
      <c r="D16" s="38">
        <f>'환기량 산정'!$C1491</f>
        <v>0.6</v>
      </c>
      <c r="E16" s="38">
        <f>'환기량 산정'!$C1491</f>
        <v>0.6</v>
      </c>
      <c r="F16" s="38">
        <f>'환기량 산정'!$C1491</f>
        <v>0.6</v>
      </c>
      <c r="G16" s="38">
        <f>'환기량 산정'!$C1491</f>
        <v>0.6</v>
      </c>
      <c r="H16" s="63">
        <f>'환기량 산정'!$C1491</f>
        <v>0.6</v>
      </c>
      <c r="I16" s="39">
        <f>'환기량 산정'!$C1491</f>
        <v>0.6</v>
      </c>
      <c r="J16" s="36" t="s">
        <v>114</v>
      </c>
      <c r="K16" s="62">
        <f>'환기량 산정'!$C1491</f>
        <v>0.6</v>
      </c>
      <c r="L16" s="38">
        <f>'환기량 산정'!$C1491</f>
        <v>0.6</v>
      </c>
      <c r="M16" s="38">
        <f>'환기량 산정'!$C1491</f>
        <v>0.6</v>
      </c>
      <c r="N16" s="38">
        <f>'환기량 산정'!$C1491</f>
        <v>0.6</v>
      </c>
      <c r="O16" s="38">
        <f>'환기량 산정'!$C1491</f>
        <v>0.6</v>
      </c>
      <c r="P16" s="38">
        <f>'환기량 산정'!$C1491</f>
        <v>0.6</v>
      </c>
      <c r="Q16" s="38">
        <f>'환기량 산정'!$C1491</f>
        <v>0.6</v>
      </c>
      <c r="R16" s="39">
        <f>'환기량 산정'!$C1491</f>
        <v>0.6</v>
      </c>
      <c r="S16" s="36" t="s">
        <v>114</v>
      </c>
      <c r="T16" s="44">
        <f>'환기량 산정'!$C1491</f>
        <v>0.6</v>
      </c>
      <c r="U16" s="38">
        <f>'환기량 산정'!$C1491</f>
        <v>0.6</v>
      </c>
      <c r="V16" s="38">
        <f>'환기량 산정'!$C1491</f>
        <v>0.6</v>
      </c>
      <c r="W16" s="38">
        <f>'환기량 산정'!$C1491</f>
        <v>0.6</v>
      </c>
      <c r="X16" s="38">
        <f>'환기량 산정'!$C1491</f>
        <v>0.6</v>
      </c>
      <c r="Y16" s="38">
        <f>'환기량 산정'!$C1491</f>
        <v>0.6</v>
      </c>
      <c r="Z16" s="38">
        <f>'환기량 산정'!$C1491</f>
        <v>0.6</v>
      </c>
      <c r="AA16" s="39">
        <f>'환기량 산정'!$C1491</f>
        <v>0.6</v>
      </c>
      <c r="AB16" s="36" t="s">
        <v>157</v>
      </c>
      <c r="AC16" s="183">
        <f>AC11+AC12-AC15</f>
        <v>83.564300000000003</v>
      </c>
      <c r="AD16" s="45">
        <f t="shared" ref="AD16:AJ16" si="30">AD11+AD12-AD15</f>
        <v>83.564300000000003</v>
      </c>
      <c r="AE16" s="45">
        <f t="shared" si="30"/>
        <v>83.564300000000003</v>
      </c>
      <c r="AF16" s="45">
        <f t="shared" si="30"/>
        <v>83.564300000000003</v>
      </c>
      <c r="AG16" s="45">
        <f t="shared" si="30"/>
        <v>83.564300000000003</v>
      </c>
      <c r="AH16" s="138">
        <f t="shared" si="30"/>
        <v>83.564300000000003</v>
      </c>
      <c r="AI16" s="45">
        <f t="shared" si="30"/>
        <v>83.564300000000003</v>
      </c>
      <c r="AJ16" s="46">
        <f t="shared" si="30"/>
        <v>83.564300000000003</v>
      </c>
      <c r="AK16" s="69" t="s">
        <v>250</v>
      </c>
      <c r="AL16" s="44">
        <f t="shared" ref="AL16:AS16" si="31">ROUND(B14/2*B21*2*B20/B12*B29,4)</f>
        <v>0.48380000000000001</v>
      </c>
      <c r="AM16" s="38">
        <f t="shared" si="31"/>
        <v>0.48380000000000001</v>
      </c>
      <c r="AN16" s="38">
        <f t="shared" si="31"/>
        <v>0.48380000000000001</v>
      </c>
      <c r="AO16" s="38">
        <f t="shared" si="31"/>
        <v>0.48380000000000001</v>
      </c>
      <c r="AP16" s="38">
        <f t="shared" si="31"/>
        <v>0.48380000000000001</v>
      </c>
      <c r="AQ16" s="38">
        <f t="shared" si="31"/>
        <v>0.48380000000000001</v>
      </c>
      <c r="AR16" s="38">
        <f t="shared" si="31"/>
        <v>0.48380000000000001</v>
      </c>
      <c r="AS16" s="39">
        <f t="shared" si="31"/>
        <v>0.48380000000000001</v>
      </c>
      <c r="AT16" s="36" t="s">
        <v>114</v>
      </c>
      <c r="AU16" s="327">
        <f>'환기량 산정'!$C1491</f>
        <v>0.6</v>
      </c>
      <c r="AV16" s="328">
        <f>'환기량 산정'!$C1491</f>
        <v>0.6</v>
      </c>
      <c r="AW16" s="328">
        <f>'환기량 산정'!$C1491</f>
        <v>0.6</v>
      </c>
      <c r="AX16" s="328">
        <f>'환기량 산정'!$C1491</f>
        <v>0.6</v>
      </c>
      <c r="AY16" s="328">
        <f>'환기량 산정'!$C1491</f>
        <v>0.6</v>
      </c>
      <c r="AZ16" s="328">
        <f>'환기량 산정'!$C1491</f>
        <v>0.6</v>
      </c>
      <c r="BA16" s="328">
        <f>'환기량 산정'!$C1491</f>
        <v>0.6</v>
      </c>
      <c r="BB16" s="329">
        <f>'환기량 산정'!$C1491</f>
        <v>0.6</v>
      </c>
      <c r="BC16" s="36" t="s">
        <v>114</v>
      </c>
      <c r="BD16" s="327">
        <f>'환기량 산정'!$C1491</f>
        <v>0.6</v>
      </c>
      <c r="BE16" s="328">
        <f>'환기량 산정'!$C1491</f>
        <v>0.6</v>
      </c>
      <c r="BF16" s="328">
        <f>'환기량 산정'!$C1491</f>
        <v>0.6</v>
      </c>
      <c r="BG16" s="328">
        <f>'환기량 산정'!$C1491</f>
        <v>0.6</v>
      </c>
      <c r="BH16" s="328">
        <f>'환기량 산정'!$C1491</f>
        <v>0.6</v>
      </c>
      <c r="BI16" s="328">
        <f>'환기량 산정'!$C1491</f>
        <v>0.6</v>
      </c>
      <c r="BJ16" s="328">
        <f>'환기량 산정'!$C1491</f>
        <v>0.6</v>
      </c>
      <c r="BK16" s="329">
        <f>'환기량 산정'!$C1491</f>
        <v>0.6</v>
      </c>
    </row>
    <row r="17" spans="1:63" ht="15.75">
      <c r="A17" s="36" t="s">
        <v>115</v>
      </c>
      <c r="B17" s="44">
        <f>'환기량 산정'!$C1492</f>
        <v>2.5000000000000001E-2</v>
      </c>
      <c r="C17" s="38">
        <f>'환기량 산정'!$C1492</f>
        <v>2.5000000000000001E-2</v>
      </c>
      <c r="D17" s="38">
        <f>'환기량 산정'!$C1492</f>
        <v>2.5000000000000001E-2</v>
      </c>
      <c r="E17" s="38">
        <f>'환기량 산정'!$C1492</f>
        <v>2.5000000000000001E-2</v>
      </c>
      <c r="F17" s="38">
        <f>'환기량 산정'!$C1492</f>
        <v>2.5000000000000001E-2</v>
      </c>
      <c r="G17" s="38">
        <f>'환기량 산정'!$C1492</f>
        <v>2.5000000000000001E-2</v>
      </c>
      <c r="H17" s="63">
        <f>'환기량 산정'!$C1492</f>
        <v>2.5000000000000001E-2</v>
      </c>
      <c r="I17" s="39">
        <f>'환기량 산정'!$C1492</f>
        <v>2.5000000000000001E-2</v>
      </c>
      <c r="J17" s="36" t="s">
        <v>115</v>
      </c>
      <c r="K17" s="62">
        <f>'환기량 산정'!$C1492</f>
        <v>2.5000000000000001E-2</v>
      </c>
      <c r="L17" s="38">
        <f>'환기량 산정'!$C1492</f>
        <v>2.5000000000000001E-2</v>
      </c>
      <c r="M17" s="38">
        <f>'환기량 산정'!$C1492</f>
        <v>2.5000000000000001E-2</v>
      </c>
      <c r="N17" s="38">
        <f>'환기량 산정'!$C1492</f>
        <v>2.5000000000000001E-2</v>
      </c>
      <c r="O17" s="38">
        <f>'환기량 산정'!$C1492</f>
        <v>2.5000000000000001E-2</v>
      </c>
      <c r="P17" s="38">
        <f>'환기량 산정'!$C1492</f>
        <v>2.5000000000000001E-2</v>
      </c>
      <c r="Q17" s="38">
        <f>'환기량 산정'!$C1492</f>
        <v>2.5000000000000001E-2</v>
      </c>
      <c r="R17" s="39">
        <f>'환기량 산정'!$C1492</f>
        <v>2.5000000000000001E-2</v>
      </c>
      <c r="S17" s="36" t="s">
        <v>115</v>
      </c>
      <c r="T17" s="44">
        <f>'환기량 산정'!$C1492</f>
        <v>2.5000000000000001E-2</v>
      </c>
      <c r="U17" s="38">
        <f>'환기량 산정'!$C1492</f>
        <v>2.5000000000000001E-2</v>
      </c>
      <c r="V17" s="38">
        <f>'환기량 산정'!$C1492</f>
        <v>2.5000000000000001E-2</v>
      </c>
      <c r="W17" s="38">
        <f>'환기량 산정'!$C1492</f>
        <v>2.5000000000000001E-2</v>
      </c>
      <c r="X17" s="38">
        <f>'환기량 산정'!$C1492</f>
        <v>2.5000000000000001E-2</v>
      </c>
      <c r="Y17" s="38">
        <f>'환기량 산정'!$C1492</f>
        <v>2.5000000000000001E-2</v>
      </c>
      <c r="Z17" s="38">
        <f>'환기량 산정'!$C1492</f>
        <v>2.5000000000000001E-2</v>
      </c>
      <c r="AA17" s="39">
        <f>'환기량 산정'!$C1492</f>
        <v>2.5000000000000001E-2</v>
      </c>
      <c r="AB17" s="36" t="s">
        <v>342</v>
      </c>
      <c r="AC17" s="44">
        <f t="shared" ref="AC17" si="32">ROUND(B23*B14*B21^2*B20/B12*(1-AC7/B21)*B29,4)</f>
        <v>13.291399999999999</v>
      </c>
      <c r="AD17" s="38">
        <f t="shared" ref="AD17:AJ17" si="33">ROUND($B$23*C14*C21^2*C20/C12*(1-AD7/C21)*C29,4)</f>
        <v>13.291399999999999</v>
      </c>
      <c r="AE17" s="38">
        <f t="shared" si="33"/>
        <v>13.291399999999999</v>
      </c>
      <c r="AF17" s="38">
        <f t="shared" si="33"/>
        <v>13.291399999999999</v>
      </c>
      <c r="AG17" s="38">
        <f t="shared" si="33"/>
        <v>13.291399999999999</v>
      </c>
      <c r="AH17" s="38">
        <f t="shared" si="33"/>
        <v>13.291399999999999</v>
      </c>
      <c r="AI17" s="38">
        <f t="shared" si="33"/>
        <v>13.291399999999999</v>
      </c>
      <c r="AJ17" s="38">
        <f t="shared" si="33"/>
        <v>13.291399999999999</v>
      </c>
      <c r="AK17" s="165" t="s">
        <v>152</v>
      </c>
      <c r="AL17" s="170">
        <f>IF(AL18&gt;0,ROUND((-AL20+SQRT(AL20^2-4*AL19*AL21))/(2*AL19),4))</f>
        <v>2.7526999999999999</v>
      </c>
      <c r="AM17" s="171">
        <f t="shared" ref="AM17:AS17" si="34">IF(AM18&gt;0,ROUND((-AM20+SQRT(AM20^2-4*AM19*AM21))/(2*AM19),4))</f>
        <v>2.4403000000000001</v>
      </c>
      <c r="AN17" s="171">
        <f t="shared" si="34"/>
        <v>2.4990000000000001</v>
      </c>
      <c r="AO17" s="171">
        <f t="shared" si="34"/>
        <v>2.6089000000000002</v>
      </c>
      <c r="AP17" s="171">
        <f t="shared" si="34"/>
        <v>3.2665999999999999</v>
      </c>
      <c r="AQ17" s="171">
        <f t="shared" si="34"/>
        <v>3.7706</v>
      </c>
      <c r="AR17" s="171">
        <f t="shared" si="34"/>
        <v>4.2939999999999996</v>
      </c>
      <c r="AS17" s="172">
        <f t="shared" si="34"/>
        <v>4.7906000000000004</v>
      </c>
      <c r="AT17" s="36" t="s">
        <v>115</v>
      </c>
      <c r="AU17" s="327">
        <f>'환기량 산정'!$C1492</f>
        <v>2.5000000000000001E-2</v>
      </c>
      <c r="AV17" s="328">
        <f>'환기량 산정'!$C1492</f>
        <v>2.5000000000000001E-2</v>
      </c>
      <c r="AW17" s="328">
        <f>'환기량 산정'!$C1492</f>
        <v>2.5000000000000001E-2</v>
      </c>
      <c r="AX17" s="328">
        <f>'환기량 산정'!$C1492</f>
        <v>2.5000000000000001E-2</v>
      </c>
      <c r="AY17" s="328">
        <f>'환기량 산정'!$C1492</f>
        <v>2.5000000000000001E-2</v>
      </c>
      <c r="AZ17" s="328">
        <f>'환기량 산정'!$C1492</f>
        <v>2.5000000000000001E-2</v>
      </c>
      <c r="BA17" s="328">
        <f>'환기량 산정'!$C1492</f>
        <v>2.5000000000000001E-2</v>
      </c>
      <c r="BB17" s="329">
        <f>'환기량 산정'!$C1492</f>
        <v>2.5000000000000001E-2</v>
      </c>
      <c r="BC17" s="36" t="s">
        <v>115</v>
      </c>
      <c r="BD17" s="327">
        <f>'환기량 산정'!$C1492</f>
        <v>2.5000000000000001E-2</v>
      </c>
      <c r="BE17" s="328">
        <f>'환기량 산정'!$C1492</f>
        <v>2.5000000000000001E-2</v>
      </c>
      <c r="BF17" s="328">
        <f>'환기량 산정'!$C1492</f>
        <v>2.5000000000000001E-2</v>
      </c>
      <c r="BG17" s="328">
        <f>'환기량 산정'!$C1492</f>
        <v>2.5000000000000001E-2</v>
      </c>
      <c r="BH17" s="328">
        <f>'환기량 산정'!$C1492</f>
        <v>2.5000000000000001E-2</v>
      </c>
      <c r="BI17" s="328">
        <f>'환기량 산정'!$C1492</f>
        <v>2.5000000000000001E-2</v>
      </c>
      <c r="BJ17" s="328">
        <f>'환기량 산정'!$C1492</f>
        <v>2.5000000000000001E-2</v>
      </c>
      <c r="BK17" s="329">
        <f>'환기량 산정'!$C1492</f>
        <v>2.5000000000000001E-2</v>
      </c>
    </row>
    <row r="18" spans="1:63" ht="15.75">
      <c r="A18" s="36" t="s">
        <v>91</v>
      </c>
      <c r="B18" s="44">
        <f>'환기량 산정'!$C1489</f>
        <v>7.8945309999999997</v>
      </c>
      <c r="C18" s="38">
        <f>'환기량 산정'!$C1489</f>
        <v>7.8945309999999997</v>
      </c>
      <c r="D18" s="38">
        <f>'환기량 산정'!$C1489</f>
        <v>7.8945309999999997</v>
      </c>
      <c r="E18" s="38">
        <f>'환기량 산정'!$C1489</f>
        <v>7.8945309999999997</v>
      </c>
      <c r="F18" s="38">
        <f>'환기량 산정'!$C1489</f>
        <v>7.8945309999999997</v>
      </c>
      <c r="G18" s="38">
        <f>'환기량 산정'!$C1489</f>
        <v>7.8945309999999997</v>
      </c>
      <c r="H18" s="63">
        <f>'환기량 산정'!$C1489</f>
        <v>7.8945309999999997</v>
      </c>
      <c r="I18" s="39">
        <f>'환기량 산정'!$C1489</f>
        <v>7.8945309999999997</v>
      </c>
      <c r="J18" s="36" t="s">
        <v>91</v>
      </c>
      <c r="K18" s="62">
        <f>'환기량 산정'!$C1489</f>
        <v>7.8945309999999997</v>
      </c>
      <c r="L18" s="38">
        <f>'환기량 산정'!$C1489</f>
        <v>7.8945309999999997</v>
      </c>
      <c r="M18" s="38">
        <f>'환기량 산정'!$C1489</f>
        <v>7.8945309999999997</v>
      </c>
      <c r="N18" s="38">
        <f>'환기량 산정'!$C1489</f>
        <v>7.8945309999999997</v>
      </c>
      <c r="O18" s="38">
        <f>'환기량 산정'!$C1489</f>
        <v>7.8945309999999997</v>
      </c>
      <c r="P18" s="38">
        <f>'환기량 산정'!$C1489</f>
        <v>7.8945309999999997</v>
      </c>
      <c r="Q18" s="38">
        <f>'환기량 산정'!$C1489</f>
        <v>7.8945309999999997</v>
      </c>
      <c r="R18" s="39">
        <f>'환기량 산정'!$C1489</f>
        <v>7.8945309999999997</v>
      </c>
      <c r="S18" s="36" t="s">
        <v>91</v>
      </c>
      <c r="T18" s="44">
        <f>'환기량 산정'!$C1489</f>
        <v>7.8945309999999997</v>
      </c>
      <c r="U18" s="38">
        <f>'환기량 산정'!$C1489</f>
        <v>7.8945309999999997</v>
      </c>
      <c r="V18" s="38">
        <f>'환기량 산정'!$C1489</f>
        <v>7.8945309999999997</v>
      </c>
      <c r="W18" s="38">
        <f>'환기량 산정'!$C1489</f>
        <v>7.8945309999999997</v>
      </c>
      <c r="X18" s="38">
        <f>'환기량 산정'!$C1489</f>
        <v>7.8945309999999997</v>
      </c>
      <c r="Y18" s="38">
        <f>'환기량 산정'!$C1489</f>
        <v>7.8945309999999997</v>
      </c>
      <c r="Z18" s="38">
        <f>'환기량 산정'!$C1489</f>
        <v>7.8945309999999997</v>
      </c>
      <c r="AA18" s="39">
        <f>'환기량 산정'!$C1489</f>
        <v>7.8945309999999997</v>
      </c>
      <c r="AB18" s="36" t="s">
        <v>172</v>
      </c>
      <c r="AC18" s="44">
        <f t="shared" ref="AC18:AJ18" si="35">ROUND(AC16/AC17,2)</f>
        <v>6.29</v>
      </c>
      <c r="AD18" s="38">
        <f t="shared" si="35"/>
        <v>6.29</v>
      </c>
      <c r="AE18" s="38">
        <f t="shared" si="35"/>
        <v>6.29</v>
      </c>
      <c r="AF18" s="38">
        <f t="shared" si="35"/>
        <v>6.29</v>
      </c>
      <c r="AG18" s="38">
        <f t="shared" si="35"/>
        <v>6.29</v>
      </c>
      <c r="AH18" s="63">
        <f t="shared" si="35"/>
        <v>6.29</v>
      </c>
      <c r="AI18" s="38">
        <f t="shared" si="35"/>
        <v>6.29</v>
      </c>
      <c r="AJ18" s="39">
        <f t="shared" si="35"/>
        <v>6.29</v>
      </c>
      <c r="AK18" s="166" t="s">
        <v>153</v>
      </c>
      <c r="AL18" s="44">
        <f>ROUND(AL20^2-4*AL19*AL21,4)</f>
        <v>293.5403</v>
      </c>
      <c r="AM18" s="38">
        <f t="shared" ref="AM18:AS18" si="36">ROUND(AM20^2-4*AM19*AM21,4)</f>
        <v>408.3784</v>
      </c>
      <c r="AN18" s="38">
        <f t="shared" si="36"/>
        <v>504.96390000000002</v>
      </c>
      <c r="AO18" s="38">
        <f t="shared" si="36"/>
        <v>562.06799999999998</v>
      </c>
      <c r="AP18" s="38">
        <f t="shared" si="36"/>
        <v>772.59320000000002</v>
      </c>
      <c r="AQ18" s="38">
        <f t="shared" si="36"/>
        <v>939.05269999999996</v>
      </c>
      <c r="AR18" s="38">
        <f t="shared" si="36"/>
        <v>1148.24</v>
      </c>
      <c r="AS18" s="39">
        <f t="shared" si="36"/>
        <v>1367.8707999999999</v>
      </c>
      <c r="AT18" s="36" t="s">
        <v>91</v>
      </c>
      <c r="AU18" s="327">
        <f>'환기량 산정'!$C1489</f>
        <v>7.8945309999999997</v>
      </c>
      <c r="AV18" s="328">
        <f>'환기량 산정'!$C1489</f>
        <v>7.8945309999999997</v>
      </c>
      <c r="AW18" s="328">
        <f>'환기량 산정'!$C1489</f>
        <v>7.8945309999999997</v>
      </c>
      <c r="AX18" s="328">
        <f>'환기량 산정'!$C1489</f>
        <v>7.8945309999999997</v>
      </c>
      <c r="AY18" s="328">
        <f>'환기량 산정'!$C1489</f>
        <v>7.8945309999999997</v>
      </c>
      <c r="AZ18" s="328">
        <f>'환기량 산정'!$C1489</f>
        <v>7.8945309999999997</v>
      </c>
      <c r="BA18" s="328">
        <f>'환기량 산정'!$C1489</f>
        <v>7.8945309999999997</v>
      </c>
      <c r="BB18" s="329">
        <f>'환기량 산정'!$C1489</f>
        <v>7.8945309999999997</v>
      </c>
      <c r="BC18" s="36" t="s">
        <v>91</v>
      </c>
      <c r="BD18" s="327">
        <f>'환기량 산정'!$C1489</f>
        <v>7.8945309999999997</v>
      </c>
      <c r="BE18" s="328">
        <f>'환기량 산정'!$C1489</f>
        <v>7.8945309999999997</v>
      </c>
      <c r="BF18" s="328">
        <f>'환기량 산정'!$C1489</f>
        <v>7.8945309999999997</v>
      </c>
      <c r="BG18" s="328">
        <f>'환기량 산정'!$C1489</f>
        <v>7.8945309999999997</v>
      </c>
      <c r="BH18" s="328">
        <f>'환기량 산정'!$C1489</f>
        <v>7.8945309999999997</v>
      </c>
      <c r="BI18" s="328">
        <f>'환기량 산정'!$C1489</f>
        <v>7.8945309999999997</v>
      </c>
      <c r="BJ18" s="328">
        <f>'환기량 산정'!$C1489</f>
        <v>7.8945309999999997</v>
      </c>
      <c r="BK18" s="329">
        <f>'환기량 산정'!$C1489</f>
        <v>7.8945309999999997</v>
      </c>
    </row>
    <row r="19" spans="1:63" ht="14.25" thickBot="1">
      <c r="A19" s="36" t="s">
        <v>116</v>
      </c>
      <c r="B19" s="44">
        <f>'환기량 산정'!$C$1486</f>
        <v>1.0750999999999999</v>
      </c>
      <c r="C19" s="38">
        <f>'환기량 산정'!$C$1486</f>
        <v>1.0750999999999999</v>
      </c>
      <c r="D19" s="38">
        <f>'환기량 산정'!$C$1486</f>
        <v>1.0750999999999999</v>
      </c>
      <c r="E19" s="38">
        <f>'환기량 산정'!$C$1486</f>
        <v>1.0750999999999999</v>
      </c>
      <c r="F19" s="38">
        <f>'환기량 산정'!$C$1486</f>
        <v>1.0750999999999999</v>
      </c>
      <c r="G19" s="38">
        <f>'환기량 산정'!$C$1486</f>
        <v>1.0750999999999999</v>
      </c>
      <c r="H19" s="63">
        <f>'환기량 산정'!$C$1486</f>
        <v>1.0750999999999999</v>
      </c>
      <c r="I19" s="39">
        <f>'환기량 산정'!$C$1486</f>
        <v>1.0750999999999999</v>
      </c>
      <c r="J19" s="36" t="s">
        <v>116</v>
      </c>
      <c r="K19" s="62">
        <f>'환기량 산정'!$C$1486</f>
        <v>1.0750999999999999</v>
      </c>
      <c r="L19" s="38">
        <f>'환기량 산정'!$C$1486</f>
        <v>1.0750999999999999</v>
      </c>
      <c r="M19" s="38">
        <f>'환기량 산정'!$C$1486</f>
        <v>1.0750999999999999</v>
      </c>
      <c r="N19" s="38">
        <f>'환기량 산정'!$C$1486</f>
        <v>1.0750999999999999</v>
      </c>
      <c r="O19" s="38">
        <f>'환기량 산정'!$C$1486</f>
        <v>1.0750999999999999</v>
      </c>
      <c r="P19" s="38">
        <f>'환기량 산정'!$C$1486</f>
        <v>1.0750999999999999</v>
      </c>
      <c r="Q19" s="38">
        <f>'환기량 산정'!$C$1486</f>
        <v>1.0750999999999999</v>
      </c>
      <c r="R19" s="39">
        <f>'환기량 산정'!$C$1486</f>
        <v>1.0750999999999999</v>
      </c>
      <c r="S19" s="36" t="s">
        <v>116</v>
      </c>
      <c r="T19" s="44">
        <f>'환기량 산정'!$C$1486</f>
        <v>1.0750999999999999</v>
      </c>
      <c r="U19" s="38">
        <f>'환기량 산정'!$C$1486</f>
        <v>1.0750999999999999</v>
      </c>
      <c r="V19" s="38">
        <f>'환기량 산정'!$C$1486</f>
        <v>1.0750999999999999</v>
      </c>
      <c r="W19" s="38">
        <f>'환기량 산정'!$C$1486</f>
        <v>1.0750999999999999</v>
      </c>
      <c r="X19" s="38">
        <f>'환기량 산정'!$C$1486</f>
        <v>1.0750999999999999</v>
      </c>
      <c r="Y19" s="38">
        <f>'환기량 산정'!$C$1486</f>
        <v>1.0750999999999999</v>
      </c>
      <c r="Z19" s="38">
        <f>'환기량 산정'!$C$1486</f>
        <v>1.0750999999999999</v>
      </c>
      <c r="AA19" s="39">
        <f>'환기량 산정'!$C$1486</f>
        <v>1.0750999999999999</v>
      </c>
      <c r="AB19" s="49" t="s">
        <v>173</v>
      </c>
      <c r="AC19" s="50">
        <f t="shared" ref="AC19:AJ19" si="37">IF(AC18&lt;0,0,IF(AC18&gt;0,ROUNDUP(AC18,0)))</f>
        <v>7</v>
      </c>
      <c r="AD19" s="51">
        <f t="shared" si="37"/>
        <v>7</v>
      </c>
      <c r="AE19" s="51">
        <f t="shared" si="37"/>
        <v>7</v>
      </c>
      <c r="AF19" s="51">
        <f t="shared" si="37"/>
        <v>7</v>
      </c>
      <c r="AG19" s="51">
        <f t="shared" si="37"/>
        <v>7</v>
      </c>
      <c r="AH19" s="51">
        <f t="shared" si="37"/>
        <v>7</v>
      </c>
      <c r="AI19" s="51">
        <f t="shared" si="37"/>
        <v>7</v>
      </c>
      <c r="AJ19" s="52">
        <f t="shared" si="37"/>
        <v>7</v>
      </c>
      <c r="AK19" s="166" t="s">
        <v>125</v>
      </c>
      <c r="AL19" s="44">
        <f>ROUND(AL13-AL14,4)</f>
        <v>4.0254000000000003</v>
      </c>
      <c r="AM19" s="38">
        <f t="shared" ref="AM19:AS19" si="38">ROUND(AM13-AM14,4)</f>
        <v>2.0133999999999999</v>
      </c>
      <c r="AN19" s="38">
        <f t="shared" si="38"/>
        <v>2.2002999999999999</v>
      </c>
      <c r="AO19" s="38">
        <f t="shared" si="38"/>
        <v>2.3433000000000002</v>
      </c>
      <c r="AP19" s="38">
        <f t="shared" si="38"/>
        <v>2.4312</v>
      </c>
      <c r="AQ19" s="38">
        <f t="shared" si="38"/>
        <v>2.5082</v>
      </c>
      <c r="AR19" s="38">
        <f t="shared" si="38"/>
        <v>2.5522</v>
      </c>
      <c r="AS19" s="39">
        <f t="shared" si="38"/>
        <v>2.5851000000000002</v>
      </c>
      <c r="AT19" s="36" t="s">
        <v>116</v>
      </c>
      <c r="AU19" s="327">
        <f>'환기량 산정'!$C$1486</f>
        <v>1.0750999999999999</v>
      </c>
      <c r="AV19" s="328">
        <f>'환기량 산정'!$C$1486</f>
        <v>1.0750999999999999</v>
      </c>
      <c r="AW19" s="328">
        <f>'환기량 산정'!$C$1486</f>
        <v>1.0750999999999999</v>
      </c>
      <c r="AX19" s="328">
        <f>'환기량 산정'!$C$1486</f>
        <v>1.0750999999999999</v>
      </c>
      <c r="AY19" s="328">
        <f>'환기량 산정'!$C$1486</f>
        <v>1.0750999999999999</v>
      </c>
      <c r="AZ19" s="328">
        <f>'환기량 산정'!$C$1486</f>
        <v>1.0750999999999999</v>
      </c>
      <c r="BA19" s="328">
        <f>'환기량 산정'!$C$1486</f>
        <v>1.0750999999999999</v>
      </c>
      <c r="BB19" s="329">
        <f>'환기량 산정'!$C$1486</f>
        <v>1.0750999999999999</v>
      </c>
      <c r="BC19" s="36" t="s">
        <v>116</v>
      </c>
      <c r="BD19" s="327">
        <f>'환기량 산정'!$C$1486</f>
        <v>1.0750999999999999</v>
      </c>
      <c r="BE19" s="328">
        <f>'환기량 산정'!$C$1486</f>
        <v>1.0750999999999999</v>
      </c>
      <c r="BF19" s="328">
        <f>'환기량 산정'!$C$1486</f>
        <v>1.0750999999999999</v>
      </c>
      <c r="BG19" s="328">
        <f>'환기량 산정'!$C$1486</f>
        <v>1.0750999999999999</v>
      </c>
      <c r="BH19" s="328">
        <f>'환기량 산정'!$C$1486</f>
        <v>1.0750999999999999</v>
      </c>
      <c r="BI19" s="328">
        <f>'환기량 산정'!$C$1486</f>
        <v>1.0750999999999999</v>
      </c>
      <c r="BJ19" s="328">
        <f>'환기량 산정'!$C$1486</f>
        <v>1.0750999999999999</v>
      </c>
      <c r="BK19" s="329">
        <f>'환기량 산정'!$C$1486</f>
        <v>1.0750999999999999</v>
      </c>
    </row>
    <row r="20" spans="1:63" ht="14.25" thickBot="1">
      <c r="A20" s="36" t="s">
        <v>117</v>
      </c>
      <c r="B20" s="44">
        <f t="shared" ref="B20:I20" si="39">IF($C$3=630,0.27,IF($C$3=710,0.396,IF($C$3=1030,0.83,IF($C$3=1250,1.227,IF($C$3=1530,1.83)))))</f>
        <v>0.83</v>
      </c>
      <c r="C20" s="38">
        <f t="shared" si="39"/>
        <v>0.83</v>
      </c>
      <c r="D20" s="38">
        <f t="shared" si="39"/>
        <v>0.83</v>
      </c>
      <c r="E20" s="38">
        <f t="shared" si="39"/>
        <v>0.83</v>
      </c>
      <c r="F20" s="38">
        <f t="shared" si="39"/>
        <v>0.83</v>
      </c>
      <c r="G20" s="38">
        <f t="shared" si="39"/>
        <v>0.83</v>
      </c>
      <c r="H20" s="63">
        <f t="shared" si="39"/>
        <v>0.83</v>
      </c>
      <c r="I20" s="39">
        <f t="shared" si="39"/>
        <v>0.83</v>
      </c>
      <c r="J20" s="36" t="s">
        <v>117</v>
      </c>
      <c r="K20" s="62">
        <f t="shared" ref="K20:R20" si="40">IF($C$3=630,0.27,IF($C$3=710,0.396,IF($C$3=1030,0.83,IF($C$3=1250,1.227,IF($C$3=1530,1.83)))))</f>
        <v>0.83</v>
      </c>
      <c r="L20" s="38">
        <f t="shared" si="40"/>
        <v>0.83</v>
      </c>
      <c r="M20" s="38">
        <f t="shared" si="40"/>
        <v>0.83</v>
      </c>
      <c r="N20" s="38">
        <f t="shared" si="40"/>
        <v>0.83</v>
      </c>
      <c r="O20" s="38">
        <f t="shared" si="40"/>
        <v>0.83</v>
      </c>
      <c r="P20" s="38">
        <f t="shared" si="40"/>
        <v>0.83</v>
      </c>
      <c r="Q20" s="38">
        <f t="shared" si="40"/>
        <v>0.83</v>
      </c>
      <c r="R20" s="39">
        <f t="shared" si="40"/>
        <v>0.83</v>
      </c>
      <c r="S20" s="36" t="s">
        <v>117</v>
      </c>
      <c r="T20" s="44">
        <f t="shared" ref="T20:AA20" si="41">IF($C$3=630,0.27,IF($C$3=710,0.396,IF($C$3=1030,0.83,IF($C$3=1250,1.227,IF($C$3=1530,1.83)))))</f>
        <v>0.83</v>
      </c>
      <c r="U20" s="38">
        <f t="shared" si="41"/>
        <v>0.83</v>
      </c>
      <c r="V20" s="38">
        <f t="shared" si="41"/>
        <v>0.83</v>
      </c>
      <c r="W20" s="38">
        <f t="shared" si="41"/>
        <v>0.83</v>
      </c>
      <c r="X20" s="38">
        <f t="shared" si="41"/>
        <v>0.83</v>
      </c>
      <c r="Y20" s="38">
        <f t="shared" si="41"/>
        <v>0.83</v>
      </c>
      <c r="Z20" s="38">
        <f t="shared" si="41"/>
        <v>0.83</v>
      </c>
      <c r="AA20" s="39">
        <f t="shared" si="41"/>
        <v>0.83</v>
      </c>
      <c r="AB20" s="143" t="str">
        <f>CONCATENATE("예비용 ",AC22," 포함")</f>
        <v>예비용 2 포함</v>
      </c>
      <c r="AC20" s="132">
        <f t="shared" ref="AC20:AJ20" si="42">AC19+$AC$22</f>
        <v>9</v>
      </c>
      <c r="AD20" s="133">
        <f t="shared" si="42"/>
        <v>9</v>
      </c>
      <c r="AE20" s="133">
        <f t="shared" si="42"/>
        <v>9</v>
      </c>
      <c r="AF20" s="133">
        <f t="shared" si="42"/>
        <v>9</v>
      </c>
      <c r="AG20" s="133">
        <f t="shared" si="42"/>
        <v>9</v>
      </c>
      <c r="AH20" s="133">
        <f t="shared" si="42"/>
        <v>9</v>
      </c>
      <c r="AI20" s="133">
        <f t="shared" si="42"/>
        <v>9</v>
      </c>
      <c r="AJ20" s="134">
        <f t="shared" si="42"/>
        <v>9</v>
      </c>
      <c r="AK20" s="166" t="s">
        <v>251</v>
      </c>
      <c r="AL20" s="44">
        <f t="shared" ref="AL20:AS20" si="43">ROUND(2*AL14*B7+AL16*AL12,4)</f>
        <v>-5.0282</v>
      </c>
      <c r="AM20" s="38">
        <f t="shared" si="43"/>
        <v>10.3818</v>
      </c>
      <c r="AN20" s="38">
        <f t="shared" si="43"/>
        <v>11.474399999999999</v>
      </c>
      <c r="AO20" s="38">
        <f t="shared" si="43"/>
        <v>11.4811</v>
      </c>
      <c r="AP20" s="38">
        <f t="shared" si="43"/>
        <v>11.912100000000001</v>
      </c>
      <c r="AQ20" s="38">
        <f t="shared" si="43"/>
        <v>11.728999999999999</v>
      </c>
      <c r="AR20" s="38">
        <f t="shared" si="43"/>
        <v>11.9673</v>
      </c>
      <c r="AS20" s="39">
        <f t="shared" si="43"/>
        <v>12.2166</v>
      </c>
      <c r="AT20" s="36" t="s">
        <v>117</v>
      </c>
      <c r="AU20" s="327">
        <f t="shared" ref="AU20:BK20" si="44">IF($C$3=630,0.27,IF($C$3=710,0.396,IF($C$3=1030,0.83,IF($C$3=1250,1.227,IF($C$3=1530,1.83)))))</f>
        <v>0.83</v>
      </c>
      <c r="AV20" s="328">
        <f t="shared" si="44"/>
        <v>0.83</v>
      </c>
      <c r="AW20" s="328">
        <f t="shared" si="44"/>
        <v>0.83</v>
      </c>
      <c r="AX20" s="328">
        <f t="shared" si="44"/>
        <v>0.83</v>
      </c>
      <c r="AY20" s="328">
        <f t="shared" si="44"/>
        <v>0.83</v>
      </c>
      <c r="AZ20" s="328">
        <f t="shared" si="44"/>
        <v>0.83</v>
      </c>
      <c r="BA20" s="328">
        <f t="shared" si="44"/>
        <v>0.83</v>
      </c>
      <c r="BB20" s="329">
        <f t="shared" si="44"/>
        <v>0.83</v>
      </c>
      <c r="BC20" s="36" t="s">
        <v>117</v>
      </c>
      <c r="BD20" s="327">
        <f t="shared" si="44"/>
        <v>0.83</v>
      </c>
      <c r="BE20" s="328">
        <f t="shared" si="44"/>
        <v>0.83</v>
      </c>
      <c r="BF20" s="328">
        <f t="shared" si="44"/>
        <v>0.83</v>
      </c>
      <c r="BG20" s="328">
        <f t="shared" si="44"/>
        <v>0.83</v>
      </c>
      <c r="BH20" s="328">
        <f t="shared" si="44"/>
        <v>0.83</v>
      </c>
      <c r="BI20" s="328">
        <f t="shared" si="44"/>
        <v>0.83</v>
      </c>
      <c r="BJ20" s="328">
        <f t="shared" si="44"/>
        <v>0.83</v>
      </c>
      <c r="BK20" s="329">
        <f t="shared" si="44"/>
        <v>0.83</v>
      </c>
    </row>
    <row r="21" spans="1:63" ht="15.75">
      <c r="A21" s="36" t="s">
        <v>118</v>
      </c>
      <c r="B21" s="62">
        <f>IF($I$3=1,30,34)</f>
        <v>30</v>
      </c>
      <c r="C21" s="38">
        <f t="shared" ref="C21:I21" si="45">B21</f>
        <v>30</v>
      </c>
      <c r="D21" s="38">
        <f t="shared" si="45"/>
        <v>30</v>
      </c>
      <c r="E21" s="38">
        <f t="shared" si="45"/>
        <v>30</v>
      </c>
      <c r="F21" s="38">
        <f t="shared" si="45"/>
        <v>30</v>
      </c>
      <c r="G21" s="38">
        <f t="shared" si="45"/>
        <v>30</v>
      </c>
      <c r="H21" s="63">
        <f t="shared" si="45"/>
        <v>30</v>
      </c>
      <c r="I21" s="39">
        <f t="shared" si="45"/>
        <v>30</v>
      </c>
      <c r="J21" s="36" t="s">
        <v>118</v>
      </c>
      <c r="K21" s="62">
        <f>B21</f>
        <v>30</v>
      </c>
      <c r="L21" s="38">
        <f t="shared" ref="L21:R21" si="46">K21</f>
        <v>30</v>
      </c>
      <c r="M21" s="38">
        <f t="shared" si="46"/>
        <v>30</v>
      </c>
      <c r="N21" s="38">
        <f t="shared" si="46"/>
        <v>30</v>
      </c>
      <c r="O21" s="38">
        <f t="shared" si="46"/>
        <v>30</v>
      </c>
      <c r="P21" s="38">
        <f t="shared" si="46"/>
        <v>30</v>
      </c>
      <c r="Q21" s="38">
        <f t="shared" si="46"/>
        <v>30</v>
      </c>
      <c r="R21" s="39">
        <f t="shared" si="46"/>
        <v>30</v>
      </c>
      <c r="S21" s="36" t="s">
        <v>118</v>
      </c>
      <c r="T21" s="62">
        <f>K21</f>
        <v>30</v>
      </c>
      <c r="U21" s="38">
        <f t="shared" ref="U21:AA21" si="47">T21</f>
        <v>30</v>
      </c>
      <c r="V21" s="38">
        <f t="shared" si="47"/>
        <v>30</v>
      </c>
      <c r="W21" s="38">
        <f t="shared" si="47"/>
        <v>30</v>
      </c>
      <c r="X21" s="38">
        <f t="shared" si="47"/>
        <v>30</v>
      </c>
      <c r="Y21" s="38">
        <f t="shared" si="47"/>
        <v>30</v>
      </c>
      <c r="Z21" s="38">
        <f t="shared" si="47"/>
        <v>30</v>
      </c>
      <c r="AA21" s="39">
        <f t="shared" si="47"/>
        <v>30</v>
      </c>
      <c r="AK21" s="166" t="s">
        <v>252</v>
      </c>
      <c r="AL21" s="44">
        <f t="shared" ref="AL21:AS21" si="48">ROUND(AL13*B10^2-AL14*B7^2-AL16*B21*AL12,4)</f>
        <v>-16.660299999999999</v>
      </c>
      <c r="AM21" s="38">
        <f t="shared" si="48"/>
        <v>-37.3245</v>
      </c>
      <c r="AN21" s="38">
        <f t="shared" si="48"/>
        <v>-42.414900000000003</v>
      </c>
      <c r="AO21" s="38">
        <f t="shared" si="48"/>
        <v>-45.9024</v>
      </c>
      <c r="AP21" s="38">
        <f t="shared" si="48"/>
        <v>-64.854299999999995</v>
      </c>
      <c r="AQ21" s="38">
        <f t="shared" si="48"/>
        <v>-79.886300000000006</v>
      </c>
      <c r="AR21" s="38">
        <f t="shared" si="48"/>
        <v>-98.446799999999996</v>
      </c>
      <c r="AS21" s="39">
        <f t="shared" si="48"/>
        <v>-117.8509</v>
      </c>
      <c r="AT21" s="36" t="s">
        <v>118</v>
      </c>
      <c r="AU21" s="327">
        <f>B21</f>
        <v>30</v>
      </c>
      <c r="AV21" s="328">
        <f t="shared" ref="AV21:BB21" si="49">AU21</f>
        <v>30</v>
      </c>
      <c r="AW21" s="328">
        <f t="shared" si="49"/>
        <v>30</v>
      </c>
      <c r="AX21" s="328">
        <f t="shared" si="49"/>
        <v>30</v>
      </c>
      <c r="AY21" s="328">
        <f t="shared" si="49"/>
        <v>30</v>
      </c>
      <c r="AZ21" s="328">
        <f t="shared" si="49"/>
        <v>30</v>
      </c>
      <c r="BA21" s="328">
        <f t="shared" si="49"/>
        <v>30</v>
      </c>
      <c r="BB21" s="329">
        <f t="shared" si="49"/>
        <v>30</v>
      </c>
      <c r="BC21" s="36" t="s">
        <v>118</v>
      </c>
      <c r="BD21" s="327">
        <f>K21</f>
        <v>30</v>
      </c>
      <c r="BE21" s="328">
        <f t="shared" ref="BE21:BK21" si="50">BD21</f>
        <v>30</v>
      </c>
      <c r="BF21" s="328">
        <f t="shared" si="50"/>
        <v>30</v>
      </c>
      <c r="BG21" s="328">
        <f t="shared" si="50"/>
        <v>30</v>
      </c>
      <c r="BH21" s="328">
        <f t="shared" si="50"/>
        <v>30</v>
      </c>
      <c r="BI21" s="328">
        <f t="shared" si="50"/>
        <v>30</v>
      </c>
      <c r="BJ21" s="328">
        <f t="shared" si="50"/>
        <v>30</v>
      </c>
      <c r="BK21" s="329">
        <f t="shared" si="50"/>
        <v>30</v>
      </c>
    </row>
    <row r="22" spans="1:63">
      <c r="A22" s="36" t="s">
        <v>119</v>
      </c>
      <c r="B22" s="44">
        <f t="shared" ref="B22:I22" si="51">ROUND(B11*B13/3600/B7+0.4,0)</f>
        <v>106</v>
      </c>
      <c r="C22" s="38">
        <f t="shared" si="51"/>
        <v>77</v>
      </c>
      <c r="D22" s="38">
        <f t="shared" si="51"/>
        <v>60</v>
      </c>
      <c r="E22" s="38">
        <f t="shared" si="51"/>
        <v>47</v>
      </c>
      <c r="F22" s="38">
        <f t="shared" si="51"/>
        <v>39</v>
      </c>
      <c r="G22" s="38">
        <f t="shared" si="51"/>
        <v>32</v>
      </c>
      <c r="H22" s="63">
        <f t="shared" si="51"/>
        <v>28</v>
      </c>
      <c r="I22" s="39">
        <f t="shared" si="51"/>
        <v>25</v>
      </c>
      <c r="J22" s="36" t="s">
        <v>119</v>
      </c>
      <c r="K22" s="62">
        <f t="shared" ref="K22:R22" si="52">ROUND(K11*K13/3600/K7+0.4,0)</f>
        <v>106</v>
      </c>
      <c r="L22" s="38">
        <f t="shared" si="52"/>
        <v>77</v>
      </c>
      <c r="M22" s="38">
        <f t="shared" si="52"/>
        <v>60</v>
      </c>
      <c r="N22" s="38">
        <f t="shared" si="52"/>
        <v>47</v>
      </c>
      <c r="O22" s="38">
        <f t="shared" si="52"/>
        <v>39</v>
      </c>
      <c r="P22" s="38">
        <f t="shared" si="52"/>
        <v>32</v>
      </c>
      <c r="Q22" s="38">
        <f t="shared" si="52"/>
        <v>28</v>
      </c>
      <c r="R22" s="39">
        <f t="shared" si="52"/>
        <v>25</v>
      </c>
      <c r="S22" s="36" t="s">
        <v>119</v>
      </c>
      <c r="T22" s="44">
        <f t="shared" ref="T22:AA22" si="53">ROUND(T11*T13/3600/T7+0.4,0)</f>
        <v>106</v>
      </c>
      <c r="U22" s="38">
        <f t="shared" si="53"/>
        <v>77</v>
      </c>
      <c r="V22" s="38">
        <f t="shared" si="53"/>
        <v>60</v>
      </c>
      <c r="W22" s="38">
        <f t="shared" si="53"/>
        <v>47</v>
      </c>
      <c r="X22" s="38">
        <f t="shared" si="53"/>
        <v>39</v>
      </c>
      <c r="Y22" s="38">
        <f t="shared" si="53"/>
        <v>32</v>
      </c>
      <c r="Z22" s="38">
        <f t="shared" si="53"/>
        <v>28</v>
      </c>
      <c r="AA22" s="39">
        <f t="shared" si="53"/>
        <v>25</v>
      </c>
      <c r="AB22" s="12" t="s">
        <v>221</v>
      </c>
      <c r="AC22" s="130">
        <v>2</v>
      </c>
      <c r="AD22" s="3" t="s">
        <v>213</v>
      </c>
      <c r="AE22" s="7"/>
      <c r="AF22" s="7"/>
      <c r="AG22" s="7"/>
      <c r="AH22" s="7"/>
      <c r="AI22" s="7"/>
      <c r="AJ22" s="7"/>
      <c r="AK22" s="167" t="s">
        <v>126</v>
      </c>
      <c r="AL22" s="170">
        <f t="shared" ref="AL22:AS22" si="54">ROUND(AL17*B12,4)</f>
        <v>161.5069</v>
      </c>
      <c r="AM22" s="171">
        <f t="shared" si="54"/>
        <v>143.17769999999999</v>
      </c>
      <c r="AN22" s="171">
        <f t="shared" si="54"/>
        <v>146.6217</v>
      </c>
      <c r="AO22" s="171">
        <f t="shared" si="54"/>
        <v>153.06979999999999</v>
      </c>
      <c r="AP22" s="171">
        <f t="shared" si="54"/>
        <v>191.6585</v>
      </c>
      <c r="AQ22" s="171">
        <f t="shared" si="54"/>
        <v>221.22919999999999</v>
      </c>
      <c r="AR22" s="171">
        <f t="shared" si="54"/>
        <v>251.9383</v>
      </c>
      <c r="AS22" s="172">
        <f t="shared" si="54"/>
        <v>281.07479999999998</v>
      </c>
      <c r="AT22" s="36" t="s">
        <v>119</v>
      </c>
      <c r="AU22" s="327">
        <f t="shared" ref="AU22:BB22" si="55">ROUND(AU11*AU13/3600/AU7+0.4,0)</f>
        <v>106</v>
      </c>
      <c r="AV22" s="328">
        <f t="shared" si="55"/>
        <v>77</v>
      </c>
      <c r="AW22" s="328">
        <f t="shared" si="55"/>
        <v>60</v>
      </c>
      <c r="AX22" s="328">
        <f t="shared" si="55"/>
        <v>47</v>
      </c>
      <c r="AY22" s="328">
        <f t="shared" si="55"/>
        <v>39</v>
      </c>
      <c r="AZ22" s="328">
        <f t="shared" si="55"/>
        <v>32</v>
      </c>
      <c r="BA22" s="328">
        <f t="shared" si="55"/>
        <v>28</v>
      </c>
      <c r="BB22" s="329">
        <f t="shared" si="55"/>
        <v>25</v>
      </c>
      <c r="BC22" s="36" t="s">
        <v>119</v>
      </c>
      <c r="BD22" s="327">
        <f t="shared" ref="BD22:BK22" si="56">ROUND(BD11*BD13/3600/BD7+0.4,0)</f>
        <v>106</v>
      </c>
      <c r="BE22" s="328">
        <f t="shared" si="56"/>
        <v>77</v>
      </c>
      <c r="BF22" s="328">
        <f t="shared" si="56"/>
        <v>60</v>
      </c>
      <c r="BG22" s="328">
        <f t="shared" si="56"/>
        <v>47</v>
      </c>
      <c r="BH22" s="328">
        <f t="shared" si="56"/>
        <v>39</v>
      </c>
      <c r="BI22" s="328">
        <f t="shared" si="56"/>
        <v>32</v>
      </c>
      <c r="BJ22" s="328">
        <f t="shared" si="56"/>
        <v>28</v>
      </c>
      <c r="BK22" s="329">
        <f t="shared" si="56"/>
        <v>25</v>
      </c>
    </row>
    <row r="23" spans="1:63">
      <c r="A23" s="36" t="s">
        <v>343</v>
      </c>
      <c r="B23" s="62">
        <f>IF(B9&lt;4,0.99,IF(B9&lt;8,0.92,0.9))</f>
        <v>0.99</v>
      </c>
      <c r="C23" s="63">
        <f t="shared" ref="C23:I23" si="57">IF(C9&lt;4,0.99,IF(C9&lt;8,0.92,0.9))</f>
        <v>0.99</v>
      </c>
      <c r="D23" s="63">
        <f t="shared" si="57"/>
        <v>0.99</v>
      </c>
      <c r="E23" s="63">
        <f t="shared" si="57"/>
        <v>0.99</v>
      </c>
      <c r="F23" s="63">
        <f t="shared" si="57"/>
        <v>0.99</v>
      </c>
      <c r="G23" s="63">
        <f t="shared" si="57"/>
        <v>0.99</v>
      </c>
      <c r="H23" s="63">
        <f t="shared" si="57"/>
        <v>0.99</v>
      </c>
      <c r="I23" s="64">
        <f t="shared" si="57"/>
        <v>0.99</v>
      </c>
      <c r="J23" s="36" t="s">
        <v>343</v>
      </c>
      <c r="K23" s="44">
        <f>IF(K9&lt;4,0.99,IF(K9&lt;8,0.92,0.9))</f>
        <v>0.99</v>
      </c>
      <c r="L23" s="38">
        <f t="shared" ref="L23:R23" si="58">IF(L9&lt;4,0.99,IF(L9&lt;8,0.92,0.9))</f>
        <v>0.99</v>
      </c>
      <c r="M23" s="38">
        <f t="shared" si="58"/>
        <v>0.99</v>
      </c>
      <c r="N23" s="38">
        <f t="shared" si="58"/>
        <v>0.99</v>
      </c>
      <c r="O23" s="38">
        <f t="shared" si="58"/>
        <v>0.99</v>
      </c>
      <c r="P23" s="38">
        <f t="shared" si="58"/>
        <v>0.99</v>
      </c>
      <c r="Q23" s="38">
        <f t="shared" si="58"/>
        <v>0.99</v>
      </c>
      <c r="R23" s="39">
        <f t="shared" si="58"/>
        <v>0.99</v>
      </c>
      <c r="S23" s="36" t="s">
        <v>343</v>
      </c>
      <c r="T23" s="44">
        <f>IF(T9&lt;4,0.99,IF(T9&lt;8,0.92,0.9))</f>
        <v>0.99</v>
      </c>
      <c r="U23" s="38">
        <f t="shared" ref="U23:AA23" si="59">IF(U9&lt;4,0.99,IF(U9&lt;8,0.92,0.9))</f>
        <v>0.99</v>
      </c>
      <c r="V23" s="38">
        <f t="shared" si="59"/>
        <v>0.99</v>
      </c>
      <c r="W23" s="38">
        <f t="shared" si="59"/>
        <v>0.99</v>
      </c>
      <c r="X23" s="38">
        <f t="shared" si="59"/>
        <v>0.99</v>
      </c>
      <c r="Y23" s="38">
        <f t="shared" si="59"/>
        <v>0.99</v>
      </c>
      <c r="Z23" s="38">
        <f t="shared" si="59"/>
        <v>0.99</v>
      </c>
      <c r="AA23" s="39">
        <f t="shared" si="59"/>
        <v>0.99</v>
      </c>
      <c r="AB23" s="12"/>
      <c r="AC23" s="141"/>
      <c r="AD23" s="15"/>
      <c r="AE23" s="1525"/>
      <c r="AF23" s="1525"/>
      <c r="AG23" s="141"/>
      <c r="AH23" s="161"/>
      <c r="AI23" s="13"/>
      <c r="AK23" s="168" t="s">
        <v>228</v>
      </c>
      <c r="AL23" s="62">
        <f t="shared" ref="AL23:AS23" si="60">ROUND(B8/AL22,4)</f>
        <v>3.7199999999999997E-2</v>
      </c>
      <c r="AM23" s="63">
        <f t="shared" si="60"/>
        <v>6.2899999999999998E-2</v>
      </c>
      <c r="AN23" s="63">
        <f t="shared" si="60"/>
        <v>6.1400000000000003E-2</v>
      </c>
      <c r="AO23" s="63">
        <f t="shared" si="60"/>
        <v>6.5299999999999997E-2</v>
      </c>
      <c r="AP23" s="63">
        <f t="shared" si="60"/>
        <v>7.2999999999999995E-2</v>
      </c>
      <c r="AQ23" s="63">
        <f t="shared" si="60"/>
        <v>6.3299999999999995E-2</v>
      </c>
      <c r="AR23" s="63">
        <f t="shared" si="60"/>
        <v>5.5599999999999997E-2</v>
      </c>
      <c r="AS23" s="64">
        <f t="shared" si="60"/>
        <v>4.9799999999999997E-2</v>
      </c>
      <c r="AT23" s="36" t="s">
        <v>343</v>
      </c>
      <c r="AU23" s="333">
        <f t="shared" ref="AU23:BB23" si="61">IF(AU9&lt;4,0.99,IF(AU9&lt;8,0.92,0.9))</f>
        <v>0.99</v>
      </c>
      <c r="AV23" s="328">
        <f t="shared" si="61"/>
        <v>0.99</v>
      </c>
      <c r="AW23" s="328">
        <f t="shared" si="61"/>
        <v>0.99</v>
      </c>
      <c r="AX23" s="328">
        <f t="shared" si="61"/>
        <v>0.99</v>
      </c>
      <c r="AY23" s="328">
        <f t="shared" si="61"/>
        <v>0.99</v>
      </c>
      <c r="AZ23" s="328">
        <f t="shared" si="61"/>
        <v>0.99</v>
      </c>
      <c r="BA23" s="328">
        <f t="shared" si="61"/>
        <v>0.99</v>
      </c>
      <c r="BB23" s="329">
        <f t="shared" si="61"/>
        <v>0.99</v>
      </c>
      <c r="BC23" s="36" t="s">
        <v>343</v>
      </c>
      <c r="BD23" s="333">
        <f t="shared" ref="BD23:BK23" si="62">IF(BD9&lt;4,0.99,IF(BD9&lt;8,0.92,0.9))</f>
        <v>0.99</v>
      </c>
      <c r="BE23" s="328">
        <f t="shared" si="62"/>
        <v>0.99</v>
      </c>
      <c r="BF23" s="328">
        <f t="shared" si="62"/>
        <v>0.99</v>
      </c>
      <c r="BG23" s="328">
        <f t="shared" si="62"/>
        <v>0.99</v>
      </c>
      <c r="BH23" s="328">
        <f t="shared" si="62"/>
        <v>0.99</v>
      </c>
      <c r="BI23" s="328">
        <f t="shared" si="62"/>
        <v>0.99</v>
      </c>
      <c r="BJ23" s="328">
        <f t="shared" si="62"/>
        <v>0.99</v>
      </c>
      <c r="BK23" s="329">
        <f t="shared" si="62"/>
        <v>0.99</v>
      </c>
    </row>
    <row r="24" spans="1:63" ht="15.75">
      <c r="A24" s="36" t="s">
        <v>154</v>
      </c>
      <c r="B24" s="44">
        <f>ROUND((1+$B$16+$B$17*$B$13/$B$18)*$B$14/2*B9^2,4)</f>
        <v>2.9899999999999999E-2</v>
      </c>
      <c r="C24" s="38">
        <f t="shared" ref="C24:I24" si="63">ROUND((1+C16+C17*C13/C18)*C14/2*C9^2,4)</f>
        <v>6.7299999999999999E-2</v>
      </c>
      <c r="D24" s="38">
        <f t="shared" si="63"/>
        <v>6.7299999999999999E-2</v>
      </c>
      <c r="E24" s="38">
        <f t="shared" si="63"/>
        <v>8.3000000000000004E-2</v>
      </c>
      <c r="F24" s="38">
        <f t="shared" si="63"/>
        <v>0.1628</v>
      </c>
      <c r="G24" s="38">
        <f t="shared" si="63"/>
        <v>0.1628</v>
      </c>
      <c r="H24" s="63">
        <f t="shared" si="63"/>
        <v>0.1628</v>
      </c>
      <c r="I24" s="39">
        <f t="shared" si="63"/>
        <v>0.1628</v>
      </c>
      <c r="J24" s="36" t="s">
        <v>154</v>
      </c>
      <c r="K24" s="62">
        <f t="shared" ref="K24:R24" si="64">ROUND((1+K16+K17*K13/K18)*K14/2*K9^2,4)</f>
        <v>0.187</v>
      </c>
      <c r="L24" s="38">
        <f t="shared" si="64"/>
        <v>0.1404</v>
      </c>
      <c r="M24" s="38">
        <f t="shared" si="64"/>
        <v>6.7299999999999999E-2</v>
      </c>
      <c r="N24" s="38">
        <f t="shared" si="64"/>
        <v>5.3199999999999997E-2</v>
      </c>
      <c r="O24" s="38">
        <f t="shared" si="64"/>
        <v>4.07E-2</v>
      </c>
      <c r="P24" s="38">
        <f t="shared" si="64"/>
        <v>2.9899999999999999E-2</v>
      </c>
      <c r="Q24" s="38">
        <f t="shared" si="64"/>
        <v>4.07E-2</v>
      </c>
      <c r="R24" s="39">
        <f t="shared" si="64"/>
        <v>4.07E-2</v>
      </c>
      <c r="S24" s="36" t="s">
        <v>154</v>
      </c>
      <c r="T24" s="44">
        <f t="shared" ref="T24:AA24" si="65">ROUND((1+T16+T17*T13/T18)*T14/2*T9^2,4)</f>
        <v>7.4999999999999997E-3</v>
      </c>
      <c r="U24" s="38">
        <f t="shared" si="65"/>
        <v>3.3E-3</v>
      </c>
      <c r="V24" s="38">
        <f t="shared" si="65"/>
        <v>3.3E-3</v>
      </c>
      <c r="W24" s="38">
        <f t="shared" si="65"/>
        <v>3.3E-3</v>
      </c>
      <c r="X24" s="38">
        <f t="shared" si="65"/>
        <v>8.0000000000000004E-4</v>
      </c>
      <c r="Y24" s="38">
        <f t="shared" si="65"/>
        <v>8.0000000000000004E-4</v>
      </c>
      <c r="Z24" s="38">
        <f t="shared" si="65"/>
        <v>8.0000000000000004E-4</v>
      </c>
      <c r="AA24" s="39">
        <f t="shared" si="65"/>
        <v>8.0000000000000004E-4</v>
      </c>
      <c r="AI24" s="13"/>
      <c r="AK24" s="69" t="s">
        <v>229</v>
      </c>
      <c r="AL24" s="179">
        <f t="shared" ref="AL24:AS24" si="66">ROUND(K8/AL22,4)</f>
        <v>9.2899999999999996E-2</v>
      </c>
      <c r="AM24" s="63">
        <f t="shared" si="66"/>
        <v>9.0800000000000006E-2</v>
      </c>
      <c r="AN24" s="63">
        <f t="shared" si="66"/>
        <v>6.1400000000000003E-2</v>
      </c>
      <c r="AO24" s="63">
        <f t="shared" si="66"/>
        <v>5.2299999999999999E-2</v>
      </c>
      <c r="AP24" s="63">
        <f t="shared" si="66"/>
        <v>3.6499999999999998E-2</v>
      </c>
      <c r="AQ24" s="63">
        <f t="shared" si="66"/>
        <v>2.7099999999999999E-2</v>
      </c>
      <c r="AR24" s="63">
        <f t="shared" si="66"/>
        <v>2.7799999999999998E-2</v>
      </c>
      <c r="AS24" s="64">
        <f t="shared" si="66"/>
        <v>2.4899999999999999E-2</v>
      </c>
      <c r="AT24" s="36" t="s">
        <v>154</v>
      </c>
      <c r="AU24" s="327">
        <f t="shared" ref="AU24:BB24" si="67">ROUND((1+AU16+AU17*AU13/AU18)*AU14/2*AU9^2,4)</f>
        <v>15.5936</v>
      </c>
      <c r="AV24" s="328">
        <f t="shared" si="67"/>
        <v>15.5936</v>
      </c>
      <c r="AW24" s="328">
        <f t="shared" si="67"/>
        <v>15.5936</v>
      </c>
      <c r="AX24" s="328">
        <f t="shared" si="67"/>
        <v>15.5936</v>
      </c>
      <c r="AY24" s="328">
        <f t="shared" si="67"/>
        <v>15.5936</v>
      </c>
      <c r="AZ24" s="328">
        <f t="shared" si="67"/>
        <v>15.5936</v>
      </c>
      <c r="BA24" s="328">
        <f t="shared" si="67"/>
        <v>15.5936</v>
      </c>
      <c r="BB24" s="329">
        <f t="shared" si="67"/>
        <v>15.5936</v>
      </c>
      <c r="BC24" s="36" t="s">
        <v>154</v>
      </c>
      <c r="BD24" s="327">
        <f t="shared" ref="BD24:BK24" si="68">ROUND((1+BD16+BD17*BD13/BD18)*BD14/2*BD9^2,4)</f>
        <v>6.5808999999999997</v>
      </c>
      <c r="BE24" s="328">
        <f t="shared" si="68"/>
        <v>6.5808999999999997</v>
      </c>
      <c r="BF24" s="328">
        <f t="shared" si="68"/>
        <v>6.5808999999999997</v>
      </c>
      <c r="BG24" s="328">
        <f t="shared" si="68"/>
        <v>6.5808999999999997</v>
      </c>
      <c r="BH24" s="328">
        <f t="shared" si="68"/>
        <v>6.5808999999999997</v>
      </c>
      <c r="BI24" s="328">
        <f t="shared" si="68"/>
        <v>6.5808999999999997</v>
      </c>
      <c r="BJ24" s="328">
        <f t="shared" si="68"/>
        <v>6.5808999999999997</v>
      </c>
      <c r="BK24" s="329">
        <f t="shared" si="68"/>
        <v>6.5808999999999997</v>
      </c>
    </row>
    <row r="25" spans="1:63" ht="16.5" thickBot="1">
      <c r="A25" s="36" t="s">
        <v>155</v>
      </c>
      <c r="B25" s="44">
        <f t="shared" ref="B25:I25" si="69">ROUND((1+B16+B17*B13/B18)*B14/2*B10^2,4)</f>
        <v>17.875299999999999</v>
      </c>
      <c r="C25" s="38">
        <f t="shared" si="69"/>
        <v>17.875299999999999</v>
      </c>
      <c r="D25" s="38">
        <f t="shared" si="69"/>
        <v>17.875299999999999</v>
      </c>
      <c r="E25" s="38">
        <f t="shared" si="69"/>
        <v>17.875299999999999</v>
      </c>
      <c r="F25" s="38">
        <f t="shared" si="69"/>
        <v>17.875299999999999</v>
      </c>
      <c r="G25" s="38">
        <f t="shared" si="69"/>
        <v>17.875299999999999</v>
      </c>
      <c r="H25" s="63">
        <f t="shared" si="69"/>
        <v>17.875299999999999</v>
      </c>
      <c r="I25" s="39">
        <f t="shared" si="69"/>
        <v>17.875299999999999</v>
      </c>
      <c r="J25" s="36" t="s">
        <v>155</v>
      </c>
      <c r="K25" s="62">
        <f t="shared" ref="K25:R25" si="70">ROUND((1+K16+K17*K13/K18)*K14/2*K10^2,4)</f>
        <v>17.875299999999999</v>
      </c>
      <c r="L25" s="38">
        <f t="shared" si="70"/>
        <v>17.875299999999999</v>
      </c>
      <c r="M25" s="38">
        <f t="shared" si="70"/>
        <v>17.875299999999999</v>
      </c>
      <c r="N25" s="38">
        <f t="shared" si="70"/>
        <v>17.875299999999999</v>
      </c>
      <c r="O25" s="38">
        <f t="shared" si="70"/>
        <v>17.875299999999999</v>
      </c>
      <c r="P25" s="38">
        <f t="shared" si="70"/>
        <v>17.875299999999999</v>
      </c>
      <c r="Q25" s="38">
        <f t="shared" si="70"/>
        <v>17.875299999999999</v>
      </c>
      <c r="R25" s="39">
        <f t="shared" si="70"/>
        <v>17.875299999999999</v>
      </c>
      <c r="S25" s="36" t="s">
        <v>155</v>
      </c>
      <c r="T25" s="44">
        <f t="shared" ref="T25:AA25" si="71">ROUND((1+T16+T17*T13/T18)*T14/2*T10^2,4)</f>
        <v>17.875299999999999</v>
      </c>
      <c r="U25" s="38">
        <f t="shared" si="71"/>
        <v>17.875299999999999</v>
      </c>
      <c r="V25" s="38">
        <f t="shared" si="71"/>
        <v>17.875299999999999</v>
      </c>
      <c r="W25" s="38">
        <f t="shared" si="71"/>
        <v>17.875299999999999</v>
      </c>
      <c r="X25" s="38">
        <f t="shared" si="71"/>
        <v>17.875299999999999</v>
      </c>
      <c r="Y25" s="38">
        <f t="shared" si="71"/>
        <v>17.875299999999999</v>
      </c>
      <c r="Z25" s="38">
        <f t="shared" si="71"/>
        <v>17.875299999999999</v>
      </c>
      <c r="AA25" s="39">
        <f t="shared" si="71"/>
        <v>17.875299999999999</v>
      </c>
      <c r="AC25" s="136" t="s">
        <v>220</v>
      </c>
      <c r="AD25" s="141">
        <f>C3</f>
        <v>1030</v>
      </c>
      <c r="AH25" s="12" t="s">
        <v>519</v>
      </c>
      <c r="AI25" s="12" t="s">
        <v>423</v>
      </c>
      <c r="AK25" s="69" t="s">
        <v>230</v>
      </c>
      <c r="AL25" s="62">
        <f t="shared" ref="AL25:AS25" si="72">ROUND(T8/AL22,4)</f>
        <v>1.8599999999999998E-2</v>
      </c>
      <c r="AM25" s="63">
        <f t="shared" si="72"/>
        <v>1.4E-2</v>
      </c>
      <c r="AN25" s="63">
        <f t="shared" si="72"/>
        <v>1.3599999999999999E-2</v>
      </c>
      <c r="AO25" s="63">
        <f t="shared" si="72"/>
        <v>1.3100000000000001E-2</v>
      </c>
      <c r="AP25" s="63">
        <f t="shared" si="72"/>
        <v>5.1999999999999998E-3</v>
      </c>
      <c r="AQ25" s="63">
        <f t="shared" si="72"/>
        <v>4.4999999999999997E-3</v>
      </c>
      <c r="AR25" s="63">
        <f t="shared" si="72"/>
        <v>4.0000000000000001E-3</v>
      </c>
      <c r="AS25" s="64">
        <f t="shared" si="72"/>
        <v>3.5999999999999999E-3</v>
      </c>
      <c r="AT25" s="36" t="s">
        <v>155</v>
      </c>
      <c r="AU25" s="327">
        <f t="shared" ref="AU25:BB25" si="73">ROUND((1+AU16+AU17*AU13/AU18)*AU14/2*AU10^2,4)</f>
        <v>17.875299999999999</v>
      </c>
      <c r="AV25" s="328">
        <f t="shared" si="73"/>
        <v>17.875299999999999</v>
      </c>
      <c r="AW25" s="328">
        <f t="shared" si="73"/>
        <v>17.875299999999999</v>
      </c>
      <c r="AX25" s="328">
        <f t="shared" si="73"/>
        <v>17.875299999999999</v>
      </c>
      <c r="AY25" s="328">
        <f t="shared" si="73"/>
        <v>17.875299999999999</v>
      </c>
      <c r="AZ25" s="328">
        <f t="shared" si="73"/>
        <v>17.875299999999999</v>
      </c>
      <c r="BA25" s="328">
        <f t="shared" si="73"/>
        <v>17.875299999999999</v>
      </c>
      <c r="BB25" s="329">
        <f t="shared" si="73"/>
        <v>17.875299999999999</v>
      </c>
      <c r="BC25" s="36" t="s">
        <v>155</v>
      </c>
      <c r="BD25" s="327">
        <f t="shared" ref="BD25:BK25" si="74">ROUND((1+BD16+BD17*BD13/BD18)*BD14/2*BD10^2,4)</f>
        <v>17.875299999999999</v>
      </c>
      <c r="BE25" s="328">
        <f t="shared" si="74"/>
        <v>17.875299999999999</v>
      </c>
      <c r="BF25" s="328">
        <f t="shared" si="74"/>
        <v>17.875299999999999</v>
      </c>
      <c r="BG25" s="328">
        <f t="shared" si="74"/>
        <v>17.875299999999999</v>
      </c>
      <c r="BH25" s="328">
        <f t="shared" si="74"/>
        <v>17.875299999999999</v>
      </c>
      <c r="BI25" s="328">
        <f t="shared" si="74"/>
        <v>17.875299999999999</v>
      </c>
      <c r="BJ25" s="328">
        <f t="shared" si="74"/>
        <v>17.875299999999999</v>
      </c>
      <c r="BK25" s="329">
        <f t="shared" si="74"/>
        <v>17.875299999999999</v>
      </c>
    </row>
    <row r="26" spans="1:63" ht="15.75">
      <c r="A26" s="36" t="s">
        <v>156</v>
      </c>
      <c r="B26" s="62">
        <f t="shared" ref="B26:I26" si="75">IF(B7&gt;B9,ROUND(B14/2*B19/B12*(B7-B9)^2*B22,4),IF(B7&lt;B9,ROUND(-B14/2*B19/B12*(B9-B7)^2*B22,4)))</f>
        <v>8.3559999999999999</v>
      </c>
      <c r="C26" s="38">
        <f t="shared" si="75"/>
        <v>24.746099999999998</v>
      </c>
      <c r="D26" s="38">
        <f t="shared" si="75"/>
        <v>44.102699999999999</v>
      </c>
      <c r="E26" s="38">
        <f t="shared" si="75"/>
        <v>61.8399</v>
      </c>
      <c r="F26" s="38">
        <f t="shared" si="75"/>
        <v>79.907399999999996</v>
      </c>
      <c r="G26" s="38">
        <f t="shared" si="75"/>
        <v>94.987700000000004</v>
      </c>
      <c r="H26" s="63">
        <f t="shared" si="75"/>
        <v>113.499</v>
      </c>
      <c r="I26" s="39">
        <f t="shared" si="75"/>
        <v>132.80629999999999</v>
      </c>
      <c r="J26" s="36" t="s">
        <v>156</v>
      </c>
      <c r="K26" s="62">
        <f>IF('환기량 산정'!K1509=1,IF(K7&gt;K9,ROUND(K14/2*K19/K12*(K7-K9)^2*K22,4),IF(K7&lt;K9,ROUND(-K14/2*K19/K12*(K9-K7)^2*K22,4))),ROUND(K14/2*K19/K12*(K7+K9)^2*K22,4))</f>
        <v>7.4260000000000002</v>
      </c>
      <c r="L26" s="38">
        <f t="shared" ref="L26:R26" si="76">IF(L7&gt;L9,ROUND(L14/2*L19/L12*(L7-L9)^2*L22,4),IF(L7&lt;L9,ROUND(-L14/2*L19/L12*(L9-L7)^2*L22,4)))</f>
        <v>24.125800000000002</v>
      </c>
      <c r="M26" s="38">
        <f t="shared" si="76"/>
        <v>44.102699999999999</v>
      </c>
      <c r="N26" s="38">
        <f t="shared" si="76"/>
        <v>62.224899999999998</v>
      </c>
      <c r="O26" s="38">
        <f t="shared" si="76"/>
        <v>81.310100000000006</v>
      </c>
      <c r="P26" s="38">
        <f t="shared" si="76"/>
        <v>96.570099999999996</v>
      </c>
      <c r="Q26" s="38">
        <f t="shared" si="76"/>
        <v>114.91370000000001</v>
      </c>
      <c r="R26" s="39">
        <f t="shared" si="76"/>
        <v>134.2518</v>
      </c>
      <c r="S26" s="36" t="s">
        <v>156</v>
      </c>
      <c r="T26" s="44">
        <f>IF('환기량 산정'!K1509=1,IF(T7&gt;T9,ROUND(T14/2*T19/T12*(T7-T9)^2*T22,4),IF(T7&lt;T9,ROUND(-T14/2*T19/T12*(T9-T7)^2*T22,4))),ROUND(T14/2*T19/T12*(T7+T9)^2*T22,4))</f>
        <v>8.6785999999999994</v>
      </c>
      <c r="U26" s="38">
        <f t="shared" ref="U26:AA26" si="77">IF(U7&gt;U9,ROUND(U14/2*U19/U12*(U7-U9)^2*U22,4),IF(U7&lt;U9,ROUND(-U14/2*U19/U12*(U9-U7)^2*U22,4)))</f>
        <v>25.850300000000001</v>
      </c>
      <c r="V26" s="38">
        <f t="shared" si="77"/>
        <v>45.399000000000001</v>
      </c>
      <c r="W26" s="38">
        <f t="shared" si="77"/>
        <v>63.390500000000003</v>
      </c>
      <c r="X26" s="38">
        <f t="shared" si="77"/>
        <v>82.5227</v>
      </c>
      <c r="Y26" s="38">
        <f t="shared" si="77"/>
        <v>97.566999999999993</v>
      </c>
      <c r="Z26" s="38">
        <f t="shared" si="77"/>
        <v>116.13379999999999</v>
      </c>
      <c r="AA26" s="39">
        <f t="shared" si="77"/>
        <v>135.4975</v>
      </c>
      <c r="AC26" s="146" t="s">
        <v>214</v>
      </c>
      <c r="AD26" s="147">
        <f>MAX(B32:I32)</f>
        <v>1</v>
      </c>
      <c r="AE26" s="148" t="s">
        <v>213</v>
      </c>
      <c r="AF26" s="147">
        <f>IF($AH$26=I31,I6,IF($AH$26=H31,H6,IF($AH$26=G31,G6,IF($AH$26=F31,F6,IF($AH$26=E31,E6,IF($AH$26=D31,D6,IF($AH$26=C31,C6,IF($AH$26=B31,B6))))))))</f>
        <v>10</v>
      </c>
      <c r="AG26" s="149" t="s">
        <v>219</v>
      </c>
      <c r="AH26" s="3">
        <f>MAX(B31:I31)</f>
        <v>0.67</v>
      </c>
      <c r="AI26" s="352">
        <f>MAX(B9:I9)</f>
        <v>0.23860000000000001</v>
      </c>
      <c r="AK26" s="69" t="s">
        <v>253</v>
      </c>
      <c r="AL26" s="62">
        <f>ROUND('환기량 산정'!C683/6.25*AL23*AL22,4)</f>
        <v>8.6999999999999994E-3</v>
      </c>
      <c r="AM26" s="63">
        <f>ROUND('환기량 산정'!D683/6.25*AM23*AM22,4)</f>
        <v>1.01E-2</v>
      </c>
      <c r="AN26" s="63">
        <f>ROUND('환기량 산정'!E683/6.25*AN23*AN22,4)</f>
        <v>1.01E-2</v>
      </c>
      <c r="AO26" s="63">
        <f>ROUND('환기량 산정'!F683/6.25*AO23*AO22,4)</f>
        <v>1.12E-2</v>
      </c>
      <c r="AP26" s="63">
        <f>ROUND('환기량 산정'!G683/6.25*AP23*AP22,4)</f>
        <v>1.12E-2</v>
      </c>
      <c r="AQ26" s="63">
        <f>ROUND('환기량 산정'!H683/6.25*AQ23*AQ22,4)</f>
        <v>1.12E-2</v>
      </c>
      <c r="AR26" s="63">
        <f>ROUND('환기량 산정'!I683/6.25*AR23*AR22,4)</f>
        <v>1.12E-2</v>
      </c>
      <c r="AS26" s="64">
        <f>ROUND('환기량 산정'!J683/6.25*AS23*AS22,4)</f>
        <v>1.12E-2</v>
      </c>
      <c r="AT26" s="36" t="s">
        <v>156</v>
      </c>
      <c r="AU26" s="327">
        <f>IF('환기량 산정'!$K$1509=1,IF(AU7&gt;AU9,ROUND(AU14/2*AU19/AU12*(AU7-AU9)^2*AU22,4),IF(AU7&lt;AU9,ROUND(-AU14/2*AU19/AU12*(AU9-AU7)^2*AU22,4))),ROUND(AU14/2*AU19/AU12*(AU7+AU9)^2*AU22,4))</f>
        <v>0.23080000000000001</v>
      </c>
      <c r="AV26" s="328">
        <f t="shared" ref="AV26:BB26" si="78">IF(AV7&gt;AV9,ROUND(AV14/2*AV19/AV12*(AV7-AV9)^2*AV22,4),IF(AV7&lt;AV9,ROUND(-AV14/2*AV19/AV12*(AV9-AV7)^2*AV22,4)))</f>
        <v>8.8048000000000002</v>
      </c>
      <c r="AW26" s="328">
        <f t="shared" si="78"/>
        <v>23.708100000000002</v>
      </c>
      <c r="AX26" s="328">
        <f t="shared" si="78"/>
        <v>39.788699999999999</v>
      </c>
      <c r="AY26" s="328">
        <f t="shared" si="78"/>
        <v>57.249600000000001</v>
      </c>
      <c r="AZ26" s="328">
        <f t="shared" si="78"/>
        <v>72.295900000000003</v>
      </c>
      <c r="BA26" s="328">
        <f t="shared" si="78"/>
        <v>90.068399999999997</v>
      </c>
      <c r="BB26" s="329">
        <f t="shared" si="78"/>
        <v>108.6824</v>
      </c>
      <c r="BC26" s="36" t="s">
        <v>156</v>
      </c>
      <c r="BD26" s="327">
        <f>IF('환기량 산정'!$K$1509=1,IF(BD7&gt;BD9,ROUND(BD14/2*BD19/BD12*(BD7-BD9)^2*BD22,4),IF(BD7&lt;BD9,ROUND(-BD14/2*BD19/BD12*(BD9-BD7)^2*BD22,4))),ROUND(BD14/2*BD19/BD12*(BD7+BD9)^2*BD22,4))</f>
        <v>1.8593</v>
      </c>
      <c r="BE26" s="328">
        <f t="shared" ref="BE26:BK26" si="79">IF(BE7&gt;BE9,ROUND(BE14/2*BE19/BE12*(BE7-BE9)^2*BE22,4),IF(BE7&lt;BE9,ROUND(-BE14/2*BE19/BE12*(BE9-BE7)^2*BE22,4)))</f>
        <v>13.8385</v>
      </c>
      <c r="BF26" s="328">
        <f t="shared" si="79"/>
        <v>30.6203</v>
      </c>
      <c r="BG26" s="328">
        <f t="shared" si="79"/>
        <v>47.553600000000003</v>
      </c>
      <c r="BH26" s="328">
        <f t="shared" si="79"/>
        <v>65.643199999999993</v>
      </c>
      <c r="BI26" s="328">
        <f t="shared" si="79"/>
        <v>80.783199999999994</v>
      </c>
      <c r="BJ26" s="328">
        <f t="shared" si="79"/>
        <v>98.89</v>
      </c>
      <c r="BK26" s="329">
        <f t="shared" si="79"/>
        <v>117.8091</v>
      </c>
    </row>
    <row r="27" spans="1:63" ht="15.75">
      <c r="A27" s="36" t="s">
        <v>158</v>
      </c>
      <c r="B27" s="44"/>
      <c r="C27" s="38"/>
      <c r="D27" s="38"/>
      <c r="E27" s="38"/>
      <c r="F27" s="38"/>
      <c r="G27" s="38"/>
      <c r="H27" s="63"/>
      <c r="I27" s="39"/>
      <c r="J27" s="36" t="s">
        <v>158</v>
      </c>
      <c r="K27" s="62"/>
      <c r="L27" s="38"/>
      <c r="M27" s="38"/>
      <c r="N27" s="38"/>
      <c r="O27" s="38"/>
      <c r="P27" s="38"/>
      <c r="Q27" s="38"/>
      <c r="R27" s="39"/>
      <c r="S27" s="181" t="s">
        <v>158</v>
      </c>
      <c r="T27" s="44"/>
      <c r="U27" s="38"/>
      <c r="V27" s="38"/>
      <c r="W27" s="38"/>
      <c r="X27" s="38"/>
      <c r="Y27" s="38"/>
      <c r="Z27" s="38"/>
      <c r="AA27" s="39"/>
      <c r="AC27" s="150" t="s">
        <v>215</v>
      </c>
      <c r="AD27" s="151">
        <f>MAX(K32:R32)</f>
        <v>1</v>
      </c>
      <c r="AE27" s="152" t="s">
        <v>213</v>
      </c>
      <c r="AF27" s="151">
        <f>IF($AH$27=R31,R6,IF($AH$27=Q31,Q6,IF($AH$27=P31,P6,IF($AH$27=O31,O6,IF($AH$27=N31,N6,IF($AH$27=M31,M6,IF($AH$27=L31,L6,IF($AH$27=K31,K6))))))))</f>
        <v>10</v>
      </c>
      <c r="AG27" s="153" t="s">
        <v>219</v>
      </c>
      <c r="AH27" s="3">
        <f>MAX(K31:R31)</f>
        <v>0.75</v>
      </c>
      <c r="AI27" s="352">
        <f>MAX(K9:R9)</f>
        <v>0.25569999999999998</v>
      </c>
      <c r="AK27" s="69" t="s">
        <v>254</v>
      </c>
      <c r="AL27" s="62">
        <f>ROUND(AL24*AL22*'환기량 산정'!C1057*10^-6*1.25*1000,4)</f>
        <v>1.3128</v>
      </c>
      <c r="AM27" s="63">
        <f>ROUND(AM24*AM22*'환기량 산정'!D1057*10^-6*1.25*1000,4)</f>
        <v>1.1375</v>
      </c>
      <c r="AN27" s="63">
        <f>ROUND(AN24*AN22*'환기량 산정'!E1057*10^-6*1.25*1000,4)</f>
        <v>0.78769999999999996</v>
      </c>
      <c r="AO27" s="63">
        <f>ROUND(AO24*AO22*'환기량 산정'!F1057*10^-6*1.25*1000,4)</f>
        <v>0.70050000000000001</v>
      </c>
      <c r="AP27" s="63">
        <f>ROUND(AP24*AP22*'환기량 산정'!G1057*10^-6*1.25*1000,4)</f>
        <v>0.61209999999999998</v>
      </c>
      <c r="AQ27" s="63">
        <f>ROUND(AQ24*AQ22*'환기량 산정'!H1057*10^-6*1.25*1000,4)</f>
        <v>0.52459999999999996</v>
      </c>
      <c r="AR27" s="63">
        <f>ROUND(AR24*AR22*'환기량 산정'!I1057*10^-6*1.25*1000,4)</f>
        <v>0.61280000000000001</v>
      </c>
      <c r="AS27" s="64">
        <f>ROUND(AS24*AS22*'환기량 산정'!J1057*10^-6*1.25*1000,4)</f>
        <v>0.61240000000000006</v>
      </c>
      <c r="AT27" s="36" t="s">
        <v>158</v>
      </c>
      <c r="AU27" s="327"/>
      <c r="AV27" s="328"/>
      <c r="AW27" s="328"/>
      <c r="AX27" s="328"/>
      <c r="AY27" s="328"/>
      <c r="AZ27" s="328"/>
      <c r="BA27" s="328"/>
      <c r="BB27" s="329"/>
      <c r="BC27" s="36" t="s">
        <v>158</v>
      </c>
      <c r="BD27" s="327"/>
      <c r="BE27" s="328"/>
      <c r="BF27" s="328"/>
      <c r="BG27" s="328"/>
      <c r="BH27" s="328"/>
      <c r="BI27" s="328"/>
      <c r="BJ27" s="328"/>
      <c r="BK27" s="329"/>
    </row>
    <row r="28" spans="1:63">
      <c r="A28" s="36" t="s">
        <v>157</v>
      </c>
      <c r="B28" s="183">
        <f t="shared" ref="B28:I28" si="80">B24+B25-B26</f>
        <v>9.5492000000000008</v>
      </c>
      <c r="C28" s="45">
        <f t="shared" si="80"/>
        <v>-6.8034999999999997</v>
      </c>
      <c r="D28" s="45">
        <f t="shared" si="80"/>
        <v>-26.1601</v>
      </c>
      <c r="E28" s="45">
        <f t="shared" si="80"/>
        <v>-43.881600000000006</v>
      </c>
      <c r="F28" s="45">
        <f t="shared" si="80"/>
        <v>-61.869299999999996</v>
      </c>
      <c r="G28" s="45">
        <f t="shared" si="80"/>
        <v>-76.949600000000004</v>
      </c>
      <c r="H28" s="138">
        <f t="shared" si="80"/>
        <v>-95.460899999999995</v>
      </c>
      <c r="I28" s="46">
        <f t="shared" si="80"/>
        <v>-114.76819999999999</v>
      </c>
      <c r="J28" s="36" t="s">
        <v>157</v>
      </c>
      <c r="K28" s="189">
        <f>IF('환기량 산정'!K1509=1,K24+K25-K26,K24+K26-K25)</f>
        <v>10.6363</v>
      </c>
      <c r="L28" s="45">
        <f t="shared" ref="L28:R28" si="81">L24+L25-L26</f>
        <v>-6.1101000000000028</v>
      </c>
      <c r="M28" s="45">
        <f t="shared" si="81"/>
        <v>-26.1601</v>
      </c>
      <c r="N28" s="45">
        <f t="shared" si="81"/>
        <v>-44.296399999999998</v>
      </c>
      <c r="O28" s="45">
        <f t="shared" si="81"/>
        <v>-63.394100000000009</v>
      </c>
      <c r="P28" s="45">
        <f t="shared" si="81"/>
        <v>-78.664899999999989</v>
      </c>
      <c r="Q28" s="45">
        <f t="shared" si="81"/>
        <v>-96.997700000000009</v>
      </c>
      <c r="R28" s="46">
        <f t="shared" si="81"/>
        <v>-116.33580000000001</v>
      </c>
      <c r="S28" s="181" t="s">
        <v>157</v>
      </c>
      <c r="T28" s="183">
        <f>IF('환기량 산정'!K1509=1,T24+T25-T26,T24+T26-T25)</f>
        <v>9.2042000000000002</v>
      </c>
      <c r="U28" s="45">
        <f t="shared" ref="U28:AA28" si="82">U24+U25-U26</f>
        <v>-7.971700000000002</v>
      </c>
      <c r="V28" s="45">
        <f t="shared" si="82"/>
        <v>-27.520400000000002</v>
      </c>
      <c r="W28" s="45">
        <f t="shared" si="82"/>
        <v>-45.511900000000004</v>
      </c>
      <c r="X28" s="45">
        <f t="shared" si="82"/>
        <v>-64.646600000000007</v>
      </c>
      <c r="Y28" s="45">
        <f t="shared" si="82"/>
        <v>-79.690899999999999</v>
      </c>
      <c r="Z28" s="45">
        <f t="shared" si="82"/>
        <v>-98.2577</v>
      </c>
      <c r="AA28" s="46">
        <f t="shared" si="82"/>
        <v>-117.62139999999999</v>
      </c>
      <c r="AC28" s="150" t="s">
        <v>216</v>
      </c>
      <c r="AD28" s="151">
        <f>MAX(T32:AA32)</f>
        <v>1</v>
      </c>
      <c r="AE28" s="152" t="s">
        <v>213</v>
      </c>
      <c r="AF28" s="151">
        <f>IF($AH$28=AA31,AA6,IF($AH$28=Z31,Z6,IF($AH$28=Y31,Y6,IF($AH$28=X31,X6,IF($AH$28=W31,W6,IF($AH$28=V31,V6,IF($AH$28=U31,U6,IF($AH$28=T31,T6))))))))</f>
        <v>10</v>
      </c>
      <c r="AG28" s="153" t="s">
        <v>219</v>
      </c>
      <c r="AH28" s="7">
        <f>MAX(T31:AA31)</f>
        <v>0.64</v>
      </c>
      <c r="AI28" s="352">
        <f>MAX(T9:AA9)</f>
        <v>5.11E-2</v>
      </c>
      <c r="AK28" s="69" t="s">
        <v>263</v>
      </c>
      <c r="AL28" s="62">
        <f>ROUND(AL25*AL22*'환기량 산정'!C1432*10^-6*1.554*1000,4)</f>
        <v>9.3399999999999997E-2</v>
      </c>
      <c r="AM28" s="63">
        <f>ROUND(AM25*AM22*'환기량 산정'!D1432*10^-6*1.554*1000,4)</f>
        <v>6.2300000000000001E-2</v>
      </c>
      <c r="AN28" s="63">
        <f>ROUND(AN25*AN22*'환기량 산정'!E1432*10^-6*1.554*1000,4)</f>
        <v>6.2E-2</v>
      </c>
      <c r="AO28" s="63">
        <f>ROUND(AO25*AO22*'환기량 산정'!F1432*10^-6*1.554*1000,4)</f>
        <v>6.2300000000000001E-2</v>
      </c>
      <c r="AP28" s="63">
        <f>ROUND(AP25*AP22*'환기량 산정'!G1432*10^-6*1.554*1000,4)</f>
        <v>3.1E-2</v>
      </c>
      <c r="AQ28" s="63">
        <f>ROUND(AQ25*AQ22*'환기량 산정'!H1432*10^-6*1.554*1000,4)</f>
        <v>3.09E-2</v>
      </c>
      <c r="AR28" s="63">
        <f>ROUND(AR25*AR22*'환기량 산정'!I1432*10^-6*1.554*1000,4)</f>
        <v>3.1300000000000001E-2</v>
      </c>
      <c r="AS28" s="64">
        <f>ROUND(AS25*AS22*'환기량 산정'!J1432*10^-6*1.554*1000,4)</f>
        <v>3.1399999999999997E-2</v>
      </c>
      <c r="AT28" s="36" t="s">
        <v>157</v>
      </c>
      <c r="AU28" s="334">
        <f>IF('환기량 산정'!$K$1509=1,AU24+AU25-AU26,AU24+AU26-AU25)</f>
        <v>33.238099999999996</v>
      </c>
      <c r="AV28" s="335">
        <f>IF('환기량 산정'!$K$1509=1,AV24+AV25-AV26,AV24+AV26-AV25)</f>
        <v>24.664099999999998</v>
      </c>
      <c r="AW28" s="335">
        <f>IF('환기량 산정'!$K$1509=1,AW24+AW25-AW26,AW24+AW26-AW25)</f>
        <v>9.7607999999999961</v>
      </c>
      <c r="AX28" s="335">
        <f>IF('환기량 산정'!$K$1509=1,AX24+AX25-AX26,AX24+AX26-AX25)</f>
        <v>-6.3198000000000008</v>
      </c>
      <c r="AY28" s="335">
        <f>IF('환기량 산정'!$K$1509=1,AY24+AY25-AY26,AY24+AY26-AY25)</f>
        <v>-23.780700000000003</v>
      </c>
      <c r="AZ28" s="335">
        <f>IF('환기량 산정'!$K$1509=1,AZ24+AZ25-AZ26,AZ24+AZ26-AZ25)</f>
        <v>-38.827000000000005</v>
      </c>
      <c r="BA28" s="335">
        <f>IF('환기량 산정'!$K$1509=1,BA24+BA25-BA26,BA24+BA26-BA25)</f>
        <v>-56.599499999999999</v>
      </c>
      <c r="BB28" s="344">
        <f>IF('환기량 산정'!$K$1509=1,BB24+BB25-BB26,BB24+BB26-BB25)</f>
        <v>-75.21350000000001</v>
      </c>
      <c r="BC28" s="36" t="s">
        <v>157</v>
      </c>
      <c r="BD28" s="334">
        <f>IF('환기량 산정'!$K$1509=1,BD24+BD25-BD26,BD24+BD26-BD25)</f>
        <v>22.596899999999998</v>
      </c>
      <c r="BE28" s="335">
        <f>IF('환기량 산정'!$K$1509=1,BE24+BE25-BE26,BE24+BE26-BE25)</f>
        <v>10.617699999999999</v>
      </c>
      <c r="BF28" s="335">
        <f>IF('환기량 산정'!$K$1509=1,BF24+BF25-BF26,BF24+BF26-BF25)</f>
        <v>-6.1641000000000012</v>
      </c>
      <c r="BG28" s="335">
        <f>IF('환기량 산정'!$K$1509=1,BG24+BG25-BG26,BG24+BG26-BG25)</f>
        <v>-23.097400000000004</v>
      </c>
      <c r="BH28" s="335">
        <f>IF('환기량 산정'!$K$1509=1,BH24+BH25-BH26,BH24+BH26-BH25)</f>
        <v>-41.186999999999998</v>
      </c>
      <c r="BI28" s="335">
        <f>IF('환기량 산정'!$K$1509=1,BI24+BI25-BI26,BI24+BI26-BI25)</f>
        <v>-56.326999999999998</v>
      </c>
      <c r="BJ28" s="335">
        <f>IF('환기량 산정'!$K$1509=1,BJ24+BJ25-BJ26,BJ24+BJ26-BJ25)</f>
        <v>-74.433800000000005</v>
      </c>
      <c r="BK28" s="344">
        <f>IF('환기량 산정'!$K$1509=1,BK24+BK25-BK26,BK24+BK26-BK25)</f>
        <v>-93.352900000000005</v>
      </c>
    </row>
    <row r="29" spans="1:63">
      <c r="A29" s="36" t="s">
        <v>191</v>
      </c>
      <c r="B29" s="182">
        <f>'환기용량 산정(제트팬식)'!B28</f>
        <v>0.95</v>
      </c>
      <c r="C29" s="47">
        <f t="shared" ref="C29:I29" si="83">B29</f>
        <v>0.95</v>
      </c>
      <c r="D29" s="47">
        <f t="shared" si="83"/>
        <v>0.95</v>
      </c>
      <c r="E29" s="47">
        <f t="shared" si="83"/>
        <v>0.95</v>
      </c>
      <c r="F29" s="47">
        <f t="shared" si="83"/>
        <v>0.95</v>
      </c>
      <c r="G29" s="47">
        <f t="shared" si="83"/>
        <v>0.95</v>
      </c>
      <c r="H29" s="140">
        <f t="shared" si="83"/>
        <v>0.95</v>
      </c>
      <c r="I29" s="48">
        <f t="shared" si="83"/>
        <v>0.95</v>
      </c>
      <c r="J29" s="36" t="s">
        <v>191</v>
      </c>
      <c r="K29" s="190">
        <f>B29</f>
        <v>0.95</v>
      </c>
      <c r="L29" s="47">
        <f t="shared" ref="L29:R29" si="84">K29</f>
        <v>0.95</v>
      </c>
      <c r="M29" s="47">
        <f t="shared" si="84"/>
        <v>0.95</v>
      </c>
      <c r="N29" s="47">
        <f t="shared" si="84"/>
        <v>0.95</v>
      </c>
      <c r="O29" s="47">
        <f t="shared" si="84"/>
        <v>0.95</v>
      </c>
      <c r="P29" s="47">
        <f t="shared" si="84"/>
        <v>0.95</v>
      </c>
      <c r="Q29" s="47">
        <f t="shared" si="84"/>
        <v>0.95</v>
      </c>
      <c r="R29" s="48">
        <f t="shared" si="84"/>
        <v>0.95</v>
      </c>
      <c r="S29" s="181" t="s">
        <v>191</v>
      </c>
      <c r="T29" s="196">
        <f>B29</f>
        <v>0.95</v>
      </c>
      <c r="U29" s="47">
        <f t="shared" ref="U29:AA29" si="85">T29</f>
        <v>0.95</v>
      </c>
      <c r="V29" s="47">
        <f t="shared" si="85"/>
        <v>0.95</v>
      </c>
      <c r="W29" s="47">
        <f t="shared" si="85"/>
        <v>0.95</v>
      </c>
      <c r="X29" s="47">
        <f t="shared" si="85"/>
        <v>0.95</v>
      </c>
      <c r="Y29" s="47">
        <f t="shared" si="85"/>
        <v>0.95</v>
      </c>
      <c r="Z29" s="47">
        <f t="shared" si="85"/>
        <v>0.95</v>
      </c>
      <c r="AA29" s="48">
        <f t="shared" si="85"/>
        <v>0.95</v>
      </c>
      <c r="AC29" s="150" t="s">
        <v>422</v>
      </c>
      <c r="AD29" s="351">
        <f>MAX(AU32:BB32)</f>
        <v>3</v>
      </c>
      <c r="AE29" s="152" t="s">
        <v>213</v>
      </c>
      <c r="AF29" s="151">
        <f>IF($AH$29=BB31,BB6,IF($AH$29=BA31,BA6,IF($AH$29=AZ31,AZ6,IF($AH$29=AY31,AY6,IF($AH$29=AX31,AX6,IF($AH$29=AW31,AW6,IF($AH$29=AV31,AV6,IF($AH$29=AU31,AU6))))))))</f>
        <v>10</v>
      </c>
      <c r="AG29" s="153" t="s">
        <v>219</v>
      </c>
      <c r="AH29" s="7">
        <f>MAX(AU31:BB31)</f>
        <v>2.5099999999999998</v>
      </c>
      <c r="AI29" s="353">
        <f>AU9</f>
        <v>2.335</v>
      </c>
      <c r="AJ29" s="7"/>
      <c r="AK29" s="69" t="s">
        <v>264</v>
      </c>
      <c r="AL29" s="176">
        <f>'환기량 산정'!B1511</f>
        <v>6</v>
      </c>
      <c r="AM29" s="177">
        <f>'환기량 산정'!C1511</f>
        <v>9</v>
      </c>
      <c r="AN29" s="177">
        <f>'환기량 산정'!D1511</f>
        <v>9</v>
      </c>
      <c r="AO29" s="177">
        <f>'환기량 산정'!E1511</f>
        <v>10</v>
      </c>
      <c r="AP29" s="177">
        <f>'환기량 산정'!F1511</f>
        <v>14</v>
      </c>
      <c r="AQ29" s="177">
        <f>'환기량 산정'!G1511</f>
        <v>14</v>
      </c>
      <c r="AR29" s="177">
        <f>'환기량 산정'!H1511</f>
        <v>14</v>
      </c>
      <c r="AS29" s="178">
        <f>'환기량 산정'!I1511</f>
        <v>14</v>
      </c>
      <c r="AT29" s="36" t="s">
        <v>191</v>
      </c>
      <c r="AU29" s="336">
        <f t="shared" ref="AU29:BB29" si="86">B29</f>
        <v>0.95</v>
      </c>
      <c r="AV29" s="337">
        <f t="shared" si="86"/>
        <v>0.95</v>
      </c>
      <c r="AW29" s="337">
        <f t="shared" si="86"/>
        <v>0.95</v>
      </c>
      <c r="AX29" s="337">
        <f t="shared" si="86"/>
        <v>0.95</v>
      </c>
      <c r="AY29" s="337">
        <f t="shared" si="86"/>
        <v>0.95</v>
      </c>
      <c r="AZ29" s="337">
        <f t="shared" si="86"/>
        <v>0.95</v>
      </c>
      <c r="BA29" s="337">
        <f t="shared" si="86"/>
        <v>0.95</v>
      </c>
      <c r="BB29" s="345">
        <f t="shared" si="86"/>
        <v>0.95</v>
      </c>
      <c r="BC29" s="36" t="s">
        <v>191</v>
      </c>
      <c r="BD29" s="336">
        <f t="shared" ref="BD29:BK29" si="87">K29</f>
        <v>0.95</v>
      </c>
      <c r="BE29" s="337">
        <f t="shared" si="87"/>
        <v>0.95</v>
      </c>
      <c r="BF29" s="337">
        <f t="shared" si="87"/>
        <v>0.95</v>
      </c>
      <c r="BG29" s="337">
        <f t="shared" si="87"/>
        <v>0.95</v>
      </c>
      <c r="BH29" s="337">
        <f t="shared" si="87"/>
        <v>0.95</v>
      </c>
      <c r="BI29" s="337">
        <f t="shared" si="87"/>
        <v>0.95</v>
      </c>
      <c r="BJ29" s="337">
        <f t="shared" si="87"/>
        <v>0.95</v>
      </c>
      <c r="BK29" s="345">
        <f t="shared" si="87"/>
        <v>0.95</v>
      </c>
    </row>
    <row r="30" spans="1:63" ht="15.75">
      <c r="A30" s="36" t="s">
        <v>342</v>
      </c>
      <c r="B30" s="44">
        <f>ROUND(B23*B14*B21^2*B20/B12*(1-B9/B21)*B29,4)</f>
        <v>14.3201</v>
      </c>
      <c r="C30" s="38">
        <f t="shared" ref="C30:I30" si="88">ROUND(C23*C14*C21^2*C20/C12*(1-C9/C21)*C29,4)</f>
        <v>14.2956</v>
      </c>
      <c r="D30" s="38">
        <f t="shared" si="88"/>
        <v>14.2956</v>
      </c>
      <c r="E30" s="38">
        <f t="shared" si="88"/>
        <v>14.2875</v>
      </c>
      <c r="F30" s="38">
        <f t="shared" si="88"/>
        <v>14.254799999999999</v>
      </c>
      <c r="G30" s="38">
        <f t="shared" si="88"/>
        <v>14.254799999999999</v>
      </c>
      <c r="H30" s="38">
        <f t="shared" si="88"/>
        <v>14.254799999999999</v>
      </c>
      <c r="I30" s="39">
        <f t="shared" si="88"/>
        <v>14.254799999999999</v>
      </c>
      <c r="J30" s="36" t="s">
        <v>342</v>
      </c>
      <c r="K30" s="62">
        <f>ROUND(K23*K14*K21^2*K20/K12*(1-K9/K21)*K29,4)</f>
        <v>14.246600000000001</v>
      </c>
      <c r="L30" s="63">
        <f t="shared" ref="L30:R30" si="89">ROUND(L23*L14*L21^2*L20/L12*(1-L9/L21)*L29,4)</f>
        <v>14.2629</v>
      </c>
      <c r="M30" s="63">
        <f t="shared" si="89"/>
        <v>14.2956</v>
      </c>
      <c r="N30" s="63">
        <f t="shared" si="89"/>
        <v>14.303699999999999</v>
      </c>
      <c r="O30" s="63">
        <f t="shared" si="89"/>
        <v>14.3119</v>
      </c>
      <c r="P30" s="63">
        <f t="shared" si="89"/>
        <v>14.3201</v>
      </c>
      <c r="Q30" s="63">
        <f t="shared" si="89"/>
        <v>14.3119</v>
      </c>
      <c r="R30" s="64">
        <f t="shared" si="89"/>
        <v>14.3119</v>
      </c>
      <c r="S30" s="181" t="s">
        <v>342</v>
      </c>
      <c r="T30" s="44">
        <f>ROUND(T23*T14*T21^2*T20/T12*(1-T9/T21)*T29,4)</f>
        <v>14.3446</v>
      </c>
      <c r="U30" s="38">
        <f t="shared" ref="U30:AA30" si="90">ROUND(U23*U14*U21^2*U20/U12*(1-U9/U21)*U29,4)</f>
        <v>14.3527</v>
      </c>
      <c r="V30" s="38">
        <f t="shared" si="90"/>
        <v>14.3527</v>
      </c>
      <c r="W30" s="38">
        <f t="shared" si="90"/>
        <v>14.3527</v>
      </c>
      <c r="X30" s="38">
        <f t="shared" si="90"/>
        <v>14.360900000000001</v>
      </c>
      <c r="Y30" s="38">
        <f t="shared" si="90"/>
        <v>14.360900000000001</v>
      </c>
      <c r="Z30" s="38">
        <f t="shared" si="90"/>
        <v>14.360900000000001</v>
      </c>
      <c r="AA30" s="39">
        <f t="shared" si="90"/>
        <v>14.360900000000001</v>
      </c>
      <c r="AB30" s="7"/>
      <c r="AC30" s="150" t="s">
        <v>217</v>
      </c>
      <c r="AD30" s="151">
        <f>MAX(AC20:AJ20)</f>
        <v>9</v>
      </c>
      <c r="AE30" s="152" t="s">
        <v>213</v>
      </c>
      <c r="AF30" s="151">
        <f>IF($AH$30=AJ18,AJ6,IF($AH$30=AI18,AI6,IF($AH$30=AH18,AH6,IF($AH$30=AG18,AG6,IF($AH$30=AF18,AF6,IF($AH$30=AE18,AE6,IF($AH$30=AD18,AD6,IF($AH$30=AC18,AC6))))))))</f>
        <v>80</v>
      </c>
      <c r="AG30" s="153" t="s">
        <v>219</v>
      </c>
      <c r="AH30" s="7">
        <f>MAX(AC18:AJ18)</f>
        <v>6.29</v>
      </c>
      <c r="AI30" s="7"/>
      <c r="AJ30" s="7"/>
      <c r="AK30" s="69" t="s">
        <v>255</v>
      </c>
      <c r="AL30" s="176">
        <f>'환기량 산정'!B1513</f>
        <v>15</v>
      </c>
      <c r="AM30" s="177">
        <f>'환기량 산정'!C1513</f>
        <v>13</v>
      </c>
      <c r="AN30" s="177">
        <f>'환기량 산정'!D1513</f>
        <v>9</v>
      </c>
      <c r="AO30" s="177">
        <f>'환기량 산정'!E1513</f>
        <v>8</v>
      </c>
      <c r="AP30" s="177">
        <f>'환기량 산정'!F1513</f>
        <v>7</v>
      </c>
      <c r="AQ30" s="177">
        <f>'환기량 산정'!G1513</f>
        <v>6</v>
      </c>
      <c r="AR30" s="177">
        <f>'환기량 산정'!H1513</f>
        <v>7</v>
      </c>
      <c r="AS30" s="178">
        <f>'환기량 산정'!I1513</f>
        <v>7</v>
      </c>
      <c r="AT30" s="36" t="s">
        <v>342</v>
      </c>
      <c r="AU30" s="327">
        <f t="shared" ref="AU30:BB30" si="91">ROUND(AU23*AU14*AU21^2*AU20/AU12*(1-AU9/AU21)*AU29,4)</f>
        <v>13.2507</v>
      </c>
      <c r="AV30" s="332">
        <f t="shared" si="91"/>
        <v>13.2507</v>
      </c>
      <c r="AW30" s="332">
        <f t="shared" si="91"/>
        <v>13.2507</v>
      </c>
      <c r="AX30" s="332">
        <f t="shared" si="91"/>
        <v>13.2507</v>
      </c>
      <c r="AY30" s="332">
        <f t="shared" si="91"/>
        <v>13.2507</v>
      </c>
      <c r="AZ30" s="332">
        <f t="shared" si="91"/>
        <v>13.2507</v>
      </c>
      <c r="BA30" s="332">
        <f t="shared" si="91"/>
        <v>13.2507</v>
      </c>
      <c r="BB30" s="338">
        <f t="shared" si="91"/>
        <v>13.2507</v>
      </c>
      <c r="BC30" s="36" t="s">
        <v>342</v>
      </c>
      <c r="BD30" s="327">
        <f t="shared" ref="BD30:BK30" si="92">ROUND(BD23*BD14*BD21^2*BD20/BD12*(1-BD9/BD21)*BD29,4)</f>
        <v>13.6425</v>
      </c>
      <c r="BE30" s="332">
        <f t="shared" si="92"/>
        <v>13.6425</v>
      </c>
      <c r="BF30" s="332">
        <f t="shared" si="92"/>
        <v>13.6425</v>
      </c>
      <c r="BG30" s="332">
        <f t="shared" si="92"/>
        <v>13.6425</v>
      </c>
      <c r="BH30" s="332">
        <f t="shared" si="92"/>
        <v>13.6425</v>
      </c>
      <c r="BI30" s="332">
        <f t="shared" si="92"/>
        <v>13.6425</v>
      </c>
      <c r="BJ30" s="332">
        <f t="shared" si="92"/>
        <v>13.6425</v>
      </c>
      <c r="BK30" s="338">
        <f t="shared" si="92"/>
        <v>13.6425</v>
      </c>
    </row>
    <row r="31" spans="1:63" ht="14.25" thickBot="1">
      <c r="A31" s="36" t="s">
        <v>172</v>
      </c>
      <c r="B31" s="44">
        <f t="shared" ref="B31:I31" si="93">ROUND(B28/B30,2)</f>
        <v>0.67</v>
      </c>
      <c r="C31" s="38">
        <f t="shared" si="93"/>
        <v>-0.48</v>
      </c>
      <c r="D31" s="38">
        <f t="shared" si="93"/>
        <v>-1.83</v>
      </c>
      <c r="E31" s="38">
        <f t="shared" si="93"/>
        <v>-3.07</v>
      </c>
      <c r="F31" s="38">
        <f t="shared" si="93"/>
        <v>-4.34</v>
      </c>
      <c r="G31" s="38">
        <f t="shared" si="93"/>
        <v>-5.4</v>
      </c>
      <c r="H31" s="63">
        <f t="shared" si="93"/>
        <v>-6.7</v>
      </c>
      <c r="I31" s="39">
        <f t="shared" si="93"/>
        <v>-8.0500000000000007</v>
      </c>
      <c r="J31" s="36" t="s">
        <v>172</v>
      </c>
      <c r="K31" s="62">
        <f t="shared" ref="K31:R31" si="94">ROUND(K28/K30,2)</f>
        <v>0.75</v>
      </c>
      <c r="L31" s="38">
        <f t="shared" si="94"/>
        <v>-0.43</v>
      </c>
      <c r="M31" s="38">
        <f t="shared" si="94"/>
        <v>-1.83</v>
      </c>
      <c r="N31" s="38">
        <f t="shared" si="94"/>
        <v>-3.1</v>
      </c>
      <c r="O31" s="38">
        <f t="shared" si="94"/>
        <v>-4.43</v>
      </c>
      <c r="P31" s="38">
        <f t="shared" si="94"/>
        <v>-5.49</v>
      </c>
      <c r="Q31" s="38">
        <f t="shared" si="94"/>
        <v>-6.78</v>
      </c>
      <c r="R31" s="39">
        <f t="shared" si="94"/>
        <v>-8.1300000000000008</v>
      </c>
      <c r="S31" s="181" t="s">
        <v>172</v>
      </c>
      <c r="T31" s="44">
        <f t="shared" ref="T31:AA31" si="95">ROUND(T28/T30,2)</f>
        <v>0.64</v>
      </c>
      <c r="U31" s="38">
        <f t="shared" si="95"/>
        <v>-0.56000000000000005</v>
      </c>
      <c r="V31" s="38">
        <f t="shared" si="95"/>
        <v>-1.92</v>
      </c>
      <c r="W31" s="38">
        <f t="shared" si="95"/>
        <v>-3.17</v>
      </c>
      <c r="X31" s="38">
        <f t="shared" si="95"/>
        <v>-4.5</v>
      </c>
      <c r="Y31" s="38">
        <f t="shared" si="95"/>
        <v>-5.55</v>
      </c>
      <c r="Z31" s="38">
        <f t="shared" si="95"/>
        <v>-6.84</v>
      </c>
      <c r="AA31" s="39">
        <f t="shared" si="95"/>
        <v>-8.19</v>
      </c>
      <c r="AB31" s="7"/>
      <c r="AC31" s="154" t="s">
        <v>410</v>
      </c>
      <c r="AD31" s="155">
        <f>MAX(AD26:AD30)</f>
        <v>9</v>
      </c>
      <c r="AE31" s="156" t="s">
        <v>213</v>
      </c>
      <c r="AF31" s="157" t="str">
        <f>IF(AD31=AD30,IF(AD31=MAX(AD26:AD29),"환기 방재","방재"),"환기")</f>
        <v>방재</v>
      </c>
      <c r="AG31" s="158"/>
      <c r="AH31" s="7"/>
      <c r="AI31" s="7"/>
      <c r="AJ31" s="7"/>
      <c r="AK31" s="69" t="s">
        <v>256</v>
      </c>
      <c r="AL31" s="62">
        <f>'환기량 산정'!B1515</f>
        <v>3</v>
      </c>
      <c r="AM31" s="63">
        <f>'환기량 산정'!C1515</f>
        <v>2</v>
      </c>
      <c r="AN31" s="63">
        <f>'환기량 산정'!D1515</f>
        <v>2</v>
      </c>
      <c r="AO31" s="63">
        <f>'환기량 산정'!E1515</f>
        <v>2</v>
      </c>
      <c r="AP31" s="63">
        <f>'환기량 산정'!F1515</f>
        <v>1</v>
      </c>
      <c r="AQ31" s="63">
        <f>'환기량 산정'!G1515</f>
        <v>1</v>
      </c>
      <c r="AR31" s="63">
        <f>'환기량 산정'!H1515</f>
        <v>1</v>
      </c>
      <c r="AS31" s="64">
        <f>'환기량 산정'!I1515</f>
        <v>1</v>
      </c>
      <c r="AT31" s="36" t="s">
        <v>172</v>
      </c>
      <c r="AU31" s="327">
        <f t="shared" ref="AU31:BB31" si="96">ROUND(AU28/AU30,2)</f>
        <v>2.5099999999999998</v>
      </c>
      <c r="AV31" s="328">
        <f t="shared" si="96"/>
        <v>1.86</v>
      </c>
      <c r="AW31" s="328">
        <f t="shared" si="96"/>
        <v>0.74</v>
      </c>
      <c r="AX31" s="328">
        <f t="shared" si="96"/>
        <v>-0.48</v>
      </c>
      <c r="AY31" s="328">
        <f t="shared" si="96"/>
        <v>-1.79</v>
      </c>
      <c r="AZ31" s="328">
        <f t="shared" si="96"/>
        <v>-2.93</v>
      </c>
      <c r="BA31" s="328">
        <f t="shared" si="96"/>
        <v>-4.2699999999999996</v>
      </c>
      <c r="BB31" s="329">
        <f t="shared" si="96"/>
        <v>-5.68</v>
      </c>
      <c r="BC31" s="36" t="s">
        <v>172</v>
      </c>
      <c r="BD31" s="327">
        <f t="shared" ref="BD31:BK31" si="97">ROUND(BD28/BD30,2)</f>
        <v>1.66</v>
      </c>
      <c r="BE31" s="328">
        <f t="shared" si="97"/>
        <v>0.78</v>
      </c>
      <c r="BF31" s="328">
        <f t="shared" si="97"/>
        <v>-0.45</v>
      </c>
      <c r="BG31" s="328">
        <f t="shared" si="97"/>
        <v>-1.69</v>
      </c>
      <c r="BH31" s="328">
        <f t="shared" si="97"/>
        <v>-3.02</v>
      </c>
      <c r="BI31" s="328">
        <f t="shared" si="97"/>
        <v>-4.13</v>
      </c>
      <c r="BJ31" s="328">
        <f t="shared" si="97"/>
        <v>-5.46</v>
      </c>
      <c r="BK31" s="329">
        <f t="shared" si="97"/>
        <v>-6.84</v>
      </c>
    </row>
    <row r="32" spans="1:63" ht="14.25" thickBot="1">
      <c r="A32" s="49" t="s">
        <v>173</v>
      </c>
      <c r="B32" s="185">
        <f t="shared" ref="B32:I32" si="98">IF(B31&lt;0,0,IF(B31&gt;0,ROUNDUP(B31,0)))</f>
        <v>1</v>
      </c>
      <c r="C32" s="51">
        <f t="shared" si="98"/>
        <v>0</v>
      </c>
      <c r="D32" s="51">
        <f t="shared" si="98"/>
        <v>0</v>
      </c>
      <c r="E32" s="51">
        <f t="shared" si="98"/>
        <v>0</v>
      </c>
      <c r="F32" s="51">
        <f t="shared" si="98"/>
        <v>0</v>
      </c>
      <c r="G32" s="51">
        <f t="shared" si="98"/>
        <v>0</v>
      </c>
      <c r="H32" s="51">
        <f t="shared" si="98"/>
        <v>0</v>
      </c>
      <c r="I32" s="52">
        <f t="shared" si="98"/>
        <v>0</v>
      </c>
      <c r="J32" s="49" t="s">
        <v>173</v>
      </c>
      <c r="K32" s="185">
        <f t="shared" ref="K32:R32" si="99">IF(K31&lt;0,0,IF(K31&gt;0,ROUNDUP(K31,0)))</f>
        <v>1</v>
      </c>
      <c r="L32" s="51">
        <f t="shared" si="99"/>
        <v>0</v>
      </c>
      <c r="M32" s="51">
        <f t="shared" si="99"/>
        <v>0</v>
      </c>
      <c r="N32" s="51">
        <f t="shared" si="99"/>
        <v>0</v>
      </c>
      <c r="O32" s="51">
        <f t="shared" si="99"/>
        <v>0</v>
      </c>
      <c r="P32" s="51">
        <f t="shared" si="99"/>
        <v>0</v>
      </c>
      <c r="Q32" s="51">
        <f t="shared" si="99"/>
        <v>0</v>
      </c>
      <c r="R32" s="52">
        <f t="shared" si="99"/>
        <v>0</v>
      </c>
      <c r="S32" s="194" t="s">
        <v>173</v>
      </c>
      <c r="T32" s="185">
        <f t="shared" ref="T32:AA32" si="100">IF(T31&lt;0,0,IF(T31&gt;0,ROUNDUP(T31,0)))</f>
        <v>1</v>
      </c>
      <c r="U32" s="51">
        <f t="shared" si="100"/>
        <v>0</v>
      </c>
      <c r="V32" s="51">
        <f t="shared" si="100"/>
        <v>0</v>
      </c>
      <c r="W32" s="51">
        <f t="shared" si="100"/>
        <v>0</v>
      </c>
      <c r="X32" s="51">
        <f t="shared" si="100"/>
        <v>0</v>
      </c>
      <c r="Y32" s="51">
        <f t="shared" si="100"/>
        <v>0</v>
      </c>
      <c r="Z32" s="51">
        <f t="shared" si="100"/>
        <v>0</v>
      </c>
      <c r="AA32" s="52">
        <f t="shared" si="100"/>
        <v>0</v>
      </c>
      <c r="AB32" s="7"/>
      <c r="AC32" s="136"/>
      <c r="AD32" s="7"/>
      <c r="AE32" s="7"/>
      <c r="AF32" s="7"/>
      <c r="AG32" s="7"/>
      <c r="AH32" s="7"/>
      <c r="AI32" s="7"/>
      <c r="AJ32" s="7"/>
      <c r="AK32" s="169" t="s">
        <v>257</v>
      </c>
      <c r="AL32" s="175">
        <f>MAX(AL29:AL31)</f>
        <v>15</v>
      </c>
      <c r="AM32" s="162">
        <f t="shared" ref="AM32:AS32" si="101">MAX(AM29:AM31)</f>
        <v>13</v>
      </c>
      <c r="AN32" s="162">
        <f t="shared" si="101"/>
        <v>9</v>
      </c>
      <c r="AO32" s="162">
        <f t="shared" si="101"/>
        <v>10</v>
      </c>
      <c r="AP32" s="162">
        <f t="shared" si="101"/>
        <v>14</v>
      </c>
      <c r="AQ32" s="162">
        <f t="shared" si="101"/>
        <v>14</v>
      </c>
      <c r="AR32" s="162">
        <f t="shared" si="101"/>
        <v>14</v>
      </c>
      <c r="AS32" s="163">
        <f t="shared" si="101"/>
        <v>14</v>
      </c>
      <c r="AT32" s="49" t="s">
        <v>173</v>
      </c>
      <c r="AU32" s="339">
        <f t="shared" ref="AU32:BB32" si="102">IF(AU31&lt;0,0,IF(AU31&gt;0,ROUNDUP(AU31,0)))</f>
        <v>3</v>
      </c>
      <c r="AV32" s="340">
        <f t="shared" si="102"/>
        <v>2</v>
      </c>
      <c r="AW32" s="340">
        <f t="shared" si="102"/>
        <v>1</v>
      </c>
      <c r="AX32" s="340">
        <f t="shared" si="102"/>
        <v>0</v>
      </c>
      <c r="AY32" s="340">
        <f t="shared" si="102"/>
        <v>0</v>
      </c>
      <c r="AZ32" s="340">
        <f t="shared" si="102"/>
        <v>0</v>
      </c>
      <c r="BA32" s="340">
        <f t="shared" si="102"/>
        <v>0</v>
      </c>
      <c r="BB32" s="341">
        <f t="shared" si="102"/>
        <v>0</v>
      </c>
      <c r="BC32" s="49" t="s">
        <v>173</v>
      </c>
      <c r="BD32" s="339">
        <f t="shared" ref="BD32:BK32" si="103">IF(BD31&lt;0,0,IF(BD31&gt;0,ROUNDUP(BD31,0)))</f>
        <v>2</v>
      </c>
      <c r="BE32" s="340">
        <f t="shared" si="103"/>
        <v>1</v>
      </c>
      <c r="BF32" s="340">
        <f t="shared" si="103"/>
        <v>0</v>
      </c>
      <c r="BG32" s="340">
        <f t="shared" si="103"/>
        <v>0</v>
      </c>
      <c r="BH32" s="340">
        <f t="shared" si="103"/>
        <v>0</v>
      </c>
      <c r="BI32" s="340">
        <f t="shared" si="103"/>
        <v>0</v>
      </c>
      <c r="BJ32" s="340">
        <f t="shared" si="103"/>
        <v>0</v>
      </c>
      <c r="BK32" s="341">
        <f t="shared" si="103"/>
        <v>0</v>
      </c>
    </row>
    <row r="33" spans="1:63" ht="14.25" thickBo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255"/>
      <c r="S33" s="7"/>
      <c r="T33" s="7"/>
      <c r="U33" s="7"/>
      <c r="V33" s="7"/>
      <c r="W33" s="7"/>
      <c r="X33" s="7"/>
      <c r="Y33" s="7"/>
      <c r="Z33" s="7"/>
      <c r="AA33" s="7"/>
      <c r="AB33" s="7"/>
      <c r="AC33" s="144" t="s">
        <v>218</v>
      </c>
      <c r="AD33" s="145" t="str">
        <f>IF(AF33&gt;10,"불가",IF(ROUNDDOWN(('환기량 산정'!C17/F3-1),0)*AC22&gt;=AD31,"가능","불가"))</f>
        <v>가능</v>
      </c>
      <c r="AE33" s="131" t="s">
        <v>222</v>
      </c>
      <c r="AF33" s="354">
        <f>ROUND(MAX(AI26:AI29),2)</f>
        <v>2.34</v>
      </c>
      <c r="AG33" s="160" t="str">
        <f>CONCATENATE(," m/s")</f>
        <v xml:space="preserve"> m/s</v>
      </c>
      <c r="AH33" s="7"/>
      <c r="AI33" s="7"/>
      <c r="AJ33" s="7"/>
      <c r="AL33" s="197" t="str">
        <f>IF(AL14&lt;0,IF(AL17&gt;2.78,"OK","AL13 수식 양수로 변경하세요"),IF(AL17&lt;=2.78,"OK","AL13 수식을 음수로 변경하세요"))</f>
        <v>AL13 수식 양수로 변경하세요</v>
      </c>
      <c r="AM33" s="197"/>
      <c r="AT33" s="7"/>
      <c r="AU33" s="7"/>
      <c r="AV33" s="7"/>
      <c r="AW33" s="7"/>
      <c r="AX33" s="7"/>
      <c r="AY33" s="7"/>
      <c r="AZ33" s="7"/>
      <c r="BA33" s="7"/>
      <c r="BB33" s="255"/>
      <c r="BC33" s="7"/>
      <c r="BD33" s="7"/>
      <c r="BE33" s="7"/>
      <c r="BF33" s="7"/>
      <c r="BG33" s="7"/>
      <c r="BH33" s="7"/>
      <c r="BI33" s="7"/>
      <c r="BJ33" s="7"/>
      <c r="BK33" s="255"/>
    </row>
    <row r="34" spans="1:6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255"/>
      <c r="S34" s="7"/>
      <c r="T34" s="7"/>
      <c r="U34" s="7"/>
      <c r="V34" s="7"/>
      <c r="W34" s="7"/>
      <c r="X34" s="7"/>
      <c r="Y34" s="7"/>
      <c r="Z34" s="7"/>
      <c r="AA34" s="7"/>
      <c r="AB34" s="7"/>
      <c r="AH34" s="7"/>
      <c r="AI34" s="7"/>
      <c r="AJ34" s="7"/>
      <c r="AT34" s="7"/>
      <c r="AU34" s="7"/>
      <c r="AV34" s="7"/>
      <c r="AW34" s="7"/>
      <c r="AX34" s="7"/>
      <c r="AY34" s="7"/>
      <c r="AZ34" s="7"/>
      <c r="BA34" s="7"/>
      <c r="BB34" s="255"/>
      <c r="BC34" s="7"/>
      <c r="BD34" s="7"/>
      <c r="BE34" s="7"/>
      <c r="BF34" s="7"/>
      <c r="BG34" s="7"/>
      <c r="BH34" s="7"/>
      <c r="BI34" s="7"/>
      <c r="BJ34" s="7"/>
      <c r="BK34" s="255"/>
    </row>
    <row r="35" spans="1:63">
      <c r="R35" s="72"/>
      <c r="BB35" s="72"/>
      <c r="BK35" s="72"/>
    </row>
    <row r="36" spans="1:63">
      <c r="R36" s="72"/>
      <c r="BB36" s="72"/>
      <c r="BK36" s="72"/>
    </row>
    <row r="37" spans="1:63">
      <c r="R37" s="72"/>
      <c r="BB37" s="72"/>
      <c r="BK37" s="72"/>
    </row>
    <row r="38" spans="1:63" ht="14.25" thickBot="1">
      <c r="A38" s="4" t="s">
        <v>223</v>
      </c>
      <c r="B38" s="10" t="s">
        <v>160</v>
      </c>
      <c r="C38" s="14">
        <f>C3</f>
        <v>1030</v>
      </c>
      <c r="E38" s="12" t="s">
        <v>177</v>
      </c>
      <c r="F38" s="13">
        <f>F3</f>
        <v>140</v>
      </c>
      <c r="G38" s="3" t="s">
        <v>178</v>
      </c>
      <c r="H38" s="7"/>
      <c r="I38" s="7"/>
      <c r="J38" s="4" t="s">
        <v>174</v>
      </c>
      <c r="K38" s="10" t="s">
        <v>175</v>
      </c>
      <c r="L38" s="14">
        <f>L3</f>
        <v>1030</v>
      </c>
      <c r="M38" s="9"/>
      <c r="N38" s="9"/>
      <c r="O38" s="9"/>
      <c r="P38" s="9"/>
      <c r="Q38" s="7"/>
      <c r="R38" s="255"/>
      <c r="S38" s="4" t="s">
        <v>166</v>
      </c>
      <c r="T38" s="10" t="s">
        <v>175</v>
      </c>
      <c r="U38" s="14">
        <f>C3</f>
        <v>1030</v>
      </c>
      <c r="V38" s="9"/>
      <c r="W38" s="9"/>
      <c r="X38" s="9"/>
      <c r="Y38" s="9"/>
      <c r="Z38" s="7"/>
      <c r="AA38" s="7"/>
      <c r="AB38" s="4"/>
      <c r="AC38" s="54" t="s">
        <v>10</v>
      </c>
      <c r="AD38" s="5">
        <f>$B$1</f>
        <v>2222</v>
      </c>
      <c r="AE38" s="6" t="s">
        <v>148</v>
      </c>
      <c r="AF38" s="8" t="s">
        <v>211</v>
      </c>
      <c r="AG38" s="7"/>
      <c r="AH38" s="7"/>
      <c r="AI38" s="7"/>
      <c r="AJ38" s="7"/>
      <c r="AK38" s="4" t="s">
        <v>227</v>
      </c>
      <c r="AL38" s="10"/>
      <c r="AM38" s="174"/>
      <c r="AO38" s="12"/>
      <c r="AP38" s="13"/>
      <c r="AS38" s="9"/>
      <c r="AT38" s="4" t="s">
        <v>424</v>
      </c>
      <c r="AU38" s="10" t="s">
        <v>175</v>
      </c>
      <c r="AV38" s="14">
        <f>AV3</f>
        <v>1030</v>
      </c>
      <c r="AW38" s="9"/>
      <c r="AX38" s="9"/>
      <c r="AY38" s="9"/>
      <c r="AZ38" s="9"/>
      <c r="BA38" s="7"/>
      <c r="BB38" s="255"/>
      <c r="BC38" s="4" t="s">
        <v>424</v>
      </c>
      <c r="BD38" s="10" t="s">
        <v>175</v>
      </c>
      <c r="BE38" s="14">
        <f>BE3</f>
        <v>1030</v>
      </c>
      <c r="BF38" s="9"/>
      <c r="BG38" s="9"/>
      <c r="BH38" s="9"/>
      <c r="BI38" s="9"/>
      <c r="BJ38" s="7"/>
      <c r="BK38" s="255"/>
    </row>
    <row r="39" spans="1:63">
      <c r="A39" s="1523" t="s">
        <v>167</v>
      </c>
      <c r="B39" s="16"/>
      <c r="C39" s="17"/>
      <c r="D39" s="18" t="str">
        <f>'환기량 산정'!G6</f>
        <v>진주</v>
      </c>
      <c r="E39" s="19" t="str">
        <f>'환기량 산정'!I6</f>
        <v>⇒</v>
      </c>
      <c r="F39" s="18" t="str">
        <f>'환기량 산정'!J6</f>
        <v>마산</v>
      </c>
      <c r="G39" s="19" t="s">
        <v>9</v>
      </c>
      <c r="H39" s="17"/>
      <c r="I39" s="20"/>
      <c r="J39" s="1211" t="s">
        <v>167</v>
      </c>
      <c r="K39" s="16"/>
      <c r="L39" s="17"/>
      <c r="M39" s="18" t="str">
        <f>D39</f>
        <v>진주</v>
      </c>
      <c r="N39" s="19" t="str">
        <f>E39</f>
        <v>⇒</v>
      </c>
      <c r="O39" s="18" t="str">
        <f>F39</f>
        <v>마산</v>
      </c>
      <c r="P39" s="19" t="s">
        <v>9</v>
      </c>
      <c r="Q39" s="17"/>
      <c r="R39" s="20"/>
      <c r="S39" s="191" t="s">
        <v>167</v>
      </c>
      <c r="T39" s="16"/>
      <c r="U39" s="17"/>
      <c r="V39" s="18" t="str">
        <f>M39</f>
        <v>진주</v>
      </c>
      <c r="W39" s="19" t="str">
        <f>N39</f>
        <v>⇒</v>
      </c>
      <c r="X39" s="18" t="str">
        <f>O39</f>
        <v>마산</v>
      </c>
      <c r="Y39" s="19" t="s">
        <v>9</v>
      </c>
      <c r="Z39" s="17"/>
      <c r="AA39" s="20"/>
      <c r="AB39" s="191" t="s">
        <v>167</v>
      </c>
      <c r="AC39" s="55"/>
      <c r="AD39" s="19"/>
      <c r="AE39" s="18" t="str">
        <f>D39</f>
        <v>진주</v>
      </c>
      <c r="AF39" s="19" t="str">
        <f>E39</f>
        <v>⇒</v>
      </c>
      <c r="AG39" s="18" t="str">
        <f>F39</f>
        <v>마산</v>
      </c>
      <c r="AH39" s="19" t="str">
        <f>G39</f>
        <v>구 간</v>
      </c>
      <c r="AI39" s="19"/>
      <c r="AJ39" s="56"/>
      <c r="AK39" s="1523" t="s">
        <v>167</v>
      </c>
      <c r="AL39" s="16"/>
      <c r="AM39" s="17"/>
      <c r="AN39" s="18" t="str">
        <f>D39</f>
        <v>진주</v>
      </c>
      <c r="AO39" s="173" t="str">
        <f>E39</f>
        <v>⇒</v>
      </c>
      <c r="AP39" s="18" t="str">
        <f>F39</f>
        <v>마산</v>
      </c>
      <c r="AQ39" s="19" t="s">
        <v>9</v>
      </c>
      <c r="AR39" s="17"/>
      <c r="AS39" s="20"/>
      <c r="AT39" s="1211" t="s">
        <v>167</v>
      </c>
      <c r="AU39" s="16"/>
      <c r="AV39" s="17"/>
      <c r="AW39" s="18" t="str">
        <f>AN39</f>
        <v>진주</v>
      </c>
      <c r="AX39" s="19" t="str">
        <f>AO39</f>
        <v>⇒</v>
      </c>
      <c r="AY39" s="18" t="str">
        <f>AP39</f>
        <v>마산</v>
      </c>
      <c r="AZ39" s="19" t="s">
        <v>9</v>
      </c>
      <c r="BA39" s="17"/>
      <c r="BB39" s="20"/>
      <c r="BC39" s="1211" t="s">
        <v>167</v>
      </c>
      <c r="BD39" s="16"/>
      <c r="BE39" s="17"/>
      <c r="BF39" s="18" t="str">
        <f>AW39</f>
        <v>진주</v>
      </c>
      <c r="BG39" s="19" t="str">
        <f>AX39</f>
        <v>⇒</v>
      </c>
      <c r="BH39" s="18" t="str">
        <f>AY39</f>
        <v>마산</v>
      </c>
      <c r="BI39" s="19" t="s">
        <v>9</v>
      </c>
      <c r="BJ39" s="17"/>
      <c r="BK39" s="20"/>
    </row>
    <row r="40" spans="1:63">
      <c r="A40" s="1524"/>
      <c r="B40" s="21" t="s">
        <v>168</v>
      </c>
      <c r="C40" s="1213"/>
      <c r="D40" s="1213"/>
      <c r="E40" s="1215" t="s">
        <v>169</v>
      </c>
      <c r="F40" s="25"/>
      <c r="G40" s="1213"/>
      <c r="H40" s="28"/>
      <c r="I40" s="1214"/>
      <c r="J40" s="1212"/>
      <c r="K40" s="21" t="s">
        <v>168</v>
      </c>
      <c r="L40" s="1213"/>
      <c r="M40" s="23"/>
      <c r="N40" s="24" t="str">
        <f>N5</f>
        <v>일산화탄소 (CO)</v>
      </c>
      <c r="O40" s="25"/>
      <c r="P40" s="23"/>
      <c r="Q40" s="25"/>
      <c r="R40" s="26"/>
      <c r="S40" s="192"/>
      <c r="T40" s="21" t="s">
        <v>168</v>
      </c>
      <c r="U40" s="1213"/>
      <c r="V40" s="23"/>
      <c r="W40" s="24" t="str">
        <f>W5</f>
        <v>질소산화물 (NOx)</v>
      </c>
      <c r="Y40" s="23"/>
      <c r="Z40" s="25"/>
      <c r="AA40" s="26"/>
      <c r="AB40" s="192"/>
      <c r="AC40" s="1529" t="str">
        <f>AC5</f>
        <v>방재</v>
      </c>
      <c r="AD40" s="1530"/>
      <c r="AE40" s="1530"/>
      <c r="AF40" s="1530"/>
      <c r="AG40" s="1530"/>
      <c r="AH40" s="1530"/>
      <c r="AI40" s="1530"/>
      <c r="AJ40" s="1531"/>
      <c r="AK40" s="1524"/>
      <c r="AL40" s="21" t="s">
        <v>168</v>
      </c>
      <c r="AM40" s="1213"/>
      <c r="AN40" s="23"/>
      <c r="AO40" s="23"/>
      <c r="AP40" s="24"/>
      <c r="AQ40" s="23"/>
      <c r="AR40" s="25"/>
      <c r="AS40" s="26"/>
      <c r="AT40" s="1212"/>
      <c r="AU40" s="1526" t="s">
        <v>517</v>
      </c>
      <c r="AV40" s="1527"/>
      <c r="AW40" s="1527"/>
      <c r="AX40" s="1527"/>
      <c r="AY40" s="1527"/>
      <c r="AZ40" s="1527"/>
      <c r="BA40" s="1527"/>
      <c r="BB40" s="1528"/>
      <c r="BC40" s="1212"/>
      <c r="BD40" s="1526" t="str">
        <f>BD5</f>
        <v>최소풍속</v>
      </c>
      <c r="BE40" s="1527"/>
      <c r="BF40" s="1527"/>
      <c r="BG40" s="1527"/>
      <c r="BH40" s="1527"/>
      <c r="BI40" s="1527"/>
      <c r="BJ40" s="1527"/>
      <c r="BK40" s="1528"/>
    </row>
    <row r="41" spans="1:63">
      <c r="A41" s="30" t="s">
        <v>106</v>
      </c>
      <c r="B41" s="184">
        <v>10</v>
      </c>
      <c r="C41" s="34">
        <v>20</v>
      </c>
      <c r="D41" s="34">
        <v>30</v>
      </c>
      <c r="E41" s="34">
        <v>40</v>
      </c>
      <c r="F41" s="34">
        <v>50</v>
      </c>
      <c r="G41" s="34">
        <v>60</v>
      </c>
      <c r="H41" s="34">
        <v>70</v>
      </c>
      <c r="I41" s="35">
        <v>80</v>
      </c>
      <c r="J41" s="30" t="s">
        <v>106</v>
      </c>
      <c r="K41" s="186">
        <v>10</v>
      </c>
      <c r="L41" s="32">
        <v>20</v>
      </c>
      <c r="M41" s="32">
        <v>30</v>
      </c>
      <c r="N41" s="32">
        <v>40</v>
      </c>
      <c r="O41" s="32">
        <v>50</v>
      </c>
      <c r="P41" s="32">
        <v>60</v>
      </c>
      <c r="Q41" s="32">
        <v>70</v>
      </c>
      <c r="R41" s="33">
        <v>80</v>
      </c>
      <c r="S41" s="254" t="s">
        <v>106</v>
      </c>
      <c r="T41" s="184">
        <v>10</v>
      </c>
      <c r="U41" s="32">
        <v>20</v>
      </c>
      <c r="V41" s="32">
        <v>30</v>
      </c>
      <c r="W41" s="32">
        <v>40</v>
      </c>
      <c r="X41" s="32">
        <v>50</v>
      </c>
      <c r="Y41" s="32">
        <v>60</v>
      </c>
      <c r="Z41" s="32">
        <v>70</v>
      </c>
      <c r="AA41" s="33">
        <v>80</v>
      </c>
      <c r="AB41" s="193" t="s">
        <v>106</v>
      </c>
      <c r="AC41" s="58">
        <f t="shared" ref="AC41:AJ41" si="104">B$41</f>
        <v>10</v>
      </c>
      <c r="AD41" s="59">
        <f t="shared" si="104"/>
        <v>20</v>
      </c>
      <c r="AE41" s="59">
        <f t="shared" si="104"/>
        <v>30</v>
      </c>
      <c r="AF41" s="59">
        <f t="shared" si="104"/>
        <v>40</v>
      </c>
      <c r="AG41" s="59">
        <f t="shared" si="104"/>
        <v>50</v>
      </c>
      <c r="AH41" s="137">
        <f t="shared" si="104"/>
        <v>60</v>
      </c>
      <c r="AI41" s="59">
        <f t="shared" si="104"/>
        <v>70</v>
      </c>
      <c r="AJ41" s="60">
        <f t="shared" si="104"/>
        <v>80</v>
      </c>
      <c r="AK41" s="30" t="s">
        <v>106</v>
      </c>
      <c r="AL41" s="184">
        <v>10</v>
      </c>
      <c r="AM41" s="32">
        <v>20</v>
      </c>
      <c r="AN41" s="32">
        <v>30</v>
      </c>
      <c r="AO41" s="32">
        <v>40</v>
      </c>
      <c r="AP41" s="32">
        <v>50</v>
      </c>
      <c r="AQ41" s="32">
        <v>60</v>
      </c>
      <c r="AR41" s="32">
        <v>70</v>
      </c>
      <c r="AS41" s="33">
        <v>80</v>
      </c>
      <c r="AT41" s="30" t="s">
        <v>106</v>
      </c>
      <c r="AU41" s="324">
        <v>10</v>
      </c>
      <c r="AV41" s="325">
        <v>20</v>
      </c>
      <c r="AW41" s="325">
        <v>30</v>
      </c>
      <c r="AX41" s="325">
        <v>40</v>
      </c>
      <c r="AY41" s="325">
        <v>50</v>
      </c>
      <c r="AZ41" s="325">
        <v>60</v>
      </c>
      <c r="BA41" s="325">
        <v>70</v>
      </c>
      <c r="BB41" s="326">
        <v>80</v>
      </c>
      <c r="BC41" s="30" t="s">
        <v>106</v>
      </c>
      <c r="BD41" s="324">
        <v>10</v>
      </c>
      <c r="BE41" s="325">
        <v>20</v>
      </c>
      <c r="BF41" s="325">
        <v>30</v>
      </c>
      <c r="BG41" s="325">
        <v>40</v>
      </c>
      <c r="BH41" s="325">
        <v>50</v>
      </c>
      <c r="BI41" s="325">
        <v>60</v>
      </c>
      <c r="BJ41" s="325">
        <v>70</v>
      </c>
      <c r="BK41" s="326">
        <v>80</v>
      </c>
    </row>
    <row r="42" spans="1:63">
      <c r="A42" s="36" t="s">
        <v>107</v>
      </c>
      <c r="B42" s="44">
        <f t="shared" ref="B42:I42" si="105">ROUND(B41/3.6,2)</f>
        <v>2.78</v>
      </c>
      <c r="C42" s="40">
        <f t="shared" si="105"/>
        <v>5.56</v>
      </c>
      <c r="D42" s="40">
        <f t="shared" si="105"/>
        <v>8.33</v>
      </c>
      <c r="E42" s="40">
        <f t="shared" si="105"/>
        <v>11.11</v>
      </c>
      <c r="F42" s="40">
        <f t="shared" si="105"/>
        <v>13.89</v>
      </c>
      <c r="G42" s="139">
        <f t="shared" si="105"/>
        <v>16.670000000000002</v>
      </c>
      <c r="H42" s="40">
        <f t="shared" si="105"/>
        <v>19.440000000000001</v>
      </c>
      <c r="I42" s="41">
        <f t="shared" si="105"/>
        <v>22.22</v>
      </c>
      <c r="J42" s="36" t="s">
        <v>107</v>
      </c>
      <c r="K42" s="62">
        <f t="shared" ref="K42:R42" si="106">ROUND(K41/3.6,2)</f>
        <v>2.78</v>
      </c>
      <c r="L42" s="38">
        <f t="shared" si="106"/>
        <v>5.56</v>
      </c>
      <c r="M42" s="38">
        <f t="shared" si="106"/>
        <v>8.33</v>
      </c>
      <c r="N42" s="38">
        <f t="shared" si="106"/>
        <v>11.11</v>
      </c>
      <c r="O42" s="38">
        <f t="shared" si="106"/>
        <v>13.89</v>
      </c>
      <c r="P42" s="38">
        <f t="shared" si="106"/>
        <v>16.670000000000002</v>
      </c>
      <c r="Q42" s="38">
        <f t="shared" si="106"/>
        <v>19.440000000000001</v>
      </c>
      <c r="R42" s="39">
        <f t="shared" si="106"/>
        <v>22.22</v>
      </c>
      <c r="S42" s="181" t="s">
        <v>107</v>
      </c>
      <c r="T42" s="44">
        <f t="shared" ref="T42:AA42" si="107">ROUND(T41/3.6,2)</f>
        <v>2.78</v>
      </c>
      <c r="U42" s="38">
        <f t="shared" si="107"/>
        <v>5.56</v>
      </c>
      <c r="V42" s="38">
        <f t="shared" si="107"/>
        <v>8.33</v>
      </c>
      <c r="W42" s="38">
        <f t="shared" si="107"/>
        <v>11.11</v>
      </c>
      <c r="X42" s="38">
        <f t="shared" si="107"/>
        <v>13.89</v>
      </c>
      <c r="Y42" s="38">
        <f t="shared" si="107"/>
        <v>16.670000000000002</v>
      </c>
      <c r="Z42" s="38">
        <f t="shared" si="107"/>
        <v>19.440000000000001</v>
      </c>
      <c r="AA42" s="39">
        <f t="shared" si="107"/>
        <v>22.22</v>
      </c>
      <c r="AB42" s="181" t="s">
        <v>121</v>
      </c>
      <c r="AC42" s="893">
        <f>AC7</f>
        <v>2.25</v>
      </c>
      <c r="AD42" s="38">
        <f t="shared" ref="AD42:AJ42" si="108">AC42</f>
        <v>2.25</v>
      </c>
      <c r="AE42" s="38">
        <f t="shared" si="108"/>
        <v>2.25</v>
      </c>
      <c r="AF42" s="38">
        <f t="shared" si="108"/>
        <v>2.25</v>
      </c>
      <c r="AG42" s="38">
        <f t="shared" si="108"/>
        <v>2.25</v>
      </c>
      <c r="AH42" s="63">
        <f t="shared" si="108"/>
        <v>2.25</v>
      </c>
      <c r="AI42" s="38">
        <f t="shared" si="108"/>
        <v>2.25</v>
      </c>
      <c r="AJ42" s="39">
        <f t="shared" si="108"/>
        <v>2.25</v>
      </c>
      <c r="AK42" s="164" t="s">
        <v>246</v>
      </c>
      <c r="AL42" s="40">
        <f t="shared" ref="AL42:AS42" si="109">B67</f>
        <v>1</v>
      </c>
      <c r="AM42" s="40">
        <f t="shared" si="109"/>
        <v>0</v>
      </c>
      <c r="AN42" s="40">
        <f t="shared" si="109"/>
        <v>0</v>
      </c>
      <c r="AO42" s="40">
        <f t="shared" si="109"/>
        <v>0</v>
      </c>
      <c r="AP42" s="40">
        <f t="shared" si="109"/>
        <v>0</v>
      </c>
      <c r="AQ42" s="40">
        <f t="shared" si="109"/>
        <v>0</v>
      </c>
      <c r="AR42" s="139">
        <f t="shared" si="109"/>
        <v>0</v>
      </c>
      <c r="AS42" s="41">
        <f t="shared" si="109"/>
        <v>0</v>
      </c>
      <c r="AT42" s="36" t="s">
        <v>107</v>
      </c>
      <c r="AU42" s="327">
        <f t="shared" ref="AU42:BB42" si="110">ROUND(AU41/3.6,2)</f>
        <v>2.78</v>
      </c>
      <c r="AV42" s="328">
        <f t="shared" si="110"/>
        <v>5.56</v>
      </c>
      <c r="AW42" s="328">
        <f t="shared" si="110"/>
        <v>8.33</v>
      </c>
      <c r="AX42" s="328">
        <f t="shared" si="110"/>
        <v>11.11</v>
      </c>
      <c r="AY42" s="328">
        <f t="shared" si="110"/>
        <v>13.89</v>
      </c>
      <c r="AZ42" s="328">
        <f t="shared" si="110"/>
        <v>16.670000000000002</v>
      </c>
      <c r="BA42" s="328">
        <f t="shared" si="110"/>
        <v>19.440000000000001</v>
      </c>
      <c r="BB42" s="329">
        <f t="shared" si="110"/>
        <v>22.22</v>
      </c>
      <c r="BC42" s="36" t="s">
        <v>107</v>
      </c>
      <c r="BD42" s="327">
        <f t="shared" ref="BD42:BK42" si="111">ROUND(BD41/3.6,2)</f>
        <v>2.78</v>
      </c>
      <c r="BE42" s="328">
        <f t="shared" si="111"/>
        <v>5.56</v>
      </c>
      <c r="BF42" s="328">
        <f t="shared" si="111"/>
        <v>8.33</v>
      </c>
      <c r="BG42" s="328">
        <f t="shared" si="111"/>
        <v>11.11</v>
      </c>
      <c r="BH42" s="328">
        <f t="shared" si="111"/>
        <v>13.89</v>
      </c>
      <c r="BI42" s="328">
        <f t="shared" si="111"/>
        <v>16.670000000000002</v>
      </c>
      <c r="BJ42" s="328">
        <f t="shared" si="111"/>
        <v>19.440000000000001</v>
      </c>
      <c r="BK42" s="329">
        <f t="shared" si="111"/>
        <v>22.22</v>
      </c>
    </row>
    <row r="43" spans="1:63">
      <c r="A43" s="36" t="s">
        <v>108</v>
      </c>
      <c r="B43" s="180">
        <f>'환기량 산정'!B1528</f>
        <v>10</v>
      </c>
      <c r="C43" s="42">
        <f>'환기량 산정'!C1528</f>
        <v>16</v>
      </c>
      <c r="D43" s="42">
        <f>'환기량 산정'!D1528</f>
        <v>17</v>
      </c>
      <c r="E43" s="42">
        <f>'환기량 산정'!E1528</f>
        <v>18</v>
      </c>
      <c r="F43" s="42">
        <f>'환기량 산정'!F1528</f>
        <v>25</v>
      </c>
      <c r="G43" s="61">
        <f>'환기량 산정'!G1528</f>
        <v>25</v>
      </c>
      <c r="H43" s="42">
        <f>'환기량 산정'!H1528</f>
        <v>25</v>
      </c>
      <c r="I43" s="43">
        <f>'환기량 산정'!I1528</f>
        <v>26</v>
      </c>
      <c r="J43" s="36" t="s">
        <v>108</v>
      </c>
      <c r="K43" s="187">
        <f>'환기량 산정'!B1530</f>
        <v>29</v>
      </c>
      <c r="L43" s="42">
        <f>'환기량 산정'!C1530</f>
        <v>28</v>
      </c>
      <c r="M43" s="42">
        <f>'환기량 산정'!D1530</f>
        <v>21</v>
      </c>
      <c r="N43" s="42">
        <f>'환기량 산정'!E1530</f>
        <v>19</v>
      </c>
      <c r="O43" s="42">
        <f>'환기량 산정'!F1530</f>
        <v>18</v>
      </c>
      <c r="P43" s="42">
        <f>'환기량 산정'!G1530</f>
        <v>17</v>
      </c>
      <c r="Q43" s="42">
        <f>'환기량 산정'!H1530</f>
        <v>17</v>
      </c>
      <c r="R43" s="43">
        <f>'환기량 산정'!I1530</f>
        <v>19</v>
      </c>
      <c r="S43" s="181" t="s">
        <v>108</v>
      </c>
      <c r="T43" s="180">
        <f>'환기량 산정'!B1532</f>
        <v>5</v>
      </c>
      <c r="U43" s="42">
        <f>'환기량 산정'!C1532</f>
        <v>4</v>
      </c>
      <c r="V43" s="42">
        <f>'환기량 산정'!D1532</f>
        <v>4</v>
      </c>
      <c r="W43" s="42">
        <f>'환기량 산정'!E1532</f>
        <v>3</v>
      </c>
      <c r="X43" s="42">
        <f>'환기량 산정'!F1532</f>
        <v>3</v>
      </c>
      <c r="Y43" s="42">
        <f>'환기량 산정'!G1532</f>
        <v>3</v>
      </c>
      <c r="Z43" s="42">
        <f>'환기량 산정'!H1532</f>
        <v>4</v>
      </c>
      <c r="AA43" s="43">
        <f>'환기량 산정'!I1532</f>
        <v>4</v>
      </c>
      <c r="AB43" s="181" t="s">
        <v>111</v>
      </c>
      <c r="AC43" s="44">
        <f>'환기량 산정'!B1521</f>
        <v>2119</v>
      </c>
      <c r="AD43" s="38">
        <f>'환기량 산정'!C1521</f>
        <v>3072</v>
      </c>
      <c r="AE43" s="38">
        <f>'환기량 산정'!D1521</f>
        <v>3558</v>
      </c>
      <c r="AF43" s="38">
        <f>'환기량 산정'!E1521</f>
        <v>3733</v>
      </c>
      <c r="AG43" s="38">
        <f>'환기량 산정'!F1521</f>
        <v>3888</v>
      </c>
      <c r="AH43" s="38">
        <f>'환기량 산정'!G1521</f>
        <v>3850</v>
      </c>
      <c r="AI43" s="38">
        <f>'환기량 산정'!H1521</f>
        <v>3811</v>
      </c>
      <c r="AJ43" s="39">
        <f>'환기량 산정'!I1521</f>
        <v>3888</v>
      </c>
      <c r="AK43" s="69" t="s">
        <v>247</v>
      </c>
      <c r="AL43" s="44">
        <f t="shared" ref="AL43:AS43" si="112">K67</f>
        <v>1</v>
      </c>
      <c r="AM43" s="38">
        <f t="shared" si="112"/>
        <v>0</v>
      </c>
      <c r="AN43" s="38">
        <f t="shared" si="112"/>
        <v>0</v>
      </c>
      <c r="AO43" s="38">
        <f t="shared" si="112"/>
        <v>0</v>
      </c>
      <c r="AP43" s="38">
        <f t="shared" si="112"/>
        <v>0</v>
      </c>
      <c r="AQ43" s="38">
        <f t="shared" si="112"/>
        <v>0</v>
      </c>
      <c r="AR43" s="63">
        <f t="shared" si="112"/>
        <v>0</v>
      </c>
      <c r="AS43" s="39">
        <f t="shared" si="112"/>
        <v>0</v>
      </c>
      <c r="AT43" s="36" t="s">
        <v>108</v>
      </c>
      <c r="AU43" s="330">
        <f>'환기량 산정'!H1541</f>
        <v>45</v>
      </c>
      <c r="AV43" s="331">
        <f t="shared" ref="AV43:BB43" si="113">AU43</f>
        <v>45</v>
      </c>
      <c r="AW43" s="331">
        <f t="shared" si="113"/>
        <v>45</v>
      </c>
      <c r="AX43" s="331">
        <f t="shared" si="113"/>
        <v>45</v>
      </c>
      <c r="AY43" s="331">
        <f t="shared" si="113"/>
        <v>45</v>
      </c>
      <c r="AZ43" s="331">
        <f t="shared" si="113"/>
        <v>45</v>
      </c>
      <c r="BA43" s="331">
        <f t="shared" si="113"/>
        <v>45</v>
      </c>
      <c r="BB43" s="343">
        <f t="shared" si="113"/>
        <v>45</v>
      </c>
      <c r="BC43" s="36" t="s">
        <v>108</v>
      </c>
      <c r="BD43" s="330">
        <f>'환기량 산정'!H1546</f>
        <v>0</v>
      </c>
      <c r="BE43" s="331">
        <f t="shared" ref="BE43:BK43" si="114">BD43</f>
        <v>0</v>
      </c>
      <c r="BF43" s="331">
        <f t="shared" si="114"/>
        <v>0</v>
      </c>
      <c r="BG43" s="331">
        <f t="shared" si="114"/>
        <v>0</v>
      </c>
      <c r="BH43" s="331">
        <f t="shared" si="114"/>
        <v>0</v>
      </c>
      <c r="BI43" s="331">
        <f t="shared" si="114"/>
        <v>0</v>
      </c>
      <c r="BJ43" s="331">
        <f t="shared" si="114"/>
        <v>0</v>
      </c>
      <c r="BK43" s="343">
        <f t="shared" si="114"/>
        <v>0</v>
      </c>
    </row>
    <row r="44" spans="1:63">
      <c r="A44" s="36" t="s">
        <v>109</v>
      </c>
      <c r="B44" s="44">
        <f t="shared" ref="B44:I44" si="115">ROUND(B43/B47,4)</f>
        <v>0.1704</v>
      </c>
      <c r="C44" s="38">
        <f t="shared" si="115"/>
        <v>0.2727</v>
      </c>
      <c r="D44" s="38">
        <f t="shared" si="115"/>
        <v>0.28970000000000001</v>
      </c>
      <c r="E44" s="38">
        <f t="shared" si="115"/>
        <v>0.30680000000000002</v>
      </c>
      <c r="F44" s="38">
        <f t="shared" si="115"/>
        <v>0.42609999999999998</v>
      </c>
      <c r="G44" s="63">
        <f t="shared" si="115"/>
        <v>0.42609999999999998</v>
      </c>
      <c r="H44" s="38">
        <f t="shared" si="115"/>
        <v>0.42609999999999998</v>
      </c>
      <c r="I44" s="39">
        <f t="shared" si="115"/>
        <v>0.44309999999999999</v>
      </c>
      <c r="J44" s="36" t="s">
        <v>109</v>
      </c>
      <c r="K44" s="62">
        <f t="shared" ref="K44:R44" si="116">ROUND(K43/K47,4)</f>
        <v>0.49430000000000002</v>
      </c>
      <c r="L44" s="38">
        <f t="shared" si="116"/>
        <v>0.47720000000000001</v>
      </c>
      <c r="M44" s="38">
        <f t="shared" si="116"/>
        <v>0.3579</v>
      </c>
      <c r="N44" s="38">
        <f t="shared" si="116"/>
        <v>0.32379999999999998</v>
      </c>
      <c r="O44" s="38">
        <f t="shared" si="116"/>
        <v>0.30680000000000002</v>
      </c>
      <c r="P44" s="38">
        <f t="shared" si="116"/>
        <v>0.28970000000000001</v>
      </c>
      <c r="Q44" s="38">
        <f t="shared" si="116"/>
        <v>0.28970000000000001</v>
      </c>
      <c r="R44" s="39">
        <f t="shared" si="116"/>
        <v>0.32379999999999998</v>
      </c>
      <c r="S44" s="181" t="s">
        <v>109</v>
      </c>
      <c r="T44" s="44">
        <f t="shared" ref="T44:AA44" si="117">ROUND(T43/T47,4)</f>
        <v>8.5199999999999998E-2</v>
      </c>
      <c r="U44" s="38">
        <f t="shared" si="117"/>
        <v>6.8199999999999997E-2</v>
      </c>
      <c r="V44" s="38">
        <f t="shared" si="117"/>
        <v>6.8199999999999997E-2</v>
      </c>
      <c r="W44" s="38">
        <f t="shared" si="117"/>
        <v>5.11E-2</v>
      </c>
      <c r="X44" s="38">
        <f t="shared" si="117"/>
        <v>5.11E-2</v>
      </c>
      <c r="Y44" s="38">
        <f t="shared" si="117"/>
        <v>5.11E-2</v>
      </c>
      <c r="Z44" s="38">
        <f t="shared" si="117"/>
        <v>6.8199999999999997E-2</v>
      </c>
      <c r="AA44" s="39">
        <f t="shared" si="117"/>
        <v>6.8199999999999997E-2</v>
      </c>
      <c r="AB44" s="36" t="s">
        <v>535</v>
      </c>
      <c r="AC44" s="37">
        <f>차량정체길이산정!B18</f>
        <v>260</v>
      </c>
      <c r="AD44" s="38">
        <f>차량정체길이산정!C18</f>
        <v>260</v>
      </c>
      <c r="AE44" s="38">
        <f>차량정체길이산정!D18</f>
        <v>260</v>
      </c>
      <c r="AF44" s="38">
        <f>차량정체길이산정!E18</f>
        <v>260</v>
      </c>
      <c r="AG44" s="38">
        <f>차량정체길이산정!F18</f>
        <v>260</v>
      </c>
      <c r="AH44" s="63">
        <f>차량정체길이산정!G18</f>
        <v>251</v>
      </c>
      <c r="AI44" s="38">
        <f>차량정체길이산정!H18</f>
        <v>240</v>
      </c>
      <c r="AJ44" s="39">
        <f>차량정체길이산정!I18</f>
        <v>239</v>
      </c>
      <c r="AK44" s="69">
        <f>차량정체길이산정!J18</f>
        <v>0</v>
      </c>
      <c r="AL44" s="44">
        <f>차량정체길이산정!K18</f>
        <v>0</v>
      </c>
      <c r="AM44" s="38">
        <f>차량정체길이산정!L18</f>
        <v>0</v>
      </c>
      <c r="AN44" s="38">
        <f>차량정체길이산정!M18</f>
        <v>0</v>
      </c>
      <c r="AO44" s="38">
        <f>차량정체길이산정!N18</f>
        <v>0</v>
      </c>
      <c r="AP44" s="38">
        <f>차량정체길이산정!O18</f>
        <v>0</v>
      </c>
      <c r="AQ44" s="38">
        <f>차량정체길이산정!P18</f>
        <v>0</v>
      </c>
      <c r="AR44" s="63">
        <f>차량정체길이산정!Q18</f>
        <v>0</v>
      </c>
      <c r="AS44" s="39">
        <f>차량정체길이산정!R18</f>
        <v>0</v>
      </c>
      <c r="AT44" s="36">
        <f>차량정체길이산정!S18</f>
        <v>0</v>
      </c>
      <c r="AU44" s="327">
        <f>차량정체길이산정!T18</f>
        <v>0</v>
      </c>
      <c r="AV44" s="328">
        <f>차량정체길이산정!U18</f>
        <v>0</v>
      </c>
      <c r="AW44" s="328">
        <f>차량정체길이산정!V18</f>
        <v>0</v>
      </c>
      <c r="AX44" s="328">
        <f>차량정체길이산정!W18</f>
        <v>0</v>
      </c>
      <c r="AY44" s="328">
        <f>차량정체길이산정!X18</f>
        <v>0</v>
      </c>
      <c r="AZ44" s="328">
        <f>차량정체길이산정!Y18</f>
        <v>0</v>
      </c>
      <c r="BA44" s="328">
        <f>차량정체길이산정!Z18</f>
        <v>0</v>
      </c>
      <c r="BB44" s="329">
        <f>차량정체길이산정!AA18</f>
        <v>0</v>
      </c>
      <c r="BC44" s="36">
        <f>차량정체길이산정!AB18</f>
        <v>0</v>
      </c>
      <c r="BD44" s="327">
        <f>차량정체길이산정!AC18</f>
        <v>0</v>
      </c>
      <c r="BE44" s="328">
        <f>차량정체길이산정!AD18</f>
        <v>0</v>
      </c>
      <c r="BF44" s="328">
        <f>차량정체길이산정!AE18</f>
        <v>0</v>
      </c>
      <c r="BG44" s="328">
        <f>차량정체길이산정!AF18</f>
        <v>0</v>
      </c>
      <c r="BH44" s="328">
        <f>차량정체길이산정!AG18</f>
        <v>0</v>
      </c>
      <c r="BI44" s="328">
        <f>차량정체길이산정!AH18</f>
        <v>0</v>
      </c>
      <c r="BJ44" s="328">
        <f>차량정체길이산정!AI18</f>
        <v>0</v>
      </c>
      <c r="BK44" s="329">
        <f>차량정체길이산정!AJ18</f>
        <v>0</v>
      </c>
    </row>
    <row r="45" spans="1:63" ht="13.5" customHeight="1">
      <c r="A45" s="36" t="s">
        <v>110</v>
      </c>
      <c r="B45" s="360">
        <f>'환기량 산정'!I1490</f>
        <v>2.5</v>
      </c>
      <c r="C45" s="361">
        <f t="shared" ref="C45:I45" si="118">B45</f>
        <v>2.5</v>
      </c>
      <c r="D45" s="361">
        <f t="shared" si="118"/>
        <v>2.5</v>
      </c>
      <c r="E45" s="361">
        <f t="shared" si="118"/>
        <v>2.5</v>
      </c>
      <c r="F45" s="361">
        <f t="shared" si="118"/>
        <v>2.5</v>
      </c>
      <c r="G45" s="362">
        <f t="shared" si="118"/>
        <v>2.5</v>
      </c>
      <c r="H45" s="361">
        <f t="shared" si="118"/>
        <v>2.5</v>
      </c>
      <c r="I45" s="363">
        <f t="shared" si="118"/>
        <v>2.5</v>
      </c>
      <c r="J45" s="36" t="s">
        <v>110</v>
      </c>
      <c r="K45" s="364">
        <f>K10</f>
        <v>2.5</v>
      </c>
      <c r="L45" s="361">
        <f t="shared" ref="L45:R45" si="119">K45</f>
        <v>2.5</v>
      </c>
      <c r="M45" s="361">
        <f t="shared" si="119"/>
        <v>2.5</v>
      </c>
      <c r="N45" s="361">
        <f t="shared" si="119"/>
        <v>2.5</v>
      </c>
      <c r="O45" s="361">
        <f t="shared" si="119"/>
        <v>2.5</v>
      </c>
      <c r="P45" s="361">
        <f t="shared" si="119"/>
        <v>2.5</v>
      </c>
      <c r="Q45" s="361">
        <f t="shared" si="119"/>
        <v>2.5</v>
      </c>
      <c r="R45" s="363">
        <f t="shared" si="119"/>
        <v>2.5</v>
      </c>
      <c r="S45" s="181" t="s">
        <v>110</v>
      </c>
      <c r="T45" s="360">
        <f>T10</f>
        <v>2.5</v>
      </c>
      <c r="U45" s="361">
        <f t="shared" ref="U45:AA45" si="120">T45</f>
        <v>2.5</v>
      </c>
      <c r="V45" s="361">
        <f t="shared" si="120"/>
        <v>2.5</v>
      </c>
      <c r="W45" s="361">
        <f t="shared" si="120"/>
        <v>2.5</v>
      </c>
      <c r="X45" s="361">
        <f t="shared" si="120"/>
        <v>2.5</v>
      </c>
      <c r="Y45" s="361">
        <f t="shared" si="120"/>
        <v>2.5</v>
      </c>
      <c r="Z45" s="361">
        <f t="shared" si="120"/>
        <v>2.5</v>
      </c>
      <c r="AA45" s="363">
        <f t="shared" si="120"/>
        <v>2.5</v>
      </c>
      <c r="AB45" s="181"/>
      <c r="AC45" s="37"/>
      <c r="AD45" s="38"/>
      <c r="AE45" s="38"/>
      <c r="AF45" s="38"/>
      <c r="AG45" s="38"/>
      <c r="AH45" s="63"/>
      <c r="AI45" s="38"/>
      <c r="AJ45" s="39"/>
      <c r="AK45" s="166" t="s">
        <v>425</v>
      </c>
      <c r="AL45" s="355">
        <f t="shared" ref="AL45:AS45" si="121">AU67</f>
        <v>1</v>
      </c>
      <c r="AM45" s="65">
        <f t="shared" si="121"/>
        <v>0</v>
      </c>
      <c r="AN45" s="65">
        <f t="shared" si="121"/>
        <v>0</v>
      </c>
      <c r="AO45" s="65">
        <f t="shared" si="121"/>
        <v>0</v>
      </c>
      <c r="AP45" s="65">
        <f t="shared" si="121"/>
        <v>0</v>
      </c>
      <c r="AQ45" s="65">
        <f t="shared" si="121"/>
        <v>0</v>
      </c>
      <c r="AR45" s="65">
        <f t="shared" si="121"/>
        <v>0</v>
      </c>
      <c r="AS45" s="66">
        <f t="shared" si="121"/>
        <v>0</v>
      </c>
      <c r="AT45" s="36" t="s">
        <v>110</v>
      </c>
      <c r="AU45" s="357">
        <f>AU10</f>
        <v>2.5</v>
      </c>
      <c r="AV45" s="358">
        <f t="shared" ref="AV45:BB45" si="122">AU45</f>
        <v>2.5</v>
      </c>
      <c r="AW45" s="358">
        <f t="shared" si="122"/>
        <v>2.5</v>
      </c>
      <c r="AX45" s="358">
        <f t="shared" si="122"/>
        <v>2.5</v>
      </c>
      <c r="AY45" s="358">
        <f t="shared" si="122"/>
        <v>2.5</v>
      </c>
      <c r="AZ45" s="358">
        <f t="shared" si="122"/>
        <v>2.5</v>
      </c>
      <c r="BA45" s="358">
        <f t="shared" si="122"/>
        <v>2.5</v>
      </c>
      <c r="BB45" s="359">
        <f t="shared" si="122"/>
        <v>2.5</v>
      </c>
      <c r="BC45" s="36" t="s">
        <v>110</v>
      </c>
      <c r="BD45" s="357">
        <f>BD10</f>
        <v>2.5</v>
      </c>
      <c r="BE45" s="358">
        <f t="shared" ref="BE45:BK45" si="123">BD45</f>
        <v>2.5</v>
      </c>
      <c r="BF45" s="358">
        <f t="shared" si="123"/>
        <v>2.5</v>
      </c>
      <c r="BG45" s="358">
        <f t="shared" si="123"/>
        <v>2.5</v>
      </c>
      <c r="BH45" s="358">
        <f t="shared" si="123"/>
        <v>2.5</v>
      </c>
      <c r="BI45" s="358">
        <f t="shared" si="123"/>
        <v>2.5</v>
      </c>
      <c r="BJ45" s="358">
        <f t="shared" si="123"/>
        <v>2.5</v>
      </c>
      <c r="BK45" s="359">
        <f t="shared" si="123"/>
        <v>2.5</v>
      </c>
    </row>
    <row r="46" spans="1:63" ht="15.75">
      <c r="A46" s="36" t="s">
        <v>111</v>
      </c>
      <c r="B46" s="44">
        <f>'환기량 산정'!B1521</f>
        <v>2119</v>
      </c>
      <c r="C46" s="38">
        <f>'환기량 산정'!C1521</f>
        <v>3072</v>
      </c>
      <c r="D46" s="38">
        <f>'환기량 산정'!D1521</f>
        <v>3558</v>
      </c>
      <c r="E46" s="38">
        <f>'환기량 산정'!E1521</f>
        <v>3733</v>
      </c>
      <c r="F46" s="38">
        <f>'환기량 산정'!F1521</f>
        <v>3888</v>
      </c>
      <c r="G46" s="63">
        <f>'환기량 산정'!G1521</f>
        <v>3850</v>
      </c>
      <c r="H46" s="38">
        <f>'환기량 산정'!H1521</f>
        <v>3811</v>
      </c>
      <c r="I46" s="39">
        <f>'환기량 산정'!I1521</f>
        <v>3888</v>
      </c>
      <c r="J46" s="36" t="s">
        <v>111</v>
      </c>
      <c r="K46" s="62">
        <f t="shared" ref="K46:R46" si="124">B46</f>
        <v>2119</v>
      </c>
      <c r="L46" s="38">
        <f t="shared" si="124"/>
        <v>3072</v>
      </c>
      <c r="M46" s="38">
        <f t="shared" si="124"/>
        <v>3558</v>
      </c>
      <c r="N46" s="38">
        <f t="shared" si="124"/>
        <v>3733</v>
      </c>
      <c r="O46" s="38">
        <f t="shared" si="124"/>
        <v>3888</v>
      </c>
      <c r="P46" s="38">
        <f t="shared" si="124"/>
        <v>3850</v>
      </c>
      <c r="Q46" s="38">
        <f t="shared" si="124"/>
        <v>3811</v>
      </c>
      <c r="R46" s="39">
        <f t="shared" si="124"/>
        <v>3888</v>
      </c>
      <c r="S46" s="181" t="s">
        <v>111</v>
      </c>
      <c r="T46" s="44">
        <f t="shared" ref="T46:AA46" si="125">K46</f>
        <v>2119</v>
      </c>
      <c r="U46" s="38">
        <f t="shared" si="125"/>
        <v>3072</v>
      </c>
      <c r="V46" s="38">
        <f t="shared" si="125"/>
        <v>3558</v>
      </c>
      <c r="W46" s="38">
        <f t="shared" si="125"/>
        <v>3733</v>
      </c>
      <c r="X46" s="38">
        <f t="shared" si="125"/>
        <v>3888</v>
      </c>
      <c r="Y46" s="38">
        <f t="shared" si="125"/>
        <v>3850</v>
      </c>
      <c r="Z46" s="38">
        <f t="shared" si="125"/>
        <v>3811</v>
      </c>
      <c r="AA46" s="39">
        <f t="shared" si="125"/>
        <v>3888</v>
      </c>
      <c r="AB46" s="181" t="s">
        <v>154</v>
      </c>
      <c r="AC46" s="37">
        <f t="shared" ref="AC46:AJ46" si="126">ROUND((1+B51+B52*B48/B53)*B49/2*AC42^2,4)</f>
        <v>13.5604</v>
      </c>
      <c r="AD46" s="38">
        <f t="shared" si="126"/>
        <v>13.5604</v>
      </c>
      <c r="AE46" s="38">
        <f t="shared" si="126"/>
        <v>13.5604</v>
      </c>
      <c r="AF46" s="38">
        <f t="shared" si="126"/>
        <v>13.5604</v>
      </c>
      <c r="AG46" s="38">
        <f t="shared" si="126"/>
        <v>13.5604</v>
      </c>
      <c r="AH46" s="63">
        <f t="shared" si="126"/>
        <v>13.5604</v>
      </c>
      <c r="AI46" s="38">
        <f t="shared" si="126"/>
        <v>13.5604</v>
      </c>
      <c r="AJ46" s="39">
        <f t="shared" si="126"/>
        <v>13.5604</v>
      </c>
      <c r="AK46" s="166" t="s">
        <v>249</v>
      </c>
      <c r="AL46" s="67">
        <f t="shared" ref="AL46:AS46" si="127">AC55</f>
        <v>2</v>
      </c>
      <c r="AM46" s="65">
        <f t="shared" si="127"/>
        <v>2</v>
      </c>
      <c r="AN46" s="65">
        <f t="shared" si="127"/>
        <v>2</v>
      </c>
      <c r="AO46" s="65">
        <f t="shared" si="127"/>
        <v>2</v>
      </c>
      <c r="AP46" s="65">
        <f t="shared" si="127"/>
        <v>2</v>
      </c>
      <c r="AQ46" s="65">
        <f t="shared" si="127"/>
        <v>2</v>
      </c>
      <c r="AR46" s="65">
        <f t="shared" si="127"/>
        <v>2</v>
      </c>
      <c r="AS46" s="66">
        <f t="shared" si="127"/>
        <v>2</v>
      </c>
      <c r="AT46" s="36" t="s">
        <v>111</v>
      </c>
      <c r="AU46" s="327">
        <f t="shared" ref="AU46:BB46" si="128">B46</f>
        <v>2119</v>
      </c>
      <c r="AV46" s="332">
        <f t="shared" si="128"/>
        <v>3072</v>
      </c>
      <c r="AW46" s="332">
        <f t="shared" si="128"/>
        <v>3558</v>
      </c>
      <c r="AX46" s="332">
        <f t="shared" si="128"/>
        <v>3733</v>
      </c>
      <c r="AY46" s="332">
        <f t="shared" si="128"/>
        <v>3888</v>
      </c>
      <c r="AZ46" s="332">
        <f t="shared" si="128"/>
        <v>3850</v>
      </c>
      <c r="BA46" s="332">
        <f t="shared" si="128"/>
        <v>3811</v>
      </c>
      <c r="BB46" s="338">
        <f t="shared" si="128"/>
        <v>3888</v>
      </c>
      <c r="BC46" s="36" t="s">
        <v>111</v>
      </c>
      <c r="BD46" s="327">
        <f t="shared" ref="BD46:BK46" si="129">K46</f>
        <v>2119</v>
      </c>
      <c r="BE46" s="332">
        <f t="shared" si="129"/>
        <v>3072</v>
      </c>
      <c r="BF46" s="332">
        <f t="shared" si="129"/>
        <v>3558</v>
      </c>
      <c r="BG46" s="332">
        <f t="shared" si="129"/>
        <v>3733</v>
      </c>
      <c r="BH46" s="332">
        <f t="shared" si="129"/>
        <v>3888</v>
      </c>
      <c r="BI46" s="332">
        <f t="shared" si="129"/>
        <v>3850</v>
      </c>
      <c r="BJ46" s="332">
        <f t="shared" si="129"/>
        <v>3811</v>
      </c>
      <c r="BK46" s="338">
        <f t="shared" si="129"/>
        <v>3888</v>
      </c>
    </row>
    <row r="47" spans="1:63" ht="15.75">
      <c r="A47" s="36" t="s">
        <v>90</v>
      </c>
      <c r="B47" s="44">
        <f>'환기량 산정'!I1488</f>
        <v>58.672159999999998</v>
      </c>
      <c r="C47" s="38">
        <f t="shared" ref="C47:I47" si="130">B47</f>
        <v>58.672159999999998</v>
      </c>
      <c r="D47" s="38">
        <f t="shared" si="130"/>
        <v>58.672159999999998</v>
      </c>
      <c r="E47" s="38">
        <f t="shared" si="130"/>
        <v>58.672159999999998</v>
      </c>
      <c r="F47" s="38">
        <f t="shared" si="130"/>
        <v>58.672159999999998</v>
      </c>
      <c r="G47" s="63">
        <f t="shared" si="130"/>
        <v>58.672159999999998</v>
      </c>
      <c r="H47" s="38">
        <f t="shared" si="130"/>
        <v>58.672159999999998</v>
      </c>
      <c r="I47" s="39">
        <f t="shared" si="130"/>
        <v>58.672159999999998</v>
      </c>
      <c r="J47" s="36" t="s">
        <v>90</v>
      </c>
      <c r="K47" s="62">
        <f>B47</f>
        <v>58.672159999999998</v>
      </c>
      <c r="L47" s="38">
        <f t="shared" ref="L47:R47" si="131">K47</f>
        <v>58.672159999999998</v>
      </c>
      <c r="M47" s="38">
        <f t="shared" si="131"/>
        <v>58.672159999999998</v>
      </c>
      <c r="N47" s="38">
        <f t="shared" si="131"/>
        <v>58.672159999999998</v>
      </c>
      <c r="O47" s="38">
        <f t="shared" si="131"/>
        <v>58.672159999999998</v>
      </c>
      <c r="P47" s="38">
        <f t="shared" si="131"/>
        <v>58.672159999999998</v>
      </c>
      <c r="Q47" s="38">
        <f t="shared" si="131"/>
        <v>58.672159999999998</v>
      </c>
      <c r="R47" s="39">
        <f t="shared" si="131"/>
        <v>58.672159999999998</v>
      </c>
      <c r="S47" s="181" t="s">
        <v>90</v>
      </c>
      <c r="T47" s="44">
        <f>K47</f>
        <v>58.672159999999998</v>
      </c>
      <c r="U47" s="38">
        <f t="shared" ref="U47:AA47" si="132">T47</f>
        <v>58.672159999999998</v>
      </c>
      <c r="V47" s="38">
        <f t="shared" si="132"/>
        <v>58.672159999999998</v>
      </c>
      <c r="W47" s="38">
        <f t="shared" si="132"/>
        <v>58.672159999999998</v>
      </c>
      <c r="X47" s="38">
        <f t="shared" si="132"/>
        <v>58.672159999999998</v>
      </c>
      <c r="Y47" s="38">
        <f t="shared" si="132"/>
        <v>58.672159999999998</v>
      </c>
      <c r="Z47" s="38">
        <f t="shared" si="132"/>
        <v>58.672159999999998</v>
      </c>
      <c r="AA47" s="39">
        <f t="shared" si="132"/>
        <v>58.672159999999998</v>
      </c>
      <c r="AB47" s="181" t="s">
        <v>155</v>
      </c>
      <c r="AC47" s="37">
        <f t="shared" ref="AC47:AJ47" si="133">B60</f>
        <v>16.741299999999999</v>
      </c>
      <c r="AD47" s="38">
        <f t="shared" si="133"/>
        <v>16.741299999999999</v>
      </c>
      <c r="AE47" s="38">
        <f t="shared" si="133"/>
        <v>16.741299999999999</v>
      </c>
      <c r="AF47" s="38">
        <f t="shared" si="133"/>
        <v>16.741299999999999</v>
      </c>
      <c r="AG47" s="38">
        <f t="shared" si="133"/>
        <v>16.741299999999999</v>
      </c>
      <c r="AH47" s="63">
        <f t="shared" si="133"/>
        <v>16.741299999999999</v>
      </c>
      <c r="AI47" s="38">
        <f t="shared" si="133"/>
        <v>16.741299999999999</v>
      </c>
      <c r="AJ47" s="39">
        <f t="shared" si="133"/>
        <v>16.741299999999999</v>
      </c>
      <c r="AK47" s="356" t="s">
        <v>262</v>
      </c>
      <c r="AL47" s="170">
        <f t="shared" ref="AL47:AS47" si="134">IF(MAX(AL64:AL66)&gt;AU43,MAX(AL42:AL44),AL45)</f>
        <v>1</v>
      </c>
      <c r="AM47" s="171">
        <f t="shared" si="134"/>
        <v>0</v>
      </c>
      <c r="AN47" s="171">
        <f t="shared" si="134"/>
        <v>0</v>
      </c>
      <c r="AO47" s="171">
        <f t="shared" si="134"/>
        <v>0</v>
      </c>
      <c r="AP47" s="171">
        <f t="shared" si="134"/>
        <v>0</v>
      </c>
      <c r="AQ47" s="171">
        <f t="shared" si="134"/>
        <v>0</v>
      </c>
      <c r="AR47" s="171">
        <f t="shared" si="134"/>
        <v>0</v>
      </c>
      <c r="AS47" s="172">
        <f t="shared" si="134"/>
        <v>0</v>
      </c>
      <c r="AT47" s="36" t="s">
        <v>90</v>
      </c>
      <c r="AU47" s="327">
        <f>B47</f>
        <v>58.672159999999998</v>
      </c>
      <c r="AV47" s="328">
        <f t="shared" ref="AV47:BB47" si="135">AU47</f>
        <v>58.672159999999998</v>
      </c>
      <c r="AW47" s="328">
        <f t="shared" si="135"/>
        <v>58.672159999999998</v>
      </c>
      <c r="AX47" s="328">
        <f t="shared" si="135"/>
        <v>58.672159999999998</v>
      </c>
      <c r="AY47" s="328">
        <f t="shared" si="135"/>
        <v>58.672159999999998</v>
      </c>
      <c r="AZ47" s="328">
        <f t="shared" si="135"/>
        <v>58.672159999999998</v>
      </c>
      <c r="BA47" s="328">
        <f t="shared" si="135"/>
        <v>58.672159999999998</v>
      </c>
      <c r="BB47" s="329">
        <f t="shared" si="135"/>
        <v>58.672159999999998</v>
      </c>
      <c r="BC47" s="36" t="s">
        <v>90</v>
      </c>
      <c r="BD47" s="327">
        <f>K47</f>
        <v>58.672159999999998</v>
      </c>
      <c r="BE47" s="328">
        <f t="shared" ref="BE47:BK47" si="136">BD47</f>
        <v>58.672159999999998</v>
      </c>
      <c r="BF47" s="328">
        <f t="shared" si="136"/>
        <v>58.672159999999998</v>
      </c>
      <c r="BG47" s="328">
        <f t="shared" si="136"/>
        <v>58.672159999999998</v>
      </c>
      <c r="BH47" s="328">
        <f t="shared" si="136"/>
        <v>58.672159999999998</v>
      </c>
      <c r="BI47" s="328">
        <f t="shared" si="136"/>
        <v>58.672159999999998</v>
      </c>
      <c r="BJ47" s="328">
        <f t="shared" si="136"/>
        <v>58.672159999999998</v>
      </c>
      <c r="BK47" s="329">
        <f t="shared" si="136"/>
        <v>58.672159999999998</v>
      </c>
    </row>
    <row r="48" spans="1:63">
      <c r="A48" s="36" t="s">
        <v>112</v>
      </c>
      <c r="B48" s="44">
        <f>'환기량 산정'!$I1494</f>
        <v>904.56</v>
      </c>
      <c r="C48" s="38">
        <f>'환기량 산정'!$I1494</f>
        <v>904.56</v>
      </c>
      <c r="D48" s="38">
        <f>'환기량 산정'!$I1494</f>
        <v>904.56</v>
      </c>
      <c r="E48" s="38">
        <f>'환기량 산정'!$I1494</f>
        <v>904.56</v>
      </c>
      <c r="F48" s="38">
        <f>'환기량 산정'!$I1494</f>
        <v>904.56</v>
      </c>
      <c r="G48" s="63">
        <f>'환기량 산정'!$I1494</f>
        <v>904.56</v>
      </c>
      <c r="H48" s="38">
        <f>'환기량 산정'!$I1494</f>
        <v>904.56</v>
      </c>
      <c r="I48" s="39">
        <f>'환기량 산정'!$I1494</f>
        <v>904.56</v>
      </c>
      <c r="J48" s="36" t="s">
        <v>112</v>
      </c>
      <c r="K48" s="62">
        <f>'환기량 산정'!$I1494</f>
        <v>904.56</v>
      </c>
      <c r="L48" s="38">
        <f>'환기량 산정'!$I1494</f>
        <v>904.56</v>
      </c>
      <c r="M48" s="38">
        <f>'환기량 산정'!$I1494</f>
        <v>904.56</v>
      </c>
      <c r="N48" s="38">
        <f>'환기량 산정'!$I1494</f>
        <v>904.56</v>
      </c>
      <c r="O48" s="38">
        <f>'환기량 산정'!$I1494</f>
        <v>904.56</v>
      </c>
      <c r="P48" s="38">
        <f>'환기량 산정'!$I1494</f>
        <v>904.56</v>
      </c>
      <c r="Q48" s="38">
        <f>'환기량 산정'!$I1494</f>
        <v>904.56</v>
      </c>
      <c r="R48" s="39">
        <f>'환기량 산정'!$I1494</f>
        <v>904.56</v>
      </c>
      <c r="S48" s="181" t="s">
        <v>112</v>
      </c>
      <c r="T48" s="44">
        <f>'환기량 산정'!$I1494</f>
        <v>904.56</v>
      </c>
      <c r="U48" s="38">
        <f>'환기량 산정'!$I1494</f>
        <v>904.56</v>
      </c>
      <c r="V48" s="38">
        <f>'환기량 산정'!$I1494</f>
        <v>904.56</v>
      </c>
      <c r="W48" s="38">
        <f>'환기량 산정'!$I1494</f>
        <v>904.56</v>
      </c>
      <c r="X48" s="38">
        <f>'환기량 산정'!$I1494</f>
        <v>904.56</v>
      </c>
      <c r="Y48" s="38">
        <f>'환기량 산정'!$I1494</f>
        <v>904.56</v>
      </c>
      <c r="Z48" s="38">
        <f>'환기량 산정'!$I1494</f>
        <v>904.56</v>
      </c>
      <c r="AA48" s="39">
        <f>'환기량 산정'!$I1494</f>
        <v>904.56</v>
      </c>
      <c r="AB48" s="3" t="s">
        <v>534</v>
      </c>
      <c r="AC48" s="37">
        <f t="shared" ref="AC48:AJ48" si="137">ROUND(0.86*B54,4)</f>
        <v>0.92459999999999998</v>
      </c>
      <c r="AD48" s="38">
        <f t="shared" si="137"/>
        <v>0.92459999999999998</v>
      </c>
      <c r="AE48" s="38">
        <f t="shared" si="137"/>
        <v>0.92459999999999998</v>
      </c>
      <c r="AF48" s="38">
        <f t="shared" si="137"/>
        <v>0.92459999999999998</v>
      </c>
      <c r="AG48" s="38">
        <f t="shared" si="137"/>
        <v>0.92459999999999998</v>
      </c>
      <c r="AH48" s="63">
        <f t="shared" si="137"/>
        <v>0.92459999999999998</v>
      </c>
      <c r="AI48" s="38">
        <f t="shared" si="137"/>
        <v>0.92459999999999998</v>
      </c>
      <c r="AJ48" s="39">
        <f t="shared" si="137"/>
        <v>0.92459999999999998</v>
      </c>
      <c r="AK48" s="69" t="s">
        <v>123</v>
      </c>
      <c r="AL48" s="44">
        <f t="shared" ref="AL48:AS48" si="138">ROUND((1+B51+B52*B48/B53)*B49/2,4)</f>
        <v>2.6785999999999999</v>
      </c>
      <c r="AM48" s="38">
        <f t="shared" si="138"/>
        <v>2.6785999999999999</v>
      </c>
      <c r="AN48" s="38">
        <f t="shared" si="138"/>
        <v>2.6785999999999999</v>
      </c>
      <c r="AO48" s="38">
        <f t="shared" si="138"/>
        <v>2.6785999999999999</v>
      </c>
      <c r="AP48" s="38">
        <f t="shared" si="138"/>
        <v>2.6785999999999999</v>
      </c>
      <c r="AQ48" s="38">
        <f t="shared" si="138"/>
        <v>2.6785999999999999</v>
      </c>
      <c r="AR48" s="38">
        <f t="shared" si="138"/>
        <v>2.6785999999999999</v>
      </c>
      <c r="AS48" s="39">
        <f t="shared" si="138"/>
        <v>2.6785999999999999</v>
      </c>
      <c r="AT48" s="36" t="s">
        <v>112</v>
      </c>
      <c r="AU48" s="327">
        <f>'환기량 산정'!$I1494</f>
        <v>904.56</v>
      </c>
      <c r="AV48" s="328">
        <f>'환기량 산정'!$I1494</f>
        <v>904.56</v>
      </c>
      <c r="AW48" s="328">
        <f>'환기량 산정'!$I1494</f>
        <v>904.56</v>
      </c>
      <c r="AX48" s="328">
        <f>'환기량 산정'!$I1494</f>
        <v>904.56</v>
      </c>
      <c r="AY48" s="328">
        <f>'환기량 산정'!$I1494</f>
        <v>904.56</v>
      </c>
      <c r="AZ48" s="328">
        <f>'환기량 산정'!$I1494</f>
        <v>904.56</v>
      </c>
      <c r="BA48" s="328">
        <f>'환기량 산정'!$I1494</f>
        <v>904.56</v>
      </c>
      <c r="BB48" s="329">
        <f>'환기량 산정'!$I1494</f>
        <v>904.56</v>
      </c>
      <c r="BC48" s="36" t="s">
        <v>112</v>
      </c>
      <c r="BD48" s="327">
        <f>'환기량 산정'!$I1494</f>
        <v>904.56</v>
      </c>
      <c r="BE48" s="328">
        <f>'환기량 산정'!$I1494</f>
        <v>904.56</v>
      </c>
      <c r="BF48" s="328">
        <f>'환기량 산정'!$I1494</f>
        <v>904.56</v>
      </c>
      <c r="BG48" s="328">
        <f>'환기량 산정'!$I1494</f>
        <v>904.56</v>
      </c>
      <c r="BH48" s="328">
        <f>'환기량 산정'!$I1494</f>
        <v>904.56</v>
      </c>
      <c r="BI48" s="328">
        <f>'환기량 산정'!$I1494</f>
        <v>904.56</v>
      </c>
      <c r="BJ48" s="328">
        <f>'환기량 산정'!$I1494</f>
        <v>904.56</v>
      </c>
      <c r="BK48" s="329">
        <f>'환기량 산정'!$I1494</f>
        <v>904.56</v>
      </c>
    </row>
    <row r="49" spans="1:63" ht="15.75">
      <c r="A49" s="36" t="s">
        <v>113</v>
      </c>
      <c r="B49" s="44">
        <f>'환기량 산정'!I1493</f>
        <v>1.2</v>
      </c>
      <c r="C49" s="38">
        <f t="shared" ref="C49:I54" si="139">B49</f>
        <v>1.2</v>
      </c>
      <c r="D49" s="38">
        <f t="shared" si="139"/>
        <v>1.2</v>
      </c>
      <c r="E49" s="38">
        <f t="shared" si="139"/>
        <v>1.2</v>
      </c>
      <c r="F49" s="38">
        <f t="shared" si="139"/>
        <v>1.2</v>
      </c>
      <c r="G49" s="63">
        <f t="shared" si="139"/>
        <v>1.2</v>
      </c>
      <c r="H49" s="38">
        <f t="shared" si="139"/>
        <v>1.2</v>
      </c>
      <c r="I49" s="39">
        <f t="shared" si="139"/>
        <v>1.2</v>
      </c>
      <c r="J49" s="36" t="s">
        <v>113</v>
      </c>
      <c r="K49" s="62">
        <f>B49</f>
        <v>1.2</v>
      </c>
      <c r="L49" s="38">
        <f t="shared" ref="L49:R54" si="140">K49</f>
        <v>1.2</v>
      </c>
      <c r="M49" s="38">
        <f t="shared" si="140"/>
        <v>1.2</v>
      </c>
      <c r="N49" s="38">
        <f t="shared" si="140"/>
        <v>1.2</v>
      </c>
      <c r="O49" s="38">
        <f t="shared" si="140"/>
        <v>1.2</v>
      </c>
      <c r="P49" s="38">
        <f t="shared" si="140"/>
        <v>1.2</v>
      </c>
      <c r="Q49" s="38">
        <f t="shared" si="140"/>
        <v>1.2</v>
      </c>
      <c r="R49" s="39">
        <f t="shared" si="140"/>
        <v>1.2</v>
      </c>
      <c r="S49" s="181" t="s">
        <v>113</v>
      </c>
      <c r="T49" s="44">
        <f>K49</f>
        <v>1.2</v>
      </c>
      <c r="U49" s="38">
        <f t="shared" ref="U49:AA54" si="141">T49</f>
        <v>1.2</v>
      </c>
      <c r="V49" s="38">
        <f t="shared" si="141"/>
        <v>1.2</v>
      </c>
      <c r="W49" s="38">
        <f t="shared" si="141"/>
        <v>1.2</v>
      </c>
      <c r="X49" s="38">
        <f t="shared" si="141"/>
        <v>1.2</v>
      </c>
      <c r="Y49" s="38">
        <f t="shared" si="141"/>
        <v>1.2</v>
      </c>
      <c r="Z49" s="38">
        <f t="shared" si="141"/>
        <v>1.2</v>
      </c>
      <c r="AA49" s="39">
        <f t="shared" si="141"/>
        <v>1.2</v>
      </c>
      <c r="AB49" s="181" t="s">
        <v>159</v>
      </c>
      <c r="AC49" s="37">
        <v>0</v>
      </c>
      <c r="AD49" s="38">
        <v>0</v>
      </c>
      <c r="AE49" s="38">
        <v>0</v>
      </c>
      <c r="AF49" s="38">
        <v>0</v>
      </c>
      <c r="AG49" s="38">
        <v>0</v>
      </c>
      <c r="AH49" s="63">
        <v>0</v>
      </c>
      <c r="AI49" s="38">
        <v>0</v>
      </c>
      <c r="AJ49" s="39">
        <v>0</v>
      </c>
      <c r="AK49" s="69" t="s">
        <v>124</v>
      </c>
      <c r="AL49" s="188">
        <f>ROUND(-B49/2*B54/B47*B57,4)</f>
        <v>-2.1109</v>
      </c>
      <c r="AM49" s="38">
        <f t="shared" ref="AM49:AS49" si="142">IF(C42&gt;=C44,ROUND(C49/2*C54/C47*C57,4),IF(C42&lt;C44,ROUND(-C49/2*C54/C47*C57,4)))</f>
        <v>1.5282</v>
      </c>
      <c r="AN49" s="38">
        <f t="shared" si="142"/>
        <v>1.1874</v>
      </c>
      <c r="AO49" s="38">
        <f t="shared" si="142"/>
        <v>0.9345</v>
      </c>
      <c r="AP49" s="38">
        <f t="shared" si="142"/>
        <v>0.78059999999999996</v>
      </c>
      <c r="AQ49" s="38">
        <f t="shared" si="142"/>
        <v>0.63770000000000004</v>
      </c>
      <c r="AR49" s="38">
        <f t="shared" si="142"/>
        <v>0.54969999999999997</v>
      </c>
      <c r="AS49" s="39">
        <f t="shared" si="142"/>
        <v>0.48370000000000002</v>
      </c>
      <c r="AT49" s="36" t="s">
        <v>113</v>
      </c>
      <c r="AU49" s="327">
        <f t="shared" ref="AU49:AU57" si="143">B49</f>
        <v>1.2</v>
      </c>
      <c r="AV49" s="328">
        <f t="shared" ref="AV49:BB54" si="144">AU49</f>
        <v>1.2</v>
      </c>
      <c r="AW49" s="328">
        <f t="shared" si="144"/>
        <v>1.2</v>
      </c>
      <c r="AX49" s="328">
        <f t="shared" si="144"/>
        <v>1.2</v>
      </c>
      <c r="AY49" s="328">
        <f t="shared" si="144"/>
        <v>1.2</v>
      </c>
      <c r="AZ49" s="328">
        <f t="shared" si="144"/>
        <v>1.2</v>
      </c>
      <c r="BA49" s="328">
        <f t="shared" si="144"/>
        <v>1.2</v>
      </c>
      <c r="BB49" s="329">
        <f t="shared" si="144"/>
        <v>1.2</v>
      </c>
      <c r="BC49" s="36" t="s">
        <v>113</v>
      </c>
      <c r="BD49" s="327">
        <f t="shared" ref="BD49:BD57" si="145">K49</f>
        <v>1.2</v>
      </c>
      <c r="BE49" s="328">
        <f t="shared" ref="BE49:BK54" si="146">BD49</f>
        <v>1.2</v>
      </c>
      <c r="BF49" s="328">
        <f t="shared" si="146"/>
        <v>1.2</v>
      </c>
      <c r="BG49" s="328">
        <f t="shared" si="146"/>
        <v>1.2</v>
      </c>
      <c r="BH49" s="328">
        <f t="shared" si="146"/>
        <v>1.2</v>
      </c>
      <c r="BI49" s="328">
        <f t="shared" si="146"/>
        <v>1.2</v>
      </c>
      <c r="BJ49" s="328">
        <f t="shared" si="146"/>
        <v>1.2</v>
      </c>
      <c r="BK49" s="329">
        <f t="shared" si="146"/>
        <v>1.2</v>
      </c>
    </row>
    <row r="50" spans="1:63">
      <c r="A50" s="36"/>
      <c r="B50" s="44"/>
      <c r="C50" s="38"/>
      <c r="D50" s="38"/>
      <c r="E50" s="38"/>
      <c r="F50" s="38"/>
      <c r="G50" s="63"/>
      <c r="H50" s="38"/>
      <c r="I50" s="39"/>
      <c r="J50" s="36"/>
      <c r="K50" s="62"/>
      <c r="L50" s="38"/>
      <c r="M50" s="38"/>
      <c r="N50" s="38"/>
      <c r="O50" s="38"/>
      <c r="P50" s="38"/>
      <c r="Q50" s="38"/>
      <c r="R50" s="39"/>
      <c r="S50" s="181"/>
      <c r="T50" s="44"/>
      <c r="U50" s="38"/>
      <c r="V50" s="38"/>
      <c r="W50" s="38"/>
      <c r="X50" s="38"/>
      <c r="Y50" s="38"/>
      <c r="Z50" s="38"/>
      <c r="AA50" s="39"/>
      <c r="AB50" s="36" t="s">
        <v>810</v>
      </c>
      <c r="AC50" s="1218">
        <v>51.21</v>
      </c>
      <c r="AD50" s="38">
        <f>AC50</f>
        <v>51.21</v>
      </c>
      <c r="AE50" s="38">
        <f t="shared" ref="AE50:AJ50" si="147">AD50</f>
        <v>51.21</v>
      </c>
      <c r="AF50" s="38">
        <f t="shared" si="147"/>
        <v>51.21</v>
      </c>
      <c r="AG50" s="38">
        <f t="shared" si="147"/>
        <v>51.21</v>
      </c>
      <c r="AH50" s="63">
        <f t="shared" si="147"/>
        <v>51.21</v>
      </c>
      <c r="AI50" s="38">
        <f t="shared" si="147"/>
        <v>51.21</v>
      </c>
      <c r="AJ50" s="39">
        <f t="shared" si="147"/>
        <v>51.21</v>
      </c>
      <c r="AK50" s="69"/>
      <c r="AL50" s="188"/>
      <c r="AM50" s="38"/>
      <c r="AN50" s="38"/>
      <c r="AO50" s="38"/>
      <c r="AP50" s="38"/>
      <c r="AQ50" s="38"/>
      <c r="AR50" s="38"/>
      <c r="AS50" s="39"/>
      <c r="AT50" s="36"/>
      <c r="AU50" s="327"/>
      <c r="AV50" s="328"/>
      <c r="AW50" s="328"/>
      <c r="AX50" s="328"/>
      <c r="AY50" s="328"/>
      <c r="AZ50" s="328"/>
      <c r="BA50" s="328"/>
      <c r="BB50" s="329"/>
      <c r="BC50" s="36"/>
      <c r="BD50" s="327"/>
      <c r="BE50" s="328"/>
      <c r="BF50" s="328"/>
      <c r="BG50" s="328"/>
      <c r="BH50" s="328"/>
      <c r="BI50" s="328"/>
      <c r="BJ50" s="328"/>
      <c r="BK50" s="329"/>
    </row>
    <row r="51" spans="1:63">
      <c r="A51" s="36" t="s">
        <v>114</v>
      </c>
      <c r="B51" s="44">
        <f>'환기량 산정'!I1491</f>
        <v>0.6</v>
      </c>
      <c r="C51" s="38">
        <f t="shared" si="139"/>
        <v>0.6</v>
      </c>
      <c r="D51" s="38">
        <f t="shared" si="139"/>
        <v>0.6</v>
      </c>
      <c r="E51" s="38">
        <f t="shared" si="139"/>
        <v>0.6</v>
      </c>
      <c r="F51" s="38">
        <f t="shared" si="139"/>
        <v>0.6</v>
      </c>
      <c r="G51" s="63">
        <f t="shared" si="139"/>
        <v>0.6</v>
      </c>
      <c r="H51" s="38">
        <f t="shared" si="139"/>
        <v>0.6</v>
      </c>
      <c r="I51" s="39">
        <f t="shared" si="139"/>
        <v>0.6</v>
      </c>
      <c r="J51" s="36" t="s">
        <v>114</v>
      </c>
      <c r="K51" s="62">
        <f>B51</f>
        <v>0.6</v>
      </c>
      <c r="L51" s="38">
        <f t="shared" si="140"/>
        <v>0.6</v>
      </c>
      <c r="M51" s="38">
        <f t="shared" si="140"/>
        <v>0.6</v>
      </c>
      <c r="N51" s="38">
        <f t="shared" si="140"/>
        <v>0.6</v>
      </c>
      <c r="O51" s="38">
        <f t="shared" si="140"/>
        <v>0.6</v>
      </c>
      <c r="P51" s="38">
        <f t="shared" si="140"/>
        <v>0.6</v>
      </c>
      <c r="Q51" s="38">
        <f t="shared" si="140"/>
        <v>0.6</v>
      </c>
      <c r="R51" s="39">
        <f t="shared" si="140"/>
        <v>0.6</v>
      </c>
      <c r="S51" s="181" t="s">
        <v>114</v>
      </c>
      <c r="T51" s="44">
        <f>K51</f>
        <v>0.6</v>
      </c>
      <c r="U51" s="38">
        <f t="shared" si="141"/>
        <v>0.6</v>
      </c>
      <c r="V51" s="38">
        <f t="shared" si="141"/>
        <v>0.6</v>
      </c>
      <c r="W51" s="38">
        <f t="shared" si="141"/>
        <v>0.6</v>
      </c>
      <c r="X51" s="38">
        <f t="shared" si="141"/>
        <v>0.6</v>
      </c>
      <c r="Y51" s="38">
        <f t="shared" si="141"/>
        <v>0.6</v>
      </c>
      <c r="Z51" s="38">
        <f t="shared" si="141"/>
        <v>0.6</v>
      </c>
      <c r="AA51" s="39">
        <f t="shared" si="141"/>
        <v>0.6</v>
      </c>
      <c r="AB51" s="181" t="s">
        <v>157</v>
      </c>
      <c r="AC51" s="183">
        <f>AC46+AC47-AC50</f>
        <v>-20.908300000000004</v>
      </c>
      <c r="AD51" s="45">
        <f t="shared" ref="AD51:AJ51" si="148">AD46+AD47-AD50</f>
        <v>-20.908300000000004</v>
      </c>
      <c r="AE51" s="45">
        <f t="shared" si="148"/>
        <v>-20.908300000000004</v>
      </c>
      <c r="AF51" s="45">
        <f t="shared" si="148"/>
        <v>-20.908300000000004</v>
      </c>
      <c r="AG51" s="45">
        <f t="shared" si="148"/>
        <v>-20.908300000000004</v>
      </c>
      <c r="AH51" s="138">
        <f t="shared" si="148"/>
        <v>-20.908300000000004</v>
      </c>
      <c r="AI51" s="45">
        <f t="shared" si="148"/>
        <v>-20.908300000000004</v>
      </c>
      <c r="AJ51" s="46">
        <f t="shared" si="148"/>
        <v>-20.908300000000004</v>
      </c>
      <c r="AK51" s="69" t="s">
        <v>250</v>
      </c>
      <c r="AL51" s="44">
        <f t="shared" ref="AL51:AS51" si="149">ROUND(B49/2*B56*2*B55/B47*B64,4)</f>
        <v>0.48380000000000001</v>
      </c>
      <c r="AM51" s="38">
        <f t="shared" si="149"/>
        <v>0.48380000000000001</v>
      </c>
      <c r="AN51" s="38">
        <f t="shared" si="149"/>
        <v>0.48380000000000001</v>
      </c>
      <c r="AO51" s="38">
        <f t="shared" si="149"/>
        <v>0.48380000000000001</v>
      </c>
      <c r="AP51" s="38">
        <f t="shared" si="149"/>
        <v>0.48380000000000001</v>
      </c>
      <c r="AQ51" s="38">
        <f t="shared" si="149"/>
        <v>0.48380000000000001</v>
      </c>
      <c r="AR51" s="38">
        <f t="shared" si="149"/>
        <v>0.48380000000000001</v>
      </c>
      <c r="AS51" s="39">
        <f t="shared" si="149"/>
        <v>0.48380000000000001</v>
      </c>
      <c r="AT51" s="36" t="s">
        <v>114</v>
      </c>
      <c r="AU51" s="327">
        <f t="shared" si="143"/>
        <v>0.6</v>
      </c>
      <c r="AV51" s="328">
        <f t="shared" si="144"/>
        <v>0.6</v>
      </c>
      <c r="AW51" s="328">
        <f t="shared" si="144"/>
        <v>0.6</v>
      </c>
      <c r="AX51" s="328">
        <f t="shared" si="144"/>
        <v>0.6</v>
      </c>
      <c r="AY51" s="328">
        <f t="shared" si="144"/>
        <v>0.6</v>
      </c>
      <c r="AZ51" s="328">
        <f t="shared" si="144"/>
        <v>0.6</v>
      </c>
      <c r="BA51" s="328">
        <f t="shared" si="144"/>
        <v>0.6</v>
      </c>
      <c r="BB51" s="329">
        <f t="shared" si="144"/>
        <v>0.6</v>
      </c>
      <c r="BC51" s="36" t="s">
        <v>114</v>
      </c>
      <c r="BD51" s="327">
        <f t="shared" si="145"/>
        <v>0.6</v>
      </c>
      <c r="BE51" s="328">
        <f t="shared" si="146"/>
        <v>0.6</v>
      </c>
      <c r="BF51" s="328">
        <f t="shared" si="146"/>
        <v>0.6</v>
      </c>
      <c r="BG51" s="328">
        <f t="shared" si="146"/>
        <v>0.6</v>
      </c>
      <c r="BH51" s="328">
        <f t="shared" si="146"/>
        <v>0.6</v>
      </c>
      <c r="BI51" s="328">
        <f t="shared" si="146"/>
        <v>0.6</v>
      </c>
      <c r="BJ51" s="328">
        <f t="shared" si="146"/>
        <v>0.6</v>
      </c>
      <c r="BK51" s="329">
        <f t="shared" si="146"/>
        <v>0.6</v>
      </c>
    </row>
    <row r="52" spans="1:63" ht="15.75">
      <c r="A52" s="36" t="s">
        <v>115</v>
      </c>
      <c r="B52" s="44">
        <f>'환기량 산정'!I1492</f>
        <v>2.5000000000000001E-2</v>
      </c>
      <c r="C52" s="38">
        <f t="shared" si="139"/>
        <v>2.5000000000000001E-2</v>
      </c>
      <c r="D52" s="38">
        <f t="shared" si="139"/>
        <v>2.5000000000000001E-2</v>
      </c>
      <c r="E52" s="38">
        <f t="shared" si="139"/>
        <v>2.5000000000000001E-2</v>
      </c>
      <c r="F52" s="38">
        <f t="shared" si="139"/>
        <v>2.5000000000000001E-2</v>
      </c>
      <c r="G52" s="63">
        <f t="shared" si="139"/>
        <v>2.5000000000000001E-2</v>
      </c>
      <c r="H52" s="38">
        <f t="shared" si="139"/>
        <v>2.5000000000000001E-2</v>
      </c>
      <c r="I52" s="39">
        <f t="shared" si="139"/>
        <v>2.5000000000000001E-2</v>
      </c>
      <c r="J52" s="36" t="s">
        <v>115</v>
      </c>
      <c r="K52" s="62">
        <f>B52</f>
        <v>2.5000000000000001E-2</v>
      </c>
      <c r="L52" s="38">
        <f t="shared" si="140"/>
        <v>2.5000000000000001E-2</v>
      </c>
      <c r="M52" s="38">
        <f t="shared" si="140"/>
        <v>2.5000000000000001E-2</v>
      </c>
      <c r="N52" s="38">
        <f t="shared" si="140"/>
        <v>2.5000000000000001E-2</v>
      </c>
      <c r="O52" s="38">
        <f t="shared" si="140"/>
        <v>2.5000000000000001E-2</v>
      </c>
      <c r="P52" s="38">
        <f t="shared" si="140"/>
        <v>2.5000000000000001E-2</v>
      </c>
      <c r="Q52" s="38">
        <f t="shared" si="140"/>
        <v>2.5000000000000001E-2</v>
      </c>
      <c r="R52" s="39">
        <f t="shared" si="140"/>
        <v>2.5000000000000001E-2</v>
      </c>
      <c r="S52" s="181" t="s">
        <v>115</v>
      </c>
      <c r="T52" s="44">
        <f>K52</f>
        <v>2.5000000000000001E-2</v>
      </c>
      <c r="U52" s="38">
        <f t="shared" si="141"/>
        <v>2.5000000000000001E-2</v>
      </c>
      <c r="V52" s="38">
        <f t="shared" si="141"/>
        <v>2.5000000000000001E-2</v>
      </c>
      <c r="W52" s="38">
        <f t="shared" si="141"/>
        <v>2.5000000000000001E-2</v>
      </c>
      <c r="X52" s="38">
        <f t="shared" si="141"/>
        <v>2.5000000000000001E-2</v>
      </c>
      <c r="Y52" s="38">
        <f t="shared" si="141"/>
        <v>2.5000000000000001E-2</v>
      </c>
      <c r="Z52" s="38">
        <f t="shared" si="141"/>
        <v>2.5000000000000001E-2</v>
      </c>
      <c r="AA52" s="39">
        <f t="shared" si="141"/>
        <v>2.5000000000000001E-2</v>
      </c>
      <c r="AB52" s="36" t="s">
        <v>342</v>
      </c>
      <c r="AC52" s="44">
        <f t="shared" ref="AC52:AD52" si="150">ROUND(B58*B49*B56^2*B55/B47*(1-AC42/B56)*B64,4)</f>
        <v>13.291399999999999</v>
      </c>
      <c r="AD52" s="38">
        <f t="shared" si="150"/>
        <v>13.291399999999999</v>
      </c>
      <c r="AE52" s="38">
        <f t="shared" ref="AE52:AJ52" si="151">ROUND($B$58*D49*D56^2*D55/D47*(1-AE42/D56)*D64,4)</f>
        <v>13.291399999999999</v>
      </c>
      <c r="AF52" s="38">
        <f t="shared" si="151"/>
        <v>13.291399999999999</v>
      </c>
      <c r="AG52" s="38">
        <f t="shared" si="151"/>
        <v>13.291399999999999</v>
      </c>
      <c r="AH52" s="38">
        <f t="shared" si="151"/>
        <v>13.291399999999999</v>
      </c>
      <c r="AI52" s="38">
        <f t="shared" si="151"/>
        <v>13.291399999999999</v>
      </c>
      <c r="AJ52" s="38">
        <f t="shared" si="151"/>
        <v>13.291399999999999</v>
      </c>
      <c r="AK52" s="165" t="s">
        <v>152</v>
      </c>
      <c r="AL52" s="170" t="b">
        <f t="shared" ref="AL52:AS52" si="152">IF(AL53&gt;0,ROUND((-AL55+SQRT(AL55^2-4*AL54*AL56))/(2*AL54),4))</f>
        <v>0</v>
      </c>
      <c r="AM52" s="171">
        <f t="shared" si="152"/>
        <v>1.6176999999999999</v>
      </c>
      <c r="AN52" s="171">
        <f t="shared" si="152"/>
        <v>2.7490000000000001</v>
      </c>
      <c r="AO52" s="171">
        <f t="shared" si="152"/>
        <v>3.6374</v>
      </c>
      <c r="AP52" s="171">
        <f t="shared" si="152"/>
        <v>4.4442000000000004</v>
      </c>
      <c r="AQ52" s="171">
        <f t="shared" si="152"/>
        <v>5.0750999999999999</v>
      </c>
      <c r="AR52" s="171">
        <f t="shared" si="152"/>
        <v>5.7001999999999997</v>
      </c>
      <c r="AS52" s="172">
        <f t="shared" si="152"/>
        <v>6.2906000000000004</v>
      </c>
      <c r="AT52" s="36" t="s">
        <v>115</v>
      </c>
      <c r="AU52" s="327">
        <f t="shared" si="143"/>
        <v>2.5000000000000001E-2</v>
      </c>
      <c r="AV52" s="328">
        <f t="shared" si="144"/>
        <v>2.5000000000000001E-2</v>
      </c>
      <c r="AW52" s="328">
        <f t="shared" si="144"/>
        <v>2.5000000000000001E-2</v>
      </c>
      <c r="AX52" s="328">
        <f t="shared" si="144"/>
        <v>2.5000000000000001E-2</v>
      </c>
      <c r="AY52" s="328">
        <f t="shared" si="144"/>
        <v>2.5000000000000001E-2</v>
      </c>
      <c r="AZ52" s="328">
        <f t="shared" si="144"/>
        <v>2.5000000000000001E-2</v>
      </c>
      <c r="BA52" s="328">
        <f t="shared" si="144"/>
        <v>2.5000000000000001E-2</v>
      </c>
      <c r="BB52" s="329">
        <f t="shared" si="144"/>
        <v>2.5000000000000001E-2</v>
      </c>
      <c r="BC52" s="36" t="s">
        <v>115</v>
      </c>
      <c r="BD52" s="327">
        <f t="shared" si="145"/>
        <v>2.5000000000000001E-2</v>
      </c>
      <c r="BE52" s="328">
        <f t="shared" si="146"/>
        <v>2.5000000000000001E-2</v>
      </c>
      <c r="BF52" s="328">
        <f t="shared" si="146"/>
        <v>2.5000000000000001E-2</v>
      </c>
      <c r="BG52" s="328">
        <f t="shared" si="146"/>
        <v>2.5000000000000001E-2</v>
      </c>
      <c r="BH52" s="328">
        <f t="shared" si="146"/>
        <v>2.5000000000000001E-2</v>
      </c>
      <c r="BI52" s="328">
        <f t="shared" si="146"/>
        <v>2.5000000000000001E-2</v>
      </c>
      <c r="BJ52" s="328">
        <f t="shared" si="146"/>
        <v>2.5000000000000001E-2</v>
      </c>
      <c r="BK52" s="329">
        <f t="shared" si="146"/>
        <v>2.5000000000000001E-2</v>
      </c>
    </row>
    <row r="53" spans="1:63" ht="15.75">
      <c r="A53" s="36" t="s">
        <v>91</v>
      </c>
      <c r="B53" s="44">
        <f>'환기량 산정'!I1489</f>
        <v>7.8949999999999996</v>
      </c>
      <c r="C53" s="38">
        <f t="shared" si="139"/>
        <v>7.8949999999999996</v>
      </c>
      <c r="D53" s="38">
        <f t="shared" si="139"/>
        <v>7.8949999999999996</v>
      </c>
      <c r="E53" s="38">
        <f t="shared" si="139"/>
        <v>7.8949999999999996</v>
      </c>
      <c r="F53" s="38">
        <f t="shared" si="139"/>
        <v>7.8949999999999996</v>
      </c>
      <c r="G53" s="63">
        <f t="shared" si="139"/>
        <v>7.8949999999999996</v>
      </c>
      <c r="H53" s="38">
        <f t="shared" si="139"/>
        <v>7.8949999999999996</v>
      </c>
      <c r="I53" s="39">
        <f t="shared" si="139"/>
        <v>7.8949999999999996</v>
      </c>
      <c r="J53" s="36" t="s">
        <v>91</v>
      </c>
      <c r="K53" s="62">
        <f>B53</f>
        <v>7.8949999999999996</v>
      </c>
      <c r="L53" s="38">
        <f t="shared" si="140"/>
        <v>7.8949999999999996</v>
      </c>
      <c r="M53" s="38">
        <f t="shared" si="140"/>
        <v>7.8949999999999996</v>
      </c>
      <c r="N53" s="38">
        <f t="shared" si="140"/>
        <v>7.8949999999999996</v>
      </c>
      <c r="O53" s="38">
        <f t="shared" si="140"/>
        <v>7.8949999999999996</v>
      </c>
      <c r="P53" s="38">
        <f t="shared" si="140"/>
        <v>7.8949999999999996</v>
      </c>
      <c r="Q53" s="38">
        <f t="shared" si="140"/>
        <v>7.8949999999999996</v>
      </c>
      <c r="R53" s="39">
        <f t="shared" si="140"/>
        <v>7.8949999999999996</v>
      </c>
      <c r="S53" s="181" t="s">
        <v>91</v>
      </c>
      <c r="T53" s="44">
        <f>K53</f>
        <v>7.8949999999999996</v>
      </c>
      <c r="U53" s="38">
        <f t="shared" si="141"/>
        <v>7.8949999999999996</v>
      </c>
      <c r="V53" s="38">
        <f t="shared" si="141"/>
        <v>7.8949999999999996</v>
      </c>
      <c r="W53" s="38">
        <f t="shared" si="141"/>
        <v>7.8949999999999996</v>
      </c>
      <c r="X53" s="38">
        <f t="shared" si="141"/>
        <v>7.8949999999999996</v>
      </c>
      <c r="Y53" s="38">
        <f t="shared" si="141"/>
        <v>7.8949999999999996</v>
      </c>
      <c r="Z53" s="38">
        <f t="shared" si="141"/>
        <v>7.8949999999999996</v>
      </c>
      <c r="AA53" s="39">
        <f t="shared" si="141"/>
        <v>7.8949999999999996</v>
      </c>
      <c r="AB53" s="181" t="s">
        <v>172</v>
      </c>
      <c r="AC53" s="37">
        <f t="shared" ref="AC53:AJ53" si="153">ROUND(AC51/AC52,2)</f>
        <v>-1.57</v>
      </c>
      <c r="AD53" s="38">
        <f t="shared" si="153"/>
        <v>-1.57</v>
      </c>
      <c r="AE53" s="38">
        <f t="shared" si="153"/>
        <v>-1.57</v>
      </c>
      <c r="AF53" s="38">
        <f t="shared" si="153"/>
        <v>-1.57</v>
      </c>
      <c r="AG53" s="38">
        <f t="shared" si="153"/>
        <v>-1.57</v>
      </c>
      <c r="AH53" s="63">
        <f t="shared" si="153"/>
        <v>-1.57</v>
      </c>
      <c r="AI53" s="38">
        <f t="shared" si="153"/>
        <v>-1.57</v>
      </c>
      <c r="AJ53" s="39">
        <f t="shared" si="153"/>
        <v>-1.57</v>
      </c>
      <c r="AK53" s="166" t="s">
        <v>153</v>
      </c>
      <c r="AL53" s="44">
        <f t="shared" ref="AL53:AS53" si="154">ROUND(AL55^2-4*AL54*AL56,4)</f>
        <v>-228.5849</v>
      </c>
      <c r="AM53" s="38">
        <f t="shared" si="154"/>
        <v>429.1354</v>
      </c>
      <c r="AN53" s="38">
        <f t="shared" si="154"/>
        <v>782.92719999999997</v>
      </c>
      <c r="AO53" s="38">
        <f t="shared" si="154"/>
        <v>1119.0835</v>
      </c>
      <c r="AP53" s="38">
        <f t="shared" si="154"/>
        <v>1486.5201</v>
      </c>
      <c r="AQ53" s="38">
        <f t="shared" si="154"/>
        <v>1762.0264999999999</v>
      </c>
      <c r="AR53" s="38">
        <f t="shared" si="154"/>
        <v>2083.2368999999999</v>
      </c>
      <c r="AS53" s="39">
        <f t="shared" si="154"/>
        <v>2411.7921999999999</v>
      </c>
      <c r="AT53" s="36" t="s">
        <v>91</v>
      </c>
      <c r="AU53" s="327">
        <f t="shared" si="143"/>
        <v>7.8949999999999996</v>
      </c>
      <c r="AV53" s="328">
        <f t="shared" si="144"/>
        <v>7.8949999999999996</v>
      </c>
      <c r="AW53" s="328">
        <f t="shared" si="144"/>
        <v>7.8949999999999996</v>
      </c>
      <c r="AX53" s="328">
        <f t="shared" si="144"/>
        <v>7.8949999999999996</v>
      </c>
      <c r="AY53" s="328">
        <f t="shared" si="144"/>
        <v>7.8949999999999996</v>
      </c>
      <c r="AZ53" s="328">
        <f t="shared" si="144"/>
        <v>7.8949999999999996</v>
      </c>
      <c r="BA53" s="328">
        <f t="shared" si="144"/>
        <v>7.8949999999999996</v>
      </c>
      <c r="BB53" s="329">
        <f t="shared" si="144"/>
        <v>7.8949999999999996</v>
      </c>
      <c r="BC53" s="36" t="s">
        <v>91</v>
      </c>
      <c r="BD53" s="327">
        <f t="shared" si="145"/>
        <v>7.8949999999999996</v>
      </c>
      <c r="BE53" s="328">
        <f t="shared" si="146"/>
        <v>7.8949999999999996</v>
      </c>
      <c r="BF53" s="328">
        <f t="shared" si="146"/>
        <v>7.8949999999999996</v>
      </c>
      <c r="BG53" s="328">
        <f t="shared" si="146"/>
        <v>7.8949999999999996</v>
      </c>
      <c r="BH53" s="328">
        <f t="shared" si="146"/>
        <v>7.8949999999999996</v>
      </c>
      <c r="BI53" s="328">
        <f t="shared" si="146"/>
        <v>7.8949999999999996</v>
      </c>
      <c r="BJ53" s="328">
        <f t="shared" si="146"/>
        <v>7.8949999999999996</v>
      </c>
      <c r="BK53" s="329">
        <f t="shared" si="146"/>
        <v>7.8949999999999996</v>
      </c>
    </row>
    <row r="54" spans="1:63" ht="14.25" thickBot="1">
      <c r="A54" s="36" t="s">
        <v>116</v>
      </c>
      <c r="B54" s="44">
        <f>'환기량 산정'!I1486</f>
        <v>1.0750999999999999</v>
      </c>
      <c r="C54" s="38">
        <f t="shared" si="139"/>
        <v>1.0750999999999999</v>
      </c>
      <c r="D54" s="38">
        <f t="shared" si="139"/>
        <v>1.0750999999999999</v>
      </c>
      <c r="E54" s="38">
        <f t="shared" si="139"/>
        <v>1.0750999999999999</v>
      </c>
      <c r="F54" s="38">
        <f t="shared" si="139"/>
        <v>1.0750999999999999</v>
      </c>
      <c r="G54" s="63">
        <f t="shared" si="139"/>
        <v>1.0750999999999999</v>
      </c>
      <c r="H54" s="38">
        <f t="shared" si="139"/>
        <v>1.0750999999999999</v>
      </c>
      <c r="I54" s="39">
        <f t="shared" si="139"/>
        <v>1.0750999999999999</v>
      </c>
      <c r="J54" s="36" t="s">
        <v>116</v>
      </c>
      <c r="K54" s="62">
        <f>B54</f>
        <v>1.0750999999999999</v>
      </c>
      <c r="L54" s="38">
        <f t="shared" si="140"/>
        <v>1.0750999999999999</v>
      </c>
      <c r="M54" s="38">
        <f t="shared" si="140"/>
        <v>1.0750999999999999</v>
      </c>
      <c r="N54" s="38">
        <f t="shared" si="140"/>
        <v>1.0750999999999999</v>
      </c>
      <c r="O54" s="38">
        <f t="shared" si="140"/>
        <v>1.0750999999999999</v>
      </c>
      <c r="P54" s="38">
        <f t="shared" si="140"/>
        <v>1.0750999999999999</v>
      </c>
      <c r="Q54" s="38">
        <f t="shared" si="140"/>
        <v>1.0750999999999999</v>
      </c>
      <c r="R54" s="39">
        <f t="shared" si="140"/>
        <v>1.0750999999999999</v>
      </c>
      <c r="S54" s="181" t="s">
        <v>116</v>
      </c>
      <c r="T54" s="44">
        <f>K54</f>
        <v>1.0750999999999999</v>
      </c>
      <c r="U54" s="38">
        <f t="shared" si="141"/>
        <v>1.0750999999999999</v>
      </c>
      <c r="V54" s="38">
        <f t="shared" si="141"/>
        <v>1.0750999999999999</v>
      </c>
      <c r="W54" s="38">
        <f t="shared" si="141"/>
        <v>1.0750999999999999</v>
      </c>
      <c r="X54" s="38">
        <f t="shared" si="141"/>
        <v>1.0750999999999999</v>
      </c>
      <c r="Y54" s="38">
        <f t="shared" si="141"/>
        <v>1.0750999999999999</v>
      </c>
      <c r="Z54" s="38">
        <f t="shared" si="141"/>
        <v>1.0750999999999999</v>
      </c>
      <c r="AA54" s="39">
        <f t="shared" si="141"/>
        <v>1.0750999999999999</v>
      </c>
      <c r="AB54" s="194" t="s">
        <v>173</v>
      </c>
      <c r="AC54" s="50">
        <f t="shared" ref="AC54:AJ54" si="155">IF(AC53&lt;0,0,IF(AC53&gt;0,ROUNDUP(AC53,0)))</f>
        <v>0</v>
      </c>
      <c r="AD54" s="51">
        <f t="shared" si="155"/>
        <v>0</v>
      </c>
      <c r="AE54" s="51">
        <f t="shared" si="155"/>
        <v>0</v>
      </c>
      <c r="AF54" s="51">
        <f t="shared" si="155"/>
        <v>0</v>
      </c>
      <c r="AG54" s="51">
        <f t="shared" si="155"/>
        <v>0</v>
      </c>
      <c r="AH54" s="51">
        <f t="shared" si="155"/>
        <v>0</v>
      </c>
      <c r="AI54" s="51">
        <f t="shared" si="155"/>
        <v>0</v>
      </c>
      <c r="AJ54" s="52">
        <f t="shared" si="155"/>
        <v>0</v>
      </c>
      <c r="AK54" s="166" t="s">
        <v>125</v>
      </c>
      <c r="AL54" s="44">
        <f>ROUND(AL48-AL49,4)</f>
        <v>4.7895000000000003</v>
      </c>
      <c r="AM54" s="38">
        <f t="shared" ref="AM54:AS54" si="156">ROUND(AM48-AM49,4)</f>
        <v>1.1504000000000001</v>
      </c>
      <c r="AN54" s="38">
        <f t="shared" si="156"/>
        <v>1.4912000000000001</v>
      </c>
      <c r="AO54" s="38">
        <f t="shared" si="156"/>
        <v>1.7441</v>
      </c>
      <c r="AP54" s="38">
        <f t="shared" si="156"/>
        <v>1.8979999999999999</v>
      </c>
      <c r="AQ54" s="38">
        <f t="shared" si="156"/>
        <v>2.0409000000000002</v>
      </c>
      <c r="AR54" s="38">
        <f t="shared" si="156"/>
        <v>2.1288999999999998</v>
      </c>
      <c r="AS54" s="39">
        <f t="shared" si="156"/>
        <v>2.1949000000000001</v>
      </c>
      <c r="AT54" s="36" t="s">
        <v>116</v>
      </c>
      <c r="AU54" s="327">
        <f t="shared" si="143"/>
        <v>1.0750999999999999</v>
      </c>
      <c r="AV54" s="328">
        <f t="shared" si="144"/>
        <v>1.0750999999999999</v>
      </c>
      <c r="AW54" s="328">
        <f t="shared" si="144"/>
        <v>1.0750999999999999</v>
      </c>
      <c r="AX54" s="328">
        <f t="shared" si="144"/>
        <v>1.0750999999999999</v>
      </c>
      <c r="AY54" s="328">
        <f t="shared" si="144"/>
        <v>1.0750999999999999</v>
      </c>
      <c r="AZ54" s="328">
        <f t="shared" si="144"/>
        <v>1.0750999999999999</v>
      </c>
      <c r="BA54" s="328">
        <f t="shared" si="144"/>
        <v>1.0750999999999999</v>
      </c>
      <c r="BB54" s="329">
        <f t="shared" si="144"/>
        <v>1.0750999999999999</v>
      </c>
      <c r="BC54" s="36" t="s">
        <v>116</v>
      </c>
      <c r="BD54" s="327">
        <f t="shared" si="145"/>
        <v>1.0750999999999999</v>
      </c>
      <c r="BE54" s="328">
        <f t="shared" si="146"/>
        <v>1.0750999999999999</v>
      </c>
      <c r="BF54" s="328">
        <f t="shared" si="146"/>
        <v>1.0750999999999999</v>
      </c>
      <c r="BG54" s="328">
        <f t="shared" si="146"/>
        <v>1.0750999999999999</v>
      </c>
      <c r="BH54" s="328">
        <f t="shared" si="146"/>
        <v>1.0750999999999999</v>
      </c>
      <c r="BI54" s="328">
        <f t="shared" si="146"/>
        <v>1.0750999999999999</v>
      </c>
      <c r="BJ54" s="328">
        <f t="shared" si="146"/>
        <v>1.0750999999999999</v>
      </c>
      <c r="BK54" s="329">
        <f t="shared" si="146"/>
        <v>1.0750999999999999</v>
      </c>
    </row>
    <row r="55" spans="1:63" ht="14.25" thickBot="1">
      <c r="A55" s="36" t="s">
        <v>117</v>
      </c>
      <c r="B55" s="44">
        <f t="shared" ref="B55:I55" si="157">IF($C$3=630,0.27,IF($C$3=710,0.396,IF($C$3=1030,0.83,IF($C$3=1250,1.227,IF($C$3=1530,1.83)))))</f>
        <v>0.83</v>
      </c>
      <c r="C55" s="38">
        <f t="shared" si="157"/>
        <v>0.83</v>
      </c>
      <c r="D55" s="38">
        <f t="shared" si="157"/>
        <v>0.83</v>
      </c>
      <c r="E55" s="38">
        <f t="shared" si="157"/>
        <v>0.83</v>
      </c>
      <c r="F55" s="38">
        <f t="shared" si="157"/>
        <v>0.83</v>
      </c>
      <c r="G55" s="63">
        <f t="shared" si="157"/>
        <v>0.83</v>
      </c>
      <c r="H55" s="38">
        <f t="shared" si="157"/>
        <v>0.83</v>
      </c>
      <c r="I55" s="39">
        <f t="shared" si="157"/>
        <v>0.83</v>
      </c>
      <c r="J55" s="36" t="s">
        <v>117</v>
      </c>
      <c r="K55" s="62">
        <f t="shared" ref="K55:R55" si="158">IF($C$3=630,0.27,IF($C$3=710,0.396,IF($C$3=1030,0.83,IF($C$3=1250,1.227,IF($C$3=1530,1.83)))))</f>
        <v>0.83</v>
      </c>
      <c r="L55" s="38">
        <f t="shared" si="158"/>
        <v>0.83</v>
      </c>
      <c r="M55" s="38">
        <f t="shared" si="158"/>
        <v>0.83</v>
      </c>
      <c r="N55" s="38">
        <f t="shared" si="158"/>
        <v>0.83</v>
      </c>
      <c r="O55" s="38">
        <f t="shared" si="158"/>
        <v>0.83</v>
      </c>
      <c r="P55" s="38">
        <f t="shared" si="158"/>
        <v>0.83</v>
      </c>
      <c r="Q55" s="38">
        <f t="shared" si="158"/>
        <v>0.83</v>
      </c>
      <c r="R55" s="39">
        <f t="shared" si="158"/>
        <v>0.83</v>
      </c>
      <c r="S55" s="181" t="s">
        <v>117</v>
      </c>
      <c r="T55" s="44">
        <f t="shared" ref="T55:AA55" si="159">IF($C$3=630,0.27,IF($C$3=710,0.396,IF($C$3=1030,0.83,IF($C$3=1250,1.227,IF($C$3=1530,1.83)))))</f>
        <v>0.83</v>
      </c>
      <c r="U55" s="38">
        <f t="shared" si="159"/>
        <v>0.83</v>
      </c>
      <c r="V55" s="38">
        <f t="shared" si="159"/>
        <v>0.83</v>
      </c>
      <c r="W55" s="38">
        <f t="shared" si="159"/>
        <v>0.83</v>
      </c>
      <c r="X55" s="38">
        <f t="shared" si="159"/>
        <v>0.83</v>
      </c>
      <c r="Y55" s="38">
        <f t="shared" si="159"/>
        <v>0.83</v>
      </c>
      <c r="Z55" s="38">
        <f t="shared" si="159"/>
        <v>0.83</v>
      </c>
      <c r="AA55" s="39">
        <f t="shared" si="159"/>
        <v>0.83</v>
      </c>
      <c r="AB55" s="195" t="str">
        <f>CONCATENATE("예비용 ",AC57," 포함")</f>
        <v>예비용 2 포함</v>
      </c>
      <c r="AC55" s="132">
        <f t="shared" ref="AC55:AJ55" si="160">AC54+$AC$57</f>
        <v>2</v>
      </c>
      <c r="AD55" s="133">
        <f t="shared" si="160"/>
        <v>2</v>
      </c>
      <c r="AE55" s="133">
        <f t="shared" si="160"/>
        <v>2</v>
      </c>
      <c r="AF55" s="133">
        <f t="shared" si="160"/>
        <v>2</v>
      </c>
      <c r="AG55" s="133">
        <f t="shared" si="160"/>
        <v>2</v>
      </c>
      <c r="AH55" s="133">
        <f t="shared" si="160"/>
        <v>2</v>
      </c>
      <c r="AI55" s="133">
        <f t="shared" si="160"/>
        <v>2</v>
      </c>
      <c r="AJ55" s="134">
        <f t="shared" si="160"/>
        <v>2</v>
      </c>
      <c r="AK55" s="166" t="s">
        <v>251</v>
      </c>
      <c r="AL55" s="44">
        <f t="shared" ref="AL55:AS55" si="161">ROUND(2*AL49*B42+AL51*AL47,4)</f>
        <v>-11.252800000000001</v>
      </c>
      <c r="AM55" s="38">
        <f t="shared" si="161"/>
        <v>16.993600000000001</v>
      </c>
      <c r="AN55" s="38">
        <f t="shared" si="161"/>
        <v>19.7821</v>
      </c>
      <c r="AO55" s="38">
        <f t="shared" si="161"/>
        <v>20.764600000000002</v>
      </c>
      <c r="AP55" s="38">
        <f t="shared" si="161"/>
        <v>21.685099999999998</v>
      </c>
      <c r="AQ55" s="38">
        <f t="shared" si="161"/>
        <v>21.260899999999999</v>
      </c>
      <c r="AR55" s="38">
        <f t="shared" si="161"/>
        <v>21.372299999999999</v>
      </c>
      <c r="AS55" s="39">
        <f t="shared" si="161"/>
        <v>21.4956</v>
      </c>
      <c r="AT55" s="36" t="s">
        <v>117</v>
      </c>
      <c r="AU55" s="327">
        <f t="shared" si="143"/>
        <v>0.83</v>
      </c>
      <c r="AV55" s="328">
        <f t="shared" ref="AV55:BB55" si="162">IF($C$3=630,0.27,IF($C$3=710,0.396,IF($C$3=1030,0.83,IF($C$3=1250,1.227,IF($C$3=1530,1.83)))))</f>
        <v>0.83</v>
      </c>
      <c r="AW55" s="328">
        <f t="shared" si="162"/>
        <v>0.83</v>
      </c>
      <c r="AX55" s="328">
        <f t="shared" si="162"/>
        <v>0.83</v>
      </c>
      <c r="AY55" s="328">
        <f t="shared" si="162"/>
        <v>0.83</v>
      </c>
      <c r="AZ55" s="328">
        <f t="shared" si="162"/>
        <v>0.83</v>
      </c>
      <c r="BA55" s="328">
        <f t="shared" si="162"/>
        <v>0.83</v>
      </c>
      <c r="BB55" s="329">
        <f t="shared" si="162"/>
        <v>0.83</v>
      </c>
      <c r="BC55" s="36" t="s">
        <v>117</v>
      </c>
      <c r="BD55" s="327">
        <f t="shared" si="145"/>
        <v>0.83</v>
      </c>
      <c r="BE55" s="328">
        <f t="shared" ref="BE55:BK55" si="163">IF($C$3=630,0.27,IF($C$3=710,0.396,IF($C$3=1030,0.83,IF($C$3=1250,1.227,IF($C$3=1530,1.83)))))</f>
        <v>0.83</v>
      </c>
      <c r="BF55" s="328">
        <f t="shared" si="163"/>
        <v>0.83</v>
      </c>
      <c r="BG55" s="328">
        <f t="shared" si="163"/>
        <v>0.83</v>
      </c>
      <c r="BH55" s="328">
        <f t="shared" si="163"/>
        <v>0.83</v>
      </c>
      <c r="BI55" s="328">
        <f t="shared" si="163"/>
        <v>0.83</v>
      </c>
      <c r="BJ55" s="328">
        <f t="shared" si="163"/>
        <v>0.83</v>
      </c>
      <c r="BK55" s="329">
        <f t="shared" si="163"/>
        <v>0.83</v>
      </c>
    </row>
    <row r="56" spans="1:63" ht="15.75">
      <c r="A56" s="36" t="s">
        <v>118</v>
      </c>
      <c r="B56" s="62">
        <f>B21</f>
        <v>30</v>
      </c>
      <c r="C56" s="38">
        <f t="shared" ref="C56:I56" si="164">B56</f>
        <v>30</v>
      </c>
      <c r="D56" s="38">
        <f t="shared" si="164"/>
        <v>30</v>
      </c>
      <c r="E56" s="38">
        <f t="shared" si="164"/>
        <v>30</v>
      </c>
      <c r="F56" s="38">
        <f t="shared" si="164"/>
        <v>30</v>
      </c>
      <c r="G56" s="63">
        <f t="shared" si="164"/>
        <v>30</v>
      </c>
      <c r="H56" s="38">
        <f t="shared" si="164"/>
        <v>30</v>
      </c>
      <c r="I56" s="39">
        <f t="shared" si="164"/>
        <v>30</v>
      </c>
      <c r="J56" s="36" t="s">
        <v>118</v>
      </c>
      <c r="K56" s="62">
        <f>B56</f>
        <v>30</v>
      </c>
      <c r="L56" s="38">
        <f t="shared" ref="L56:R56" si="165">K56</f>
        <v>30</v>
      </c>
      <c r="M56" s="38">
        <f t="shared" si="165"/>
        <v>30</v>
      </c>
      <c r="N56" s="38">
        <f t="shared" si="165"/>
        <v>30</v>
      </c>
      <c r="O56" s="38">
        <f t="shared" si="165"/>
        <v>30</v>
      </c>
      <c r="P56" s="38">
        <f t="shared" si="165"/>
        <v>30</v>
      </c>
      <c r="Q56" s="38">
        <f t="shared" si="165"/>
        <v>30</v>
      </c>
      <c r="R56" s="39">
        <f t="shared" si="165"/>
        <v>30</v>
      </c>
      <c r="S56" s="181" t="s">
        <v>118</v>
      </c>
      <c r="T56" s="62">
        <f>K56</f>
        <v>30</v>
      </c>
      <c r="U56" s="38">
        <f t="shared" ref="U56:AA56" si="166">T56</f>
        <v>30</v>
      </c>
      <c r="V56" s="38">
        <f t="shared" si="166"/>
        <v>30</v>
      </c>
      <c r="W56" s="38">
        <f t="shared" si="166"/>
        <v>30</v>
      </c>
      <c r="X56" s="38">
        <f t="shared" si="166"/>
        <v>30</v>
      </c>
      <c r="Y56" s="38">
        <f t="shared" si="166"/>
        <v>30</v>
      </c>
      <c r="Z56" s="38">
        <f t="shared" si="166"/>
        <v>30</v>
      </c>
      <c r="AA56" s="39">
        <f t="shared" si="166"/>
        <v>30</v>
      </c>
      <c r="AJ56" s="72"/>
      <c r="AK56" s="166" t="s">
        <v>252</v>
      </c>
      <c r="AL56" s="44">
        <f t="shared" ref="AL56:AS56" si="167">ROUND(AL48*B45^2-AL49*B42^2-AL51*B56*AL47,4)</f>
        <v>18.5411</v>
      </c>
      <c r="AM56" s="38">
        <f t="shared" si="167"/>
        <v>-30.500900000000001</v>
      </c>
      <c r="AN56" s="38">
        <f t="shared" si="167"/>
        <v>-65.6511</v>
      </c>
      <c r="AO56" s="38">
        <f t="shared" si="167"/>
        <v>-98.605999999999995</v>
      </c>
      <c r="AP56" s="38">
        <f t="shared" si="167"/>
        <v>-133.86150000000001</v>
      </c>
      <c r="AQ56" s="38">
        <f t="shared" si="167"/>
        <v>-160.46850000000001</v>
      </c>
      <c r="AR56" s="38">
        <f t="shared" si="167"/>
        <v>-190.99789999999999</v>
      </c>
      <c r="AS56" s="39">
        <f t="shared" si="167"/>
        <v>-222.0752</v>
      </c>
      <c r="AT56" s="36" t="s">
        <v>118</v>
      </c>
      <c r="AU56" s="327">
        <f t="shared" si="143"/>
        <v>30</v>
      </c>
      <c r="AV56" s="328">
        <f t="shared" ref="AV56:BB56" si="168">AU56</f>
        <v>30</v>
      </c>
      <c r="AW56" s="328">
        <f t="shared" si="168"/>
        <v>30</v>
      </c>
      <c r="AX56" s="328">
        <f t="shared" si="168"/>
        <v>30</v>
      </c>
      <c r="AY56" s="328">
        <f t="shared" si="168"/>
        <v>30</v>
      </c>
      <c r="AZ56" s="328">
        <f t="shared" si="168"/>
        <v>30</v>
      </c>
      <c r="BA56" s="328">
        <f t="shared" si="168"/>
        <v>30</v>
      </c>
      <c r="BB56" s="329">
        <f t="shared" si="168"/>
        <v>30</v>
      </c>
      <c r="BC56" s="36" t="s">
        <v>118</v>
      </c>
      <c r="BD56" s="327">
        <f t="shared" si="145"/>
        <v>30</v>
      </c>
      <c r="BE56" s="328">
        <f t="shared" ref="BE56:BK56" si="169">BD56</f>
        <v>30</v>
      </c>
      <c r="BF56" s="328">
        <f t="shared" si="169"/>
        <v>30</v>
      </c>
      <c r="BG56" s="328">
        <f t="shared" si="169"/>
        <v>30</v>
      </c>
      <c r="BH56" s="328">
        <f t="shared" si="169"/>
        <v>30</v>
      </c>
      <c r="BI56" s="328">
        <f t="shared" si="169"/>
        <v>30</v>
      </c>
      <c r="BJ56" s="328">
        <f t="shared" si="169"/>
        <v>30</v>
      </c>
      <c r="BK56" s="329">
        <f t="shared" si="169"/>
        <v>30</v>
      </c>
    </row>
    <row r="57" spans="1:63">
      <c r="A57" s="36" t="s">
        <v>119</v>
      </c>
      <c r="B57" s="44">
        <f t="shared" ref="B57:I57" si="170">ROUND(B46*B48/3600/B42+0.4,0)</f>
        <v>192</v>
      </c>
      <c r="C57" s="38">
        <f t="shared" si="170"/>
        <v>139</v>
      </c>
      <c r="D57" s="38">
        <f t="shared" si="170"/>
        <v>108</v>
      </c>
      <c r="E57" s="38">
        <f t="shared" si="170"/>
        <v>85</v>
      </c>
      <c r="F57" s="38">
        <f t="shared" si="170"/>
        <v>71</v>
      </c>
      <c r="G57" s="63">
        <f t="shared" si="170"/>
        <v>58</v>
      </c>
      <c r="H57" s="38">
        <f t="shared" si="170"/>
        <v>50</v>
      </c>
      <c r="I57" s="39">
        <f t="shared" si="170"/>
        <v>44</v>
      </c>
      <c r="J57" s="36" t="s">
        <v>119</v>
      </c>
      <c r="K57" s="62">
        <f t="shared" ref="K57:R57" si="171">ROUND(K46*K48/3600/K42+0.4,0)</f>
        <v>192</v>
      </c>
      <c r="L57" s="38">
        <f t="shared" si="171"/>
        <v>139</v>
      </c>
      <c r="M57" s="38">
        <f t="shared" si="171"/>
        <v>108</v>
      </c>
      <c r="N57" s="38">
        <f t="shared" si="171"/>
        <v>85</v>
      </c>
      <c r="O57" s="38">
        <f t="shared" si="171"/>
        <v>71</v>
      </c>
      <c r="P57" s="38">
        <f t="shared" si="171"/>
        <v>58</v>
      </c>
      <c r="Q57" s="38">
        <f t="shared" si="171"/>
        <v>50</v>
      </c>
      <c r="R57" s="39">
        <f t="shared" si="171"/>
        <v>44</v>
      </c>
      <c r="S57" s="181" t="s">
        <v>119</v>
      </c>
      <c r="T57" s="44">
        <f t="shared" ref="T57:AA57" si="172">ROUND(T46*T48/3600/T42+0.4,0)</f>
        <v>192</v>
      </c>
      <c r="U57" s="38">
        <f t="shared" si="172"/>
        <v>139</v>
      </c>
      <c r="V57" s="38">
        <f t="shared" si="172"/>
        <v>108</v>
      </c>
      <c r="W57" s="38">
        <f t="shared" si="172"/>
        <v>85</v>
      </c>
      <c r="X57" s="38">
        <f t="shared" si="172"/>
        <v>71</v>
      </c>
      <c r="Y57" s="38">
        <f t="shared" si="172"/>
        <v>58</v>
      </c>
      <c r="Z57" s="38">
        <f t="shared" si="172"/>
        <v>50</v>
      </c>
      <c r="AA57" s="39">
        <f t="shared" si="172"/>
        <v>44</v>
      </c>
      <c r="AB57" s="12" t="s">
        <v>221</v>
      </c>
      <c r="AC57" s="135">
        <f>AC22</f>
        <v>2</v>
      </c>
      <c r="AD57" s="3" t="s">
        <v>213</v>
      </c>
      <c r="AE57" s="7"/>
      <c r="AF57" s="7"/>
      <c r="AG57" s="7"/>
      <c r="AH57" s="7"/>
      <c r="AI57" s="7"/>
      <c r="AJ57" s="7"/>
      <c r="AK57" s="167" t="s">
        <v>126</v>
      </c>
      <c r="AL57" s="170">
        <f t="shared" ref="AL57:AS57" si="173">ROUND(AL52*B47,4)</f>
        <v>0</v>
      </c>
      <c r="AM57" s="171">
        <f t="shared" si="173"/>
        <v>94.914000000000001</v>
      </c>
      <c r="AN57" s="171">
        <f t="shared" si="173"/>
        <v>161.28980000000001</v>
      </c>
      <c r="AO57" s="171">
        <f t="shared" si="173"/>
        <v>213.41409999999999</v>
      </c>
      <c r="AP57" s="171">
        <f t="shared" si="173"/>
        <v>260.75080000000003</v>
      </c>
      <c r="AQ57" s="171">
        <f t="shared" si="173"/>
        <v>297.76710000000003</v>
      </c>
      <c r="AR57" s="171">
        <f t="shared" si="173"/>
        <v>334.44299999999998</v>
      </c>
      <c r="AS57" s="172">
        <f t="shared" si="173"/>
        <v>369.0831</v>
      </c>
      <c r="AT57" s="36" t="s">
        <v>119</v>
      </c>
      <c r="AU57" s="327">
        <f t="shared" si="143"/>
        <v>192</v>
      </c>
      <c r="AV57" s="328">
        <f t="shared" ref="AV57:BB57" si="174">ROUND(AV46*AV48/3600/AV42+0.4,0)</f>
        <v>139</v>
      </c>
      <c r="AW57" s="328">
        <f t="shared" si="174"/>
        <v>108</v>
      </c>
      <c r="AX57" s="328">
        <f t="shared" si="174"/>
        <v>85</v>
      </c>
      <c r="AY57" s="328">
        <f t="shared" si="174"/>
        <v>71</v>
      </c>
      <c r="AZ57" s="328">
        <f t="shared" si="174"/>
        <v>58</v>
      </c>
      <c r="BA57" s="328">
        <f t="shared" si="174"/>
        <v>50</v>
      </c>
      <c r="BB57" s="329">
        <f t="shared" si="174"/>
        <v>44</v>
      </c>
      <c r="BC57" s="36" t="s">
        <v>119</v>
      </c>
      <c r="BD57" s="327">
        <f t="shared" si="145"/>
        <v>192</v>
      </c>
      <c r="BE57" s="328">
        <f t="shared" ref="BE57:BK57" si="175">ROUND(BE46*BE48/3600/BE42+0.4,0)</f>
        <v>139</v>
      </c>
      <c r="BF57" s="328">
        <f t="shared" si="175"/>
        <v>108</v>
      </c>
      <c r="BG57" s="328">
        <f t="shared" si="175"/>
        <v>85</v>
      </c>
      <c r="BH57" s="328">
        <f t="shared" si="175"/>
        <v>71</v>
      </c>
      <c r="BI57" s="328">
        <f t="shared" si="175"/>
        <v>58</v>
      </c>
      <c r="BJ57" s="328">
        <f t="shared" si="175"/>
        <v>50</v>
      </c>
      <c r="BK57" s="329">
        <f t="shared" si="175"/>
        <v>44</v>
      </c>
    </row>
    <row r="58" spans="1:63">
      <c r="A58" s="36" t="s">
        <v>343</v>
      </c>
      <c r="B58" s="44">
        <f>IF(B44&lt;4,0.99,IF(B44&lt;8,0.92,0.9))</f>
        <v>0.99</v>
      </c>
      <c r="C58" s="38">
        <f t="shared" ref="C58:I58" si="176">IF(C44&lt;4,0.99,IF(C44&lt;8,0.92,0.9))</f>
        <v>0.99</v>
      </c>
      <c r="D58" s="38">
        <f t="shared" si="176"/>
        <v>0.99</v>
      </c>
      <c r="E58" s="38">
        <f t="shared" si="176"/>
        <v>0.99</v>
      </c>
      <c r="F58" s="38">
        <f t="shared" si="176"/>
        <v>0.99</v>
      </c>
      <c r="G58" s="38">
        <f t="shared" si="176"/>
        <v>0.99</v>
      </c>
      <c r="H58" s="38">
        <f t="shared" si="176"/>
        <v>0.99</v>
      </c>
      <c r="I58" s="39">
        <f t="shared" si="176"/>
        <v>0.99</v>
      </c>
      <c r="J58" s="36" t="s">
        <v>343</v>
      </c>
      <c r="K58" s="44">
        <f>IF(K44&lt;4,0.99,IF(K44&lt;8,0.92,0.9))</f>
        <v>0.99</v>
      </c>
      <c r="L58" s="38">
        <f t="shared" ref="L58:R58" si="177">IF(L44&lt;4,0.99,IF(L44&lt;8,0.92,0.9))</f>
        <v>0.99</v>
      </c>
      <c r="M58" s="38">
        <f t="shared" si="177"/>
        <v>0.99</v>
      </c>
      <c r="N58" s="38">
        <f t="shared" si="177"/>
        <v>0.99</v>
      </c>
      <c r="O58" s="38">
        <f t="shared" si="177"/>
        <v>0.99</v>
      </c>
      <c r="P58" s="38">
        <f t="shared" si="177"/>
        <v>0.99</v>
      </c>
      <c r="Q58" s="38">
        <f t="shared" si="177"/>
        <v>0.99</v>
      </c>
      <c r="R58" s="39">
        <f t="shared" si="177"/>
        <v>0.99</v>
      </c>
      <c r="S58" s="36" t="s">
        <v>343</v>
      </c>
      <c r="T58" s="44">
        <f>IF(T44&lt;4,0.99,IF(T44&lt;8,0.92,0.9))</f>
        <v>0.99</v>
      </c>
      <c r="U58" s="38">
        <f t="shared" ref="U58:AA58" si="178">IF(U44&lt;4,0.99,IF(U44&lt;8,0.92,0.9))</f>
        <v>0.99</v>
      </c>
      <c r="V58" s="38">
        <f t="shared" si="178"/>
        <v>0.99</v>
      </c>
      <c r="W58" s="38">
        <f t="shared" si="178"/>
        <v>0.99</v>
      </c>
      <c r="X58" s="38">
        <f t="shared" si="178"/>
        <v>0.99</v>
      </c>
      <c r="Y58" s="38">
        <f t="shared" si="178"/>
        <v>0.99</v>
      </c>
      <c r="Z58" s="38">
        <f t="shared" si="178"/>
        <v>0.99</v>
      </c>
      <c r="AA58" s="39">
        <f t="shared" si="178"/>
        <v>0.99</v>
      </c>
      <c r="AB58" s="12"/>
      <c r="AC58" s="141"/>
      <c r="AE58" s="13"/>
      <c r="AF58" s="1216"/>
      <c r="AG58" s="141"/>
      <c r="AH58" s="13"/>
      <c r="AK58" s="168" t="s">
        <v>228</v>
      </c>
      <c r="AL58" s="62" t="e">
        <f t="shared" ref="AL58:AS58" si="179">ROUND(B43/AL57,4)</f>
        <v>#DIV/0!</v>
      </c>
      <c r="AM58" s="63">
        <f t="shared" si="179"/>
        <v>0.1686</v>
      </c>
      <c r="AN58" s="63">
        <f t="shared" si="179"/>
        <v>0.10539999999999999</v>
      </c>
      <c r="AO58" s="63">
        <f t="shared" si="179"/>
        <v>8.43E-2</v>
      </c>
      <c r="AP58" s="63">
        <f t="shared" si="179"/>
        <v>9.5899999999999999E-2</v>
      </c>
      <c r="AQ58" s="63">
        <f t="shared" si="179"/>
        <v>8.4000000000000005E-2</v>
      </c>
      <c r="AR58" s="63">
        <f t="shared" si="179"/>
        <v>7.4800000000000005E-2</v>
      </c>
      <c r="AS58" s="64">
        <f t="shared" si="179"/>
        <v>7.0400000000000004E-2</v>
      </c>
      <c r="AT58" s="69" t="s">
        <v>343</v>
      </c>
      <c r="AU58" s="350">
        <f t="shared" ref="AU58:BB58" si="180">IF(AU44&lt;4,0.99,IF(AU44&lt;8,0.92,0.9))</f>
        <v>0.99</v>
      </c>
      <c r="AV58" s="328">
        <f t="shared" si="180"/>
        <v>0.99</v>
      </c>
      <c r="AW58" s="328">
        <f t="shared" si="180"/>
        <v>0.99</v>
      </c>
      <c r="AX58" s="328">
        <f t="shared" si="180"/>
        <v>0.99</v>
      </c>
      <c r="AY58" s="328">
        <f t="shared" si="180"/>
        <v>0.99</v>
      </c>
      <c r="AZ58" s="328">
        <f t="shared" si="180"/>
        <v>0.99</v>
      </c>
      <c r="BA58" s="328">
        <f t="shared" si="180"/>
        <v>0.99</v>
      </c>
      <c r="BB58" s="329">
        <f t="shared" si="180"/>
        <v>0.99</v>
      </c>
      <c r="BC58" s="69" t="s">
        <v>343</v>
      </c>
      <c r="BD58" s="350">
        <f t="shared" ref="BD58:BK58" si="181">IF(BD44&lt;4,0.99,IF(BD44&lt;8,0.92,0.9))</f>
        <v>0.99</v>
      </c>
      <c r="BE58" s="328">
        <f t="shared" si="181"/>
        <v>0.99</v>
      </c>
      <c r="BF58" s="328">
        <f t="shared" si="181"/>
        <v>0.99</v>
      </c>
      <c r="BG58" s="328">
        <f t="shared" si="181"/>
        <v>0.99</v>
      </c>
      <c r="BH58" s="328">
        <f t="shared" si="181"/>
        <v>0.99</v>
      </c>
      <c r="BI58" s="328">
        <f t="shared" si="181"/>
        <v>0.99</v>
      </c>
      <c r="BJ58" s="328">
        <f t="shared" si="181"/>
        <v>0.99</v>
      </c>
      <c r="BK58" s="329">
        <f t="shared" si="181"/>
        <v>0.99</v>
      </c>
    </row>
    <row r="59" spans="1:63" ht="15.75">
      <c r="A59" s="36" t="s">
        <v>154</v>
      </c>
      <c r="B59" s="44">
        <f t="shared" ref="B59:I59" si="182">ROUND((1+B51+B52*B48/B53)*B49/2*B44^2,4)</f>
        <v>7.7799999999999994E-2</v>
      </c>
      <c r="C59" s="38">
        <f t="shared" si="182"/>
        <v>0.19919999999999999</v>
      </c>
      <c r="D59" s="38">
        <f t="shared" si="182"/>
        <v>0.2248</v>
      </c>
      <c r="E59" s="38">
        <f t="shared" si="182"/>
        <v>0.25209999999999999</v>
      </c>
      <c r="F59" s="38">
        <f t="shared" si="182"/>
        <v>0.48630000000000001</v>
      </c>
      <c r="G59" s="63">
        <f t="shared" si="182"/>
        <v>0.48630000000000001</v>
      </c>
      <c r="H59" s="38">
        <f t="shared" si="182"/>
        <v>0.48630000000000001</v>
      </c>
      <c r="I59" s="39">
        <f t="shared" si="182"/>
        <v>0.52590000000000003</v>
      </c>
      <c r="J59" s="36" t="s">
        <v>154</v>
      </c>
      <c r="K59" s="62">
        <f t="shared" ref="K59:R59" si="183">ROUND((1+K51+K52*K48/K53)*K49/2*K44^2,4)</f>
        <v>0.65449999999999997</v>
      </c>
      <c r="L59" s="38">
        <f t="shared" si="183"/>
        <v>0.61</v>
      </c>
      <c r="M59" s="38">
        <f t="shared" si="183"/>
        <v>0.34310000000000002</v>
      </c>
      <c r="N59" s="38">
        <f t="shared" si="183"/>
        <v>0.28079999999999999</v>
      </c>
      <c r="O59" s="38">
        <f t="shared" si="183"/>
        <v>0.25209999999999999</v>
      </c>
      <c r="P59" s="38">
        <f t="shared" si="183"/>
        <v>0.2248</v>
      </c>
      <c r="Q59" s="38">
        <f t="shared" si="183"/>
        <v>0.2248</v>
      </c>
      <c r="R59" s="39">
        <f t="shared" si="183"/>
        <v>0.28079999999999999</v>
      </c>
      <c r="S59" s="181" t="s">
        <v>154</v>
      </c>
      <c r="T59" s="44">
        <f t="shared" ref="T59:AA59" si="184">ROUND((1+T51+T52*T48/T53)*T49/2*T44^2,4)</f>
        <v>1.9400000000000001E-2</v>
      </c>
      <c r="U59" s="38">
        <f t="shared" si="184"/>
        <v>1.2500000000000001E-2</v>
      </c>
      <c r="V59" s="38">
        <f t="shared" si="184"/>
        <v>1.2500000000000001E-2</v>
      </c>
      <c r="W59" s="38">
        <f t="shared" si="184"/>
        <v>7.0000000000000001E-3</v>
      </c>
      <c r="X59" s="38">
        <f t="shared" si="184"/>
        <v>7.0000000000000001E-3</v>
      </c>
      <c r="Y59" s="38">
        <f t="shared" si="184"/>
        <v>7.0000000000000001E-3</v>
      </c>
      <c r="Z59" s="38">
        <f t="shared" si="184"/>
        <v>1.2500000000000001E-2</v>
      </c>
      <c r="AA59" s="39">
        <f t="shared" si="184"/>
        <v>1.2500000000000001E-2</v>
      </c>
      <c r="AI59" s="13"/>
      <c r="AK59" s="69" t="s">
        <v>229</v>
      </c>
      <c r="AL59" s="179" t="e">
        <f t="shared" ref="AL59:AS59" si="185">ROUND(K43/AL57,4)</f>
        <v>#DIV/0!</v>
      </c>
      <c r="AM59" s="63">
        <f t="shared" si="185"/>
        <v>0.29499999999999998</v>
      </c>
      <c r="AN59" s="63">
        <f t="shared" si="185"/>
        <v>0.13020000000000001</v>
      </c>
      <c r="AO59" s="63">
        <f t="shared" si="185"/>
        <v>8.8999999999999996E-2</v>
      </c>
      <c r="AP59" s="63">
        <f t="shared" si="185"/>
        <v>6.9000000000000006E-2</v>
      </c>
      <c r="AQ59" s="63">
        <f t="shared" si="185"/>
        <v>5.7099999999999998E-2</v>
      </c>
      <c r="AR59" s="63">
        <f t="shared" si="185"/>
        <v>5.0799999999999998E-2</v>
      </c>
      <c r="AS59" s="64">
        <f t="shared" si="185"/>
        <v>5.1499999999999997E-2</v>
      </c>
      <c r="AT59" s="36" t="s">
        <v>154</v>
      </c>
      <c r="AU59" s="327">
        <f t="shared" ref="AU59:BB59" si="186">ROUND((1+AU51+AU52*AU48/AU53)*AU49/2*AU44^2,4)</f>
        <v>0</v>
      </c>
      <c r="AV59" s="328">
        <f t="shared" si="186"/>
        <v>0</v>
      </c>
      <c r="AW59" s="328">
        <f t="shared" si="186"/>
        <v>0</v>
      </c>
      <c r="AX59" s="328">
        <f t="shared" si="186"/>
        <v>0</v>
      </c>
      <c r="AY59" s="328">
        <f t="shared" si="186"/>
        <v>0</v>
      </c>
      <c r="AZ59" s="328">
        <f t="shared" si="186"/>
        <v>0</v>
      </c>
      <c r="BA59" s="328">
        <f t="shared" si="186"/>
        <v>0</v>
      </c>
      <c r="BB59" s="329">
        <f t="shared" si="186"/>
        <v>0</v>
      </c>
      <c r="BC59" s="36" t="s">
        <v>154</v>
      </c>
      <c r="BD59" s="327">
        <f t="shared" ref="BD59:BK59" si="187">ROUND((1+BD51+BD52*BD48/BD53)*BD49/2*BD44^2,4)</f>
        <v>0</v>
      </c>
      <c r="BE59" s="328">
        <f t="shared" si="187"/>
        <v>0</v>
      </c>
      <c r="BF59" s="328">
        <f t="shared" si="187"/>
        <v>0</v>
      </c>
      <c r="BG59" s="328">
        <f t="shared" si="187"/>
        <v>0</v>
      </c>
      <c r="BH59" s="328">
        <f t="shared" si="187"/>
        <v>0</v>
      </c>
      <c r="BI59" s="328">
        <f t="shared" si="187"/>
        <v>0</v>
      </c>
      <c r="BJ59" s="328">
        <f t="shared" si="187"/>
        <v>0</v>
      </c>
      <c r="BK59" s="329">
        <f t="shared" si="187"/>
        <v>0</v>
      </c>
    </row>
    <row r="60" spans="1:63" ht="16.5" thickBot="1">
      <c r="A60" s="36" t="s">
        <v>155</v>
      </c>
      <c r="B60" s="44">
        <f t="shared" ref="B60:I60" si="188">ROUND((1+B51+B52*B48/B53)*B49/2*B45^2,4)</f>
        <v>16.741299999999999</v>
      </c>
      <c r="C60" s="38">
        <f t="shared" si="188"/>
        <v>16.741299999999999</v>
      </c>
      <c r="D60" s="38">
        <f t="shared" si="188"/>
        <v>16.741299999999999</v>
      </c>
      <c r="E60" s="38">
        <f t="shared" si="188"/>
        <v>16.741299999999999</v>
      </c>
      <c r="F60" s="38">
        <f t="shared" si="188"/>
        <v>16.741299999999999</v>
      </c>
      <c r="G60" s="63">
        <f t="shared" si="188"/>
        <v>16.741299999999999</v>
      </c>
      <c r="H60" s="38">
        <f t="shared" si="188"/>
        <v>16.741299999999999</v>
      </c>
      <c r="I60" s="39">
        <f t="shared" si="188"/>
        <v>16.741299999999999</v>
      </c>
      <c r="J60" s="36" t="s">
        <v>155</v>
      </c>
      <c r="K60" s="62">
        <f t="shared" ref="K60:R60" si="189">ROUND((1+K51+K52*K48/K53)*K49/2*K45^2,4)</f>
        <v>16.741299999999999</v>
      </c>
      <c r="L60" s="38">
        <f t="shared" si="189"/>
        <v>16.741299999999999</v>
      </c>
      <c r="M60" s="38">
        <f t="shared" si="189"/>
        <v>16.741299999999999</v>
      </c>
      <c r="N60" s="38">
        <f t="shared" si="189"/>
        <v>16.741299999999999</v>
      </c>
      <c r="O60" s="38">
        <f t="shared" si="189"/>
        <v>16.741299999999999</v>
      </c>
      <c r="P60" s="38">
        <f t="shared" si="189"/>
        <v>16.741299999999999</v>
      </c>
      <c r="Q60" s="38">
        <f t="shared" si="189"/>
        <v>16.741299999999999</v>
      </c>
      <c r="R60" s="39">
        <f t="shared" si="189"/>
        <v>16.741299999999999</v>
      </c>
      <c r="S60" s="181" t="s">
        <v>155</v>
      </c>
      <c r="T60" s="44">
        <f t="shared" ref="T60:AA60" si="190">ROUND((1+T51+T52*T48/T53)*T49/2*T45^2,4)</f>
        <v>16.741299999999999</v>
      </c>
      <c r="U60" s="38">
        <f t="shared" si="190"/>
        <v>16.741299999999999</v>
      </c>
      <c r="V60" s="38">
        <f t="shared" si="190"/>
        <v>16.741299999999999</v>
      </c>
      <c r="W60" s="38">
        <f t="shared" si="190"/>
        <v>16.741299999999999</v>
      </c>
      <c r="X60" s="38">
        <f t="shared" si="190"/>
        <v>16.741299999999999</v>
      </c>
      <c r="Y60" s="38">
        <f t="shared" si="190"/>
        <v>16.741299999999999</v>
      </c>
      <c r="Z60" s="38">
        <f t="shared" si="190"/>
        <v>16.741299999999999</v>
      </c>
      <c r="AA60" s="39">
        <f t="shared" si="190"/>
        <v>16.741299999999999</v>
      </c>
      <c r="AC60" s="136" t="s">
        <v>220</v>
      </c>
      <c r="AD60" s="141">
        <f>C38</f>
        <v>1030</v>
      </c>
      <c r="AH60" s="12" t="s">
        <v>519</v>
      </c>
      <c r="AI60" s="12" t="s">
        <v>423</v>
      </c>
      <c r="AK60" s="69" t="s">
        <v>230</v>
      </c>
      <c r="AL60" s="62" t="e">
        <f t="shared" ref="AL60:AS60" si="191">ROUND(T43/AL57,4)</f>
        <v>#DIV/0!</v>
      </c>
      <c r="AM60" s="63">
        <f t="shared" si="191"/>
        <v>4.2099999999999999E-2</v>
      </c>
      <c r="AN60" s="63">
        <f t="shared" si="191"/>
        <v>2.4799999999999999E-2</v>
      </c>
      <c r="AO60" s="63">
        <f t="shared" si="191"/>
        <v>1.41E-2</v>
      </c>
      <c r="AP60" s="63">
        <f t="shared" si="191"/>
        <v>1.15E-2</v>
      </c>
      <c r="AQ60" s="63">
        <f t="shared" si="191"/>
        <v>1.01E-2</v>
      </c>
      <c r="AR60" s="63">
        <f t="shared" si="191"/>
        <v>1.2E-2</v>
      </c>
      <c r="AS60" s="64">
        <f t="shared" si="191"/>
        <v>1.0800000000000001E-2</v>
      </c>
      <c r="AT60" s="36" t="s">
        <v>155</v>
      </c>
      <c r="AU60" s="327">
        <f t="shared" ref="AU60:BB60" si="192">ROUND((1+AU51+AU52*AU48/AU53)*AU49/2*AU45^2,4)</f>
        <v>16.741299999999999</v>
      </c>
      <c r="AV60" s="328">
        <f t="shared" si="192"/>
        <v>16.741299999999999</v>
      </c>
      <c r="AW60" s="328">
        <f t="shared" si="192"/>
        <v>16.741299999999999</v>
      </c>
      <c r="AX60" s="328">
        <f t="shared" si="192"/>
        <v>16.741299999999999</v>
      </c>
      <c r="AY60" s="328">
        <f t="shared" si="192"/>
        <v>16.741299999999999</v>
      </c>
      <c r="AZ60" s="328">
        <f t="shared" si="192"/>
        <v>16.741299999999999</v>
      </c>
      <c r="BA60" s="328">
        <f t="shared" si="192"/>
        <v>16.741299999999999</v>
      </c>
      <c r="BB60" s="329">
        <f t="shared" si="192"/>
        <v>16.741299999999999</v>
      </c>
      <c r="BC60" s="36" t="s">
        <v>155</v>
      </c>
      <c r="BD60" s="327">
        <f t="shared" ref="BD60:BK60" si="193">ROUND((1+BD51+BD52*BD48/BD53)*BD49/2*BD45^2,4)</f>
        <v>16.741299999999999</v>
      </c>
      <c r="BE60" s="328">
        <f t="shared" si="193"/>
        <v>16.741299999999999</v>
      </c>
      <c r="BF60" s="328">
        <f t="shared" si="193"/>
        <v>16.741299999999999</v>
      </c>
      <c r="BG60" s="328">
        <f t="shared" si="193"/>
        <v>16.741299999999999</v>
      </c>
      <c r="BH60" s="328">
        <f t="shared" si="193"/>
        <v>16.741299999999999</v>
      </c>
      <c r="BI60" s="328">
        <f t="shared" si="193"/>
        <v>16.741299999999999</v>
      </c>
      <c r="BJ60" s="328">
        <f t="shared" si="193"/>
        <v>16.741299999999999</v>
      </c>
      <c r="BK60" s="329">
        <f t="shared" si="193"/>
        <v>16.741299999999999</v>
      </c>
    </row>
    <row r="61" spans="1:63" ht="15.75">
      <c r="A61" s="36" t="s">
        <v>156</v>
      </c>
      <c r="B61" s="44">
        <f t="shared" ref="B61:I61" si="194">IF(B42&gt;B44,ROUND(B49/2*B54/B47*(B42-B44)^2*B57,4),IF(B42&lt;B44,ROUND(-B49/2*B54/B47*(B44-B42)^2*B57,4)))</f>
        <v>14.375299999999999</v>
      </c>
      <c r="C61" s="38">
        <f t="shared" si="194"/>
        <v>42.721899999999998</v>
      </c>
      <c r="D61" s="38">
        <f t="shared" si="194"/>
        <v>76.760199999999998</v>
      </c>
      <c r="E61" s="38">
        <f t="shared" si="194"/>
        <v>109.06659999999999</v>
      </c>
      <c r="F61" s="38">
        <f t="shared" si="194"/>
        <v>141.50380000000001</v>
      </c>
      <c r="G61" s="63">
        <f t="shared" si="194"/>
        <v>168.25839999999999</v>
      </c>
      <c r="H61" s="38">
        <f t="shared" si="194"/>
        <v>198.73779999999999</v>
      </c>
      <c r="I61" s="39">
        <f t="shared" si="194"/>
        <v>229.41030000000001</v>
      </c>
      <c r="J61" s="36" t="s">
        <v>156</v>
      </c>
      <c r="K61" s="62">
        <f>IF('환기량 산정'!K1526=1,IF(K42&gt;K44,ROUND(K49/2*K54/K47*(K42-K44)^2*K57,4),IF(K42&lt;K44,ROUND(-K49/2*K54/K47*(K44-K42)^2*K57,4))),ROUND(K49/2*K54/K47*(K42+K44)^2*K57,4))</f>
        <v>11.0283</v>
      </c>
      <c r="L61" s="38">
        <f t="shared" ref="L61:R61" si="195">IF(L42&gt;L44,ROUND(L49/2*L54/L47*(L42-L44)^2*L57,4),IF(L42&lt;L44,ROUND(-L49/2*L54/L47*(L44-L42)^2*L57,4)))</f>
        <v>39.481099999999998</v>
      </c>
      <c r="M61" s="38">
        <f t="shared" si="195"/>
        <v>75.4636</v>
      </c>
      <c r="N61" s="38">
        <f t="shared" si="195"/>
        <v>108.7236</v>
      </c>
      <c r="O61" s="38">
        <f t="shared" si="195"/>
        <v>144.02260000000001</v>
      </c>
      <c r="P61" s="38">
        <f t="shared" si="195"/>
        <v>171.096</v>
      </c>
      <c r="Q61" s="38">
        <f t="shared" si="195"/>
        <v>201.5994</v>
      </c>
      <c r="R61" s="39">
        <f t="shared" si="195"/>
        <v>231.9307</v>
      </c>
      <c r="S61" s="181" t="s">
        <v>156</v>
      </c>
      <c r="T61" s="44">
        <f>IF('환기량 산정'!K1526=1,IF(T42&gt;T44,ROUND(T49/2*T54/T47*(T42-T44)^2*T57,4),IF(T42&lt;T44,ROUND(-T49/2*T54/T47*(T44-T42)^2*T57,4))),ROUND(T49/2*T54/T47*(T42+T44)^2*T57,4))</f>
        <v>15.3293</v>
      </c>
      <c r="U61" s="38">
        <f t="shared" ref="U61:AA61" si="196">IF(U42&gt;U44,ROUND(U49/2*U54/U47*(U42-U44)^2*U57,4),IF(U42&lt;U44,ROUND(-U49/2*U54/U47*(U44-U42)^2*U57,4)))</f>
        <v>46.090600000000002</v>
      </c>
      <c r="V61" s="38">
        <f t="shared" si="196"/>
        <v>81.047799999999995</v>
      </c>
      <c r="W61" s="38">
        <f t="shared" si="196"/>
        <v>114.2907</v>
      </c>
      <c r="X61" s="38">
        <f t="shared" si="196"/>
        <v>149.49600000000001</v>
      </c>
      <c r="Y61" s="38">
        <f t="shared" si="196"/>
        <v>176.11670000000001</v>
      </c>
      <c r="Z61" s="38">
        <f t="shared" si="196"/>
        <v>206.28989999999999</v>
      </c>
      <c r="AA61" s="39">
        <f t="shared" si="196"/>
        <v>237.37710000000001</v>
      </c>
      <c r="AC61" s="146" t="s">
        <v>214</v>
      </c>
      <c r="AD61" s="147">
        <f>MAX(B67:I67)</f>
        <v>1</v>
      </c>
      <c r="AE61" s="148" t="s">
        <v>213</v>
      </c>
      <c r="AF61" s="147">
        <f>IF($AH$61=I66,I41,IF($AH$61=H66,H41,IF($AH$61=G66,G41,IF($AH$61=F66,F41,IF($AH$61=E66,E41,IF($AH$61=D66,D41,IF($AH$61=C66,C41,IF($AH$61=B66,B41))))))))</f>
        <v>10</v>
      </c>
      <c r="AG61" s="149" t="s">
        <v>219</v>
      </c>
      <c r="AH61" s="3">
        <f>MAX(B66:I66)</f>
        <v>0.17</v>
      </c>
      <c r="AI61" s="3">
        <f>MAX(B44:I44)</f>
        <v>0.44309999999999999</v>
      </c>
      <c r="AK61" s="69" t="s">
        <v>253</v>
      </c>
      <c r="AL61" s="62" t="e">
        <f>ROUND('환기량 산정'!C683/6.25*AL58*AL57,4)</f>
        <v>#DIV/0!</v>
      </c>
      <c r="AM61" s="63">
        <f>ROUND('환기량 산정'!D683/6.25*AM58*AM57,4)</f>
        <v>1.7899999999999999E-2</v>
      </c>
      <c r="AN61" s="63">
        <f>ROUND('환기량 산정'!E683/6.25*AN58*AN57,4)</f>
        <v>1.9E-2</v>
      </c>
      <c r="AO61" s="63">
        <f>ROUND('환기량 산정'!F683/6.25*AO58*AO57,4)</f>
        <v>2.01E-2</v>
      </c>
      <c r="AP61" s="63">
        <f>ROUND('환기량 산정'!G683/6.25*AP58*AP57,4)</f>
        <v>0.02</v>
      </c>
      <c r="AQ61" s="63">
        <f>ROUND('환기량 산정'!H683/6.25*AQ58*AQ57,4)</f>
        <v>0.02</v>
      </c>
      <c r="AR61" s="63">
        <f>ROUND('환기량 산정'!I683/6.25*AR58*AR57,4)</f>
        <v>0.02</v>
      </c>
      <c r="AS61" s="64">
        <f>ROUND('환기량 산정'!J683/6.25*AS58*AS57,4)</f>
        <v>2.0799999999999999E-2</v>
      </c>
      <c r="AT61" s="36" t="s">
        <v>156</v>
      </c>
      <c r="AU61" s="327">
        <f>IF('환기량 산정'!$K$1526=1,IF(AU42&gt;AU44,ROUND(AU49/2*AU54/AU47*(AU42-AU44)^2*AU57,4),IF(AU42&lt;AU44,ROUND(-AU49/2*AU54/AU47*(AU44-AU42)^2*AU57,4))),ROUND(AU49/2*AU54/AU47*(AU42+AU44)^2*AU57,4))</f>
        <v>16.3139</v>
      </c>
      <c r="AV61" s="328">
        <f t="shared" ref="AV61:BB61" si="197">IF(AV42&gt;AV44,ROUND(AV49/2*AV54/AV47*(AV42-AV44)^2*AV57,4),IF(AV42&lt;AV44,ROUND(-AV49/2*AV54/AV47*(AV44-AV42)^2*AV57,4)))</f>
        <v>47.2425</v>
      </c>
      <c r="AW61" s="328">
        <f t="shared" si="197"/>
        <v>82.391400000000004</v>
      </c>
      <c r="AX61" s="328">
        <f t="shared" si="197"/>
        <v>115.3493</v>
      </c>
      <c r="AY61" s="328">
        <f t="shared" si="197"/>
        <v>150.602</v>
      </c>
      <c r="AZ61" s="328">
        <f t="shared" si="197"/>
        <v>177.20140000000001</v>
      </c>
      <c r="BA61" s="328">
        <f t="shared" si="197"/>
        <v>207.745</v>
      </c>
      <c r="BB61" s="329">
        <f t="shared" si="197"/>
        <v>238.84100000000001</v>
      </c>
      <c r="BC61" s="36" t="s">
        <v>156</v>
      </c>
      <c r="BD61" s="327">
        <f>IF('환기량 산정'!$K$1526=1,IF(BD42&gt;BD44,ROUND(BD49/2*BD54/BD47*(BD42-BD44)^2*BD57,4),IF(BD42&lt;BD44,ROUND(-BD49/2*BD54/BD47*(BD44-BD42)^2*BD57,4))),ROUND(BD49/2*BD54/BD47*(BD42+BD44)^2*BD57,4))</f>
        <v>16.3139</v>
      </c>
      <c r="BE61" s="328">
        <f t="shared" ref="BE61:BK61" si="198">IF(BE42&gt;BE44,ROUND(BE49/2*BE54/BE47*(BE42-BE44)^2*BE57,4),IF(BE42&lt;BE44,ROUND(-BE49/2*BE54/BE47*(BE44-BE42)^2*BE57,4)))</f>
        <v>47.2425</v>
      </c>
      <c r="BF61" s="328">
        <f t="shared" si="198"/>
        <v>82.391400000000004</v>
      </c>
      <c r="BG61" s="328">
        <f t="shared" si="198"/>
        <v>115.3493</v>
      </c>
      <c r="BH61" s="328">
        <f t="shared" si="198"/>
        <v>150.602</v>
      </c>
      <c r="BI61" s="328">
        <f t="shared" si="198"/>
        <v>177.20140000000001</v>
      </c>
      <c r="BJ61" s="328">
        <f t="shared" si="198"/>
        <v>207.745</v>
      </c>
      <c r="BK61" s="329">
        <f t="shared" si="198"/>
        <v>238.84100000000001</v>
      </c>
    </row>
    <row r="62" spans="1:63" ht="15.75">
      <c r="A62" s="36" t="s">
        <v>158</v>
      </c>
      <c r="B62" s="44"/>
      <c r="C62" s="38"/>
      <c r="D62" s="38"/>
      <c r="E62" s="38"/>
      <c r="F62" s="38"/>
      <c r="G62" s="63"/>
      <c r="H62" s="38"/>
      <c r="I62" s="39"/>
      <c r="J62" s="36" t="s">
        <v>158</v>
      </c>
      <c r="K62" s="62"/>
      <c r="L62" s="38"/>
      <c r="M62" s="38"/>
      <c r="N62" s="38"/>
      <c r="O62" s="38"/>
      <c r="P62" s="38"/>
      <c r="Q62" s="38"/>
      <c r="R62" s="39"/>
      <c r="S62" s="181" t="s">
        <v>158</v>
      </c>
      <c r="T62" s="44"/>
      <c r="U62" s="38"/>
      <c r="V62" s="38"/>
      <c r="W62" s="38"/>
      <c r="X62" s="38"/>
      <c r="Y62" s="38"/>
      <c r="Z62" s="38"/>
      <c r="AA62" s="39"/>
      <c r="AC62" s="150" t="s">
        <v>215</v>
      </c>
      <c r="AD62" s="151">
        <f>MAX(K67:R67)</f>
        <v>1</v>
      </c>
      <c r="AE62" s="152" t="s">
        <v>213</v>
      </c>
      <c r="AF62" s="151">
        <f>IF($AH$62=R66,R41,IF($AH$62=Q66,Q41,IF($AH$62=P66,P41,IF($AH$62=O66,O41,IF($AH$62=N66,N41,IF($AH$62=M66,M41,IF($AH$62=L66,L41,IF($AH$62=K66,K41))))))))</f>
        <v>10</v>
      </c>
      <c r="AG62" s="153" t="s">
        <v>219</v>
      </c>
      <c r="AH62" s="3">
        <f>MAX(K66:R66)</f>
        <v>0.45</v>
      </c>
      <c r="AI62" s="3">
        <f>MAX(K44:R44)</f>
        <v>0.49430000000000002</v>
      </c>
      <c r="AK62" s="69" t="s">
        <v>254</v>
      </c>
      <c r="AL62" s="62" t="e">
        <f>ROUND(AL59*AL57*'환기량 산정'!C1057*10^-6*1.25*1000,4)</f>
        <v>#DIV/0!</v>
      </c>
      <c r="AM62" s="63">
        <f>ROUND(AM59*AM57*'환기량 산정'!D1057*10^-6*1.25*1000,4)</f>
        <v>2.4500000000000002</v>
      </c>
      <c r="AN62" s="63">
        <f>ROUND(AN59*AN57*'환기량 산정'!E1057*10^-6*1.25*1000,4)</f>
        <v>1.8374999999999999</v>
      </c>
      <c r="AO62" s="63">
        <f>ROUND(AO59*AO57*'환기량 산정'!F1057*10^-6*1.25*1000,4)</f>
        <v>1.6619999999999999</v>
      </c>
      <c r="AP62" s="63">
        <f>ROUND(AP59*AP57*'환기량 산정'!G1057*10^-6*1.25*1000,4)</f>
        <v>1.5743</v>
      </c>
      <c r="AQ62" s="63">
        <f>ROUND(AQ59*AQ57*'환기량 산정'!H1057*10^-6*1.25*1000,4)</f>
        <v>1.4877</v>
      </c>
      <c r="AR62" s="63">
        <f>ROUND(AR59*AR57*'환기량 산정'!I1057*10^-6*1.25*1000,4)</f>
        <v>1.4865999999999999</v>
      </c>
      <c r="AS62" s="64">
        <f>ROUND(AS59*AS57*'환기량 산정'!J1057*10^-6*1.25*1000,4)</f>
        <v>1.6632</v>
      </c>
      <c r="AT62" s="36" t="s">
        <v>158</v>
      </c>
      <c r="AU62" s="327"/>
      <c r="AV62" s="328"/>
      <c r="AW62" s="328"/>
      <c r="AX62" s="328"/>
      <c r="AY62" s="328"/>
      <c r="AZ62" s="328"/>
      <c r="BA62" s="328"/>
      <c r="BB62" s="329"/>
      <c r="BC62" s="36" t="s">
        <v>158</v>
      </c>
      <c r="BD62" s="327"/>
      <c r="BE62" s="328"/>
      <c r="BF62" s="328"/>
      <c r="BG62" s="328"/>
      <c r="BH62" s="328"/>
      <c r="BI62" s="328"/>
      <c r="BJ62" s="328"/>
      <c r="BK62" s="329"/>
    </row>
    <row r="63" spans="1:63">
      <c r="A63" s="36" t="s">
        <v>157</v>
      </c>
      <c r="B63" s="183">
        <f t="shared" ref="B63:I63" si="199">B59+B60-B61</f>
        <v>2.4437999999999995</v>
      </c>
      <c r="C63" s="45">
        <f t="shared" si="199"/>
        <v>-25.781399999999998</v>
      </c>
      <c r="D63" s="45">
        <f t="shared" si="199"/>
        <v>-59.7941</v>
      </c>
      <c r="E63" s="45">
        <f t="shared" si="199"/>
        <v>-92.0732</v>
      </c>
      <c r="F63" s="45">
        <f t="shared" si="199"/>
        <v>-124.27620000000002</v>
      </c>
      <c r="G63" s="138">
        <f t="shared" si="199"/>
        <v>-151.0308</v>
      </c>
      <c r="H63" s="45">
        <f t="shared" si="199"/>
        <v>-181.5102</v>
      </c>
      <c r="I63" s="46">
        <f t="shared" si="199"/>
        <v>-212.1431</v>
      </c>
      <c r="J63" s="36" t="s">
        <v>157</v>
      </c>
      <c r="K63" s="189">
        <f>IF('환기량 산정'!K1526=1,K59+K60-K61,K59+K61-K60)</f>
        <v>6.3674999999999979</v>
      </c>
      <c r="L63" s="45">
        <f t="shared" ref="L63:R63" si="200">L59+L60-L61</f>
        <v>-22.129799999999999</v>
      </c>
      <c r="M63" s="45">
        <f t="shared" si="200"/>
        <v>-58.379199999999997</v>
      </c>
      <c r="N63" s="45">
        <f t="shared" si="200"/>
        <v>-91.70150000000001</v>
      </c>
      <c r="O63" s="45">
        <f t="shared" si="200"/>
        <v>-127.02920000000002</v>
      </c>
      <c r="P63" s="45">
        <f t="shared" si="200"/>
        <v>-154.12990000000002</v>
      </c>
      <c r="Q63" s="45">
        <f t="shared" si="200"/>
        <v>-184.63330000000002</v>
      </c>
      <c r="R63" s="46">
        <f t="shared" si="200"/>
        <v>-214.90860000000001</v>
      </c>
      <c r="S63" s="181" t="s">
        <v>157</v>
      </c>
      <c r="T63" s="183">
        <f>IF('환기량 산정'!K1526=1,T59+T60-T61,T59+T61-T60)</f>
        <v>1.4314</v>
      </c>
      <c r="U63" s="45">
        <f t="shared" ref="U63:AA63" si="201">U59+U60-U61</f>
        <v>-29.336800000000004</v>
      </c>
      <c r="V63" s="45">
        <f t="shared" si="201"/>
        <v>-64.293999999999997</v>
      </c>
      <c r="W63" s="45">
        <f t="shared" si="201"/>
        <v>-97.542400000000001</v>
      </c>
      <c r="X63" s="45">
        <f t="shared" si="201"/>
        <v>-132.74770000000001</v>
      </c>
      <c r="Y63" s="45">
        <f t="shared" si="201"/>
        <v>-159.36840000000001</v>
      </c>
      <c r="Z63" s="45">
        <f t="shared" si="201"/>
        <v>-189.53609999999998</v>
      </c>
      <c r="AA63" s="46">
        <f t="shared" si="201"/>
        <v>-220.62330000000003</v>
      </c>
      <c r="AC63" s="150" t="s">
        <v>216</v>
      </c>
      <c r="AD63" s="151">
        <f>MAX(T67:AA67)</f>
        <v>1</v>
      </c>
      <c r="AE63" s="152" t="s">
        <v>213</v>
      </c>
      <c r="AF63" s="151">
        <f>IF($AH$63=AA66,AA41,IF($AH$63=Z66,Z41,IF($AH$63=Y66,Y41,IF($AH$63=X66,X41,IF($AH$63=W66,W41,IF($AH$63=V66,V41,IF($AH$63=U66,U41,IF($AH$63=T66,T41))))))))</f>
        <v>10</v>
      </c>
      <c r="AG63" s="153" t="s">
        <v>219</v>
      </c>
      <c r="AH63" s="7">
        <f>MAX(T66:AA66)</f>
        <v>0.1</v>
      </c>
      <c r="AI63" s="3">
        <f>MAX(T44:AA44)</f>
        <v>8.5199999999999998E-2</v>
      </c>
      <c r="AK63" s="69" t="s">
        <v>263</v>
      </c>
      <c r="AL63" s="62" t="e">
        <f>ROUND(AL60*AL57*'환기량 산정'!C1432*10^-6*1.554*1000,4)</f>
        <v>#DIV/0!</v>
      </c>
      <c r="AM63" s="63">
        <f>ROUND(AM60*AM57*'환기량 산정'!D1432*10^-6*1.554*1000,4)</f>
        <v>0.1242</v>
      </c>
      <c r="AN63" s="63">
        <f>ROUND(AN60*AN57*'환기량 산정'!E1432*10^-6*1.554*1000,4)</f>
        <v>0.12429999999999999</v>
      </c>
      <c r="AO63" s="63">
        <f>ROUND(AO60*AO57*'환기량 산정'!F1432*10^-6*1.554*1000,4)</f>
        <v>9.35E-2</v>
      </c>
      <c r="AP63" s="63">
        <f>ROUND(AP60*AP57*'환기량 산정'!G1432*10^-6*1.554*1000,4)</f>
        <v>9.3200000000000005E-2</v>
      </c>
      <c r="AQ63" s="63">
        <f>ROUND(AQ60*AQ57*'환기량 산정'!H1432*10^-6*1.554*1000,4)</f>
        <v>9.35E-2</v>
      </c>
      <c r="AR63" s="63">
        <f>ROUND(AR60*AR57*'환기량 산정'!I1432*10^-6*1.554*1000,4)</f>
        <v>0.12470000000000001</v>
      </c>
      <c r="AS63" s="64">
        <f>ROUND(AS60*AS57*'환기량 산정'!J1432*10^-6*1.554*1000,4)</f>
        <v>0.1239</v>
      </c>
      <c r="AT63" s="36" t="s">
        <v>157</v>
      </c>
      <c r="AU63" s="334">
        <f>IF('환기량 산정'!$K$1526=1,AU59+AU60-AU61,AU59+AU61-AU60)</f>
        <v>0.42739999999999867</v>
      </c>
      <c r="AV63" s="346">
        <f t="shared" ref="AV63:BB63" si="202">AV59+AV60-AV61</f>
        <v>-30.501200000000001</v>
      </c>
      <c r="AW63" s="346">
        <f t="shared" si="202"/>
        <v>-65.650100000000009</v>
      </c>
      <c r="AX63" s="346">
        <f t="shared" si="202"/>
        <v>-98.608000000000004</v>
      </c>
      <c r="AY63" s="346">
        <f t="shared" si="202"/>
        <v>-133.86070000000001</v>
      </c>
      <c r="AZ63" s="346">
        <f t="shared" si="202"/>
        <v>-160.46010000000001</v>
      </c>
      <c r="BA63" s="346">
        <f t="shared" si="202"/>
        <v>-191.00370000000001</v>
      </c>
      <c r="BB63" s="347">
        <f t="shared" si="202"/>
        <v>-222.09970000000001</v>
      </c>
      <c r="BC63" s="36" t="s">
        <v>157</v>
      </c>
      <c r="BD63" s="334">
        <f>IF('환기량 산정'!$K$1526=1,BD59+BD60-BD61,BD59+BD61-BD60)</f>
        <v>0.42739999999999867</v>
      </c>
      <c r="BE63" s="346">
        <f t="shared" ref="BE63:BK63" si="203">BE59+BE60-BE61</f>
        <v>-30.501200000000001</v>
      </c>
      <c r="BF63" s="346">
        <f t="shared" si="203"/>
        <v>-65.650100000000009</v>
      </c>
      <c r="BG63" s="346">
        <f t="shared" si="203"/>
        <v>-98.608000000000004</v>
      </c>
      <c r="BH63" s="346">
        <f t="shared" si="203"/>
        <v>-133.86070000000001</v>
      </c>
      <c r="BI63" s="346">
        <f t="shared" si="203"/>
        <v>-160.46010000000001</v>
      </c>
      <c r="BJ63" s="346">
        <f t="shared" si="203"/>
        <v>-191.00370000000001</v>
      </c>
      <c r="BK63" s="347">
        <f t="shared" si="203"/>
        <v>-222.09970000000001</v>
      </c>
    </row>
    <row r="64" spans="1:63">
      <c r="A64" s="36" t="s">
        <v>191</v>
      </c>
      <c r="B64" s="196">
        <f>B29</f>
        <v>0.95</v>
      </c>
      <c r="C64" s="47">
        <f t="shared" ref="C64:I64" si="204">B64</f>
        <v>0.95</v>
      </c>
      <c r="D64" s="47">
        <f t="shared" si="204"/>
        <v>0.95</v>
      </c>
      <c r="E64" s="47">
        <f t="shared" si="204"/>
        <v>0.95</v>
      </c>
      <c r="F64" s="47">
        <f t="shared" si="204"/>
        <v>0.95</v>
      </c>
      <c r="G64" s="140">
        <f t="shared" si="204"/>
        <v>0.95</v>
      </c>
      <c r="H64" s="47">
        <f t="shared" si="204"/>
        <v>0.95</v>
      </c>
      <c r="I64" s="48">
        <f t="shared" si="204"/>
        <v>0.95</v>
      </c>
      <c r="J64" s="36" t="s">
        <v>191</v>
      </c>
      <c r="K64" s="190">
        <f>B64</f>
        <v>0.95</v>
      </c>
      <c r="L64" s="47">
        <f t="shared" ref="L64:R64" si="205">K64</f>
        <v>0.95</v>
      </c>
      <c r="M64" s="47">
        <f t="shared" si="205"/>
        <v>0.95</v>
      </c>
      <c r="N64" s="47">
        <f t="shared" si="205"/>
        <v>0.95</v>
      </c>
      <c r="O64" s="47">
        <f t="shared" si="205"/>
        <v>0.95</v>
      </c>
      <c r="P64" s="47">
        <f t="shared" si="205"/>
        <v>0.95</v>
      </c>
      <c r="Q64" s="47">
        <f t="shared" si="205"/>
        <v>0.95</v>
      </c>
      <c r="R64" s="48">
        <f t="shared" si="205"/>
        <v>0.95</v>
      </c>
      <c r="S64" s="181" t="s">
        <v>191</v>
      </c>
      <c r="T64" s="196">
        <f>B64</f>
        <v>0.95</v>
      </c>
      <c r="U64" s="47">
        <f t="shared" ref="U64:AA64" si="206">T64</f>
        <v>0.95</v>
      </c>
      <c r="V64" s="47">
        <f t="shared" si="206"/>
        <v>0.95</v>
      </c>
      <c r="W64" s="47">
        <f t="shared" si="206"/>
        <v>0.95</v>
      </c>
      <c r="X64" s="47">
        <f t="shared" si="206"/>
        <v>0.95</v>
      </c>
      <c r="Y64" s="47">
        <f t="shared" si="206"/>
        <v>0.95</v>
      </c>
      <c r="Z64" s="47">
        <f t="shared" si="206"/>
        <v>0.95</v>
      </c>
      <c r="AA64" s="48">
        <f t="shared" si="206"/>
        <v>0.95</v>
      </c>
      <c r="AB64" s="7"/>
      <c r="AC64" s="150" t="s">
        <v>422</v>
      </c>
      <c r="AD64" s="351">
        <f>MAX(AU67:BB67)</f>
        <v>1</v>
      </c>
      <c r="AE64" s="152" t="s">
        <v>213</v>
      </c>
      <c r="AF64" s="151">
        <f>IF($AH$64=BB66,BB41,IF($AH$64=BA66,BA41,IF($AH$64=AZ66,AZ41,IF($AH$64=AY66,AY41,IF($AH$64=AX66,AX41,IF($AH$64=AW66,AW41,IF($AH$64=AV66,AV41,IF($AH$64=AU66,AU41))))))))</f>
        <v>10</v>
      </c>
      <c r="AG64" s="153" t="s">
        <v>219</v>
      </c>
      <c r="AH64" s="7">
        <f>MAX(AU66:BB66)</f>
        <v>0.03</v>
      </c>
      <c r="AI64" s="3">
        <f>AU44</f>
        <v>0</v>
      </c>
      <c r="AK64" s="69" t="s">
        <v>264</v>
      </c>
      <c r="AL64" s="177">
        <f>'환기량 산정'!B1528</f>
        <v>10</v>
      </c>
      <c r="AM64" s="177">
        <f>'환기량 산정'!C1528</f>
        <v>16</v>
      </c>
      <c r="AN64" s="177">
        <f>'환기량 산정'!D1528</f>
        <v>17</v>
      </c>
      <c r="AO64" s="177">
        <f>'환기량 산정'!E1528</f>
        <v>18</v>
      </c>
      <c r="AP64" s="177">
        <f>'환기량 산정'!F1528</f>
        <v>25</v>
      </c>
      <c r="AQ64" s="177">
        <f>'환기량 산정'!G1528</f>
        <v>25</v>
      </c>
      <c r="AR64" s="177">
        <f>'환기량 산정'!H1528</f>
        <v>25</v>
      </c>
      <c r="AS64" s="178">
        <f>'환기량 산정'!I1528</f>
        <v>26</v>
      </c>
      <c r="AT64" s="36" t="s">
        <v>191</v>
      </c>
      <c r="AU64" s="336">
        <f>B64</f>
        <v>0.95</v>
      </c>
      <c r="AV64" s="348">
        <f t="shared" ref="AV64:BB64" si="207">AU64</f>
        <v>0.95</v>
      </c>
      <c r="AW64" s="348">
        <f t="shared" si="207"/>
        <v>0.95</v>
      </c>
      <c r="AX64" s="348">
        <f t="shared" si="207"/>
        <v>0.95</v>
      </c>
      <c r="AY64" s="348">
        <f t="shared" si="207"/>
        <v>0.95</v>
      </c>
      <c r="AZ64" s="348">
        <f t="shared" si="207"/>
        <v>0.95</v>
      </c>
      <c r="BA64" s="348">
        <f t="shared" si="207"/>
        <v>0.95</v>
      </c>
      <c r="BB64" s="349">
        <f t="shared" si="207"/>
        <v>0.95</v>
      </c>
      <c r="BC64" s="36" t="s">
        <v>191</v>
      </c>
      <c r="BD64" s="336">
        <f>K64</f>
        <v>0.95</v>
      </c>
      <c r="BE64" s="348">
        <f t="shared" ref="BE64:BK64" si="208">BD64</f>
        <v>0.95</v>
      </c>
      <c r="BF64" s="348">
        <f t="shared" si="208"/>
        <v>0.95</v>
      </c>
      <c r="BG64" s="348">
        <f t="shared" si="208"/>
        <v>0.95</v>
      </c>
      <c r="BH64" s="348">
        <f t="shared" si="208"/>
        <v>0.95</v>
      </c>
      <c r="BI64" s="348">
        <f t="shared" si="208"/>
        <v>0.95</v>
      </c>
      <c r="BJ64" s="348">
        <f t="shared" si="208"/>
        <v>0.95</v>
      </c>
      <c r="BK64" s="349">
        <f t="shared" si="208"/>
        <v>0.95</v>
      </c>
    </row>
    <row r="65" spans="1:63" ht="15.75">
      <c r="A65" s="36" t="s">
        <v>342</v>
      </c>
      <c r="B65" s="44">
        <f>ROUND(B58*B49*B56^2*B55/B47*(1-B44/B56)*B64,4)</f>
        <v>14.2875</v>
      </c>
      <c r="C65" s="38">
        <f t="shared" ref="C65:I65" si="209">ROUND(C58*C49*C56^2*C55/C47*(1-C44/C56)*C64,4)</f>
        <v>14.2385</v>
      </c>
      <c r="D65" s="38">
        <f t="shared" si="209"/>
        <v>14.2303</v>
      </c>
      <c r="E65" s="38">
        <f t="shared" si="209"/>
        <v>14.222099999999999</v>
      </c>
      <c r="F65" s="38">
        <f t="shared" si="209"/>
        <v>14.164999999999999</v>
      </c>
      <c r="G65" s="38">
        <f t="shared" si="209"/>
        <v>14.164999999999999</v>
      </c>
      <c r="H65" s="38">
        <f t="shared" si="209"/>
        <v>14.164999999999999</v>
      </c>
      <c r="I65" s="39">
        <f t="shared" si="209"/>
        <v>14.1568</v>
      </c>
      <c r="J65" s="36" t="s">
        <v>342</v>
      </c>
      <c r="K65" s="62">
        <f>ROUND(K58*K49*K56^2*K55/K47*(1-K44/K56)*K64,4)</f>
        <v>14.132300000000001</v>
      </c>
      <c r="L65" s="63">
        <f t="shared" ref="L65:R65" si="210">ROUND(L58*L49*L56^2*L55/L47*(1-L44/L56)*L64,4)</f>
        <v>14.140499999999999</v>
      </c>
      <c r="M65" s="63">
        <f t="shared" si="210"/>
        <v>14.1976</v>
      </c>
      <c r="N65" s="63">
        <f t="shared" si="210"/>
        <v>14.214</v>
      </c>
      <c r="O65" s="63">
        <f t="shared" si="210"/>
        <v>14.222099999999999</v>
      </c>
      <c r="P65" s="63">
        <f t="shared" si="210"/>
        <v>14.2303</v>
      </c>
      <c r="Q65" s="63">
        <f t="shared" si="210"/>
        <v>14.2303</v>
      </c>
      <c r="R65" s="64">
        <f t="shared" si="210"/>
        <v>14.214</v>
      </c>
      <c r="S65" s="181" t="s">
        <v>342</v>
      </c>
      <c r="T65" s="44">
        <f>ROUND(T58*T49*T56^2*T55/T47*(1-T44/T56)*T64,4)</f>
        <v>14.3283</v>
      </c>
      <c r="U65" s="38">
        <f t="shared" ref="U65:AA65" si="211">ROUND(U58*U49*U56^2*U55/U47*(1-U44/U56)*U64,4)</f>
        <v>14.336399999999999</v>
      </c>
      <c r="V65" s="38">
        <f t="shared" si="211"/>
        <v>14.336399999999999</v>
      </c>
      <c r="W65" s="38">
        <f t="shared" si="211"/>
        <v>14.3446</v>
      </c>
      <c r="X65" s="38">
        <f t="shared" si="211"/>
        <v>14.3446</v>
      </c>
      <c r="Y65" s="38">
        <f t="shared" si="211"/>
        <v>14.3446</v>
      </c>
      <c r="Z65" s="38">
        <f t="shared" si="211"/>
        <v>14.336399999999999</v>
      </c>
      <c r="AA65" s="39">
        <f t="shared" si="211"/>
        <v>14.336399999999999</v>
      </c>
      <c r="AB65" s="7"/>
      <c r="AC65" s="150" t="s">
        <v>217</v>
      </c>
      <c r="AD65" s="151">
        <f>MAX(AC55:AJ55)</f>
        <v>2</v>
      </c>
      <c r="AE65" s="152" t="s">
        <v>213</v>
      </c>
      <c r="AF65" s="151">
        <f>IF($GP$66=AJ53,AJ41,IF($AH$65=AI53,AI41,IF($AH$65=AH53,AH41,IF($AH$65=AG53,AG41,IF($AH$65=AF53,AF41,IF($AH$65=AE53,AE41,IF($AH$65=AD53,AD41,IF($AH$65=AC53,AC41))))))))</f>
        <v>70</v>
      </c>
      <c r="AG65" s="153" t="s">
        <v>219</v>
      </c>
      <c r="AH65" s="7">
        <f>MAX(AC53:AJ53)</f>
        <v>-1.57</v>
      </c>
      <c r="AK65" s="69" t="s">
        <v>255</v>
      </c>
      <c r="AL65" s="176">
        <f>'환기량 산정'!B1530</f>
        <v>29</v>
      </c>
      <c r="AM65" s="177">
        <f>'환기량 산정'!C1530</f>
        <v>28</v>
      </c>
      <c r="AN65" s="177">
        <f>'환기량 산정'!D1530</f>
        <v>21</v>
      </c>
      <c r="AO65" s="177">
        <f>'환기량 산정'!E1530</f>
        <v>19</v>
      </c>
      <c r="AP65" s="177">
        <f>'환기량 산정'!F1530</f>
        <v>18</v>
      </c>
      <c r="AQ65" s="177">
        <f>'환기량 산정'!G1530</f>
        <v>17</v>
      </c>
      <c r="AR65" s="177">
        <f>'환기량 산정'!H1530</f>
        <v>17</v>
      </c>
      <c r="AS65" s="178">
        <f>'환기량 산정'!I1530</f>
        <v>19</v>
      </c>
      <c r="AT65" s="36" t="s">
        <v>342</v>
      </c>
      <c r="AU65" s="327">
        <f t="shared" ref="AU65:BB65" si="212">ROUND(AU58*AU49*AU56^2*AU55/AU47*(1-AU44/AU56)*AU64,4)</f>
        <v>14.3691</v>
      </c>
      <c r="AV65" s="332">
        <f t="shared" si="212"/>
        <v>14.3691</v>
      </c>
      <c r="AW65" s="332">
        <f t="shared" si="212"/>
        <v>14.3691</v>
      </c>
      <c r="AX65" s="332">
        <f t="shared" si="212"/>
        <v>14.3691</v>
      </c>
      <c r="AY65" s="332">
        <f t="shared" si="212"/>
        <v>14.3691</v>
      </c>
      <c r="AZ65" s="332">
        <f t="shared" si="212"/>
        <v>14.3691</v>
      </c>
      <c r="BA65" s="332">
        <f t="shared" si="212"/>
        <v>14.3691</v>
      </c>
      <c r="BB65" s="338">
        <f t="shared" si="212"/>
        <v>14.3691</v>
      </c>
      <c r="BC65" s="36" t="s">
        <v>342</v>
      </c>
      <c r="BD65" s="327">
        <f t="shared" ref="BD65:BK65" si="213">ROUND(BD58*BD49*BD56^2*BD55/BD47*(1-BD44/BD56)*BD64,4)</f>
        <v>14.3691</v>
      </c>
      <c r="BE65" s="332">
        <f t="shared" si="213"/>
        <v>14.3691</v>
      </c>
      <c r="BF65" s="332">
        <f t="shared" si="213"/>
        <v>14.3691</v>
      </c>
      <c r="BG65" s="332">
        <f t="shared" si="213"/>
        <v>14.3691</v>
      </c>
      <c r="BH65" s="332">
        <f t="shared" si="213"/>
        <v>14.3691</v>
      </c>
      <c r="BI65" s="332">
        <f t="shared" si="213"/>
        <v>14.3691</v>
      </c>
      <c r="BJ65" s="332">
        <f t="shared" si="213"/>
        <v>14.3691</v>
      </c>
      <c r="BK65" s="338">
        <f t="shared" si="213"/>
        <v>14.3691</v>
      </c>
    </row>
    <row r="66" spans="1:63" ht="14.25" thickBot="1">
      <c r="A66" s="36" t="s">
        <v>172</v>
      </c>
      <c r="B66" s="44">
        <f t="shared" ref="B66:I66" si="214">ROUND(B63/B65,2)</f>
        <v>0.17</v>
      </c>
      <c r="C66" s="38">
        <f t="shared" si="214"/>
        <v>-1.81</v>
      </c>
      <c r="D66" s="38">
        <f t="shared" si="214"/>
        <v>-4.2</v>
      </c>
      <c r="E66" s="38">
        <f t="shared" si="214"/>
        <v>-6.47</v>
      </c>
      <c r="F66" s="38">
        <f t="shared" si="214"/>
        <v>-8.77</v>
      </c>
      <c r="G66" s="63">
        <f t="shared" si="214"/>
        <v>-10.66</v>
      </c>
      <c r="H66" s="38">
        <f t="shared" si="214"/>
        <v>-12.81</v>
      </c>
      <c r="I66" s="39">
        <f t="shared" si="214"/>
        <v>-14.99</v>
      </c>
      <c r="J66" s="36" t="s">
        <v>172</v>
      </c>
      <c r="K66" s="62">
        <f t="shared" ref="K66:R66" si="215">ROUND(K63/K65,2)</f>
        <v>0.45</v>
      </c>
      <c r="L66" s="38">
        <f t="shared" si="215"/>
        <v>-1.56</v>
      </c>
      <c r="M66" s="38">
        <f t="shared" si="215"/>
        <v>-4.1100000000000003</v>
      </c>
      <c r="N66" s="38">
        <f t="shared" si="215"/>
        <v>-6.45</v>
      </c>
      <c r="O66" s="38">
        <f t="shared" si="215"/>
        <v>-8.93</v>
      </c>
      <c r="P66" s="38">
        <f t="shared" si="215"/>
        <v>-10.83</v>
      </c>
      <c r="Q66" s="38">
        <f t="shared" si="215"/>
        <v>-12.97</v>
      </c>
      <c r="R66" s="39">
        <f t="shared" si="215"/>
        <v>-15.12</v>
      </c>
      <c r="S66" s="181" t="s">
        <v>172</v>
      </c>
      <c r="T66" s="44">
        <f t="shared" ref="T66:AA66" si="216">ROUND(T63/T65,2)</f>
        <v>0.1</v>
      </c>
      <c r="U66" s="38">
        <f t="shared" si="216"/>
        <v>-2.0499999999999998</v>
      </c>
      <c r="V66" s="38">
        <f t="shared" si="216"/>
        <v>-4.4800000000000004</v>
      </c>
      <c r="W66" s="38">
        <f t="shared" si="216"/>
        <v>-6.8</v>
      </c>
      <c r="X66" s="38">
        <f t="shared" si="216"/>
        <v>-9.25</v>
      </c>
      <c r="Y66" s="38">
        <f t="shared" si="216"/>
        <v>-11.11</v>
      </c>
      <c r="Z66" s="38">
        <f t="shared" si="216"/>
        <v>-13.22</v>
      </c>
      <c r="AA66" s="39">
        <f t="shared" si="216"/>
        <v>-15.39</v>
      </c>
      <c r="AB66" s="7"/>
      <c r="AC66" s="154" t="s">
        <v>410</v>
      </c>
      <c r="AD66" s="155">
        <f>MAX(AD61:AD65)</f>
        <v>2</v>
      </c>
      <c r="AE66" s="156" t="s">
        <v>213</v>
      </c>
      <c r="AF66" s="157" t="str">
        <f>IF(AD66=AD65,IF(AD66=MAX(AD61:AD63),"환기 방재","방재"),"환기")</f>
        <v>방재</v>
      </c>
      <c r="AG66" s="158"/>
      <c r="AH66" s="7"/>
      <c r="AI66" s="7"/>
      <c r="AK66" s="69" t="s">
        <v>256</v>
      </c>
      <c r="AL66" s="62">
        <f>'환기량 산정'!B1532</f>
        <v>5</v>
      </c>
      <c r="AM66" s="63">
        <f>'환기량 산정'!C1532</f>
        <v>4</v>
      </c>
      <c r="AN66" s="63">
        <f>'환기량 산정'!D1532</f>
        <v>4</v>
      </c>
      <c r="AO66" s="63">
        <f>'환기량 산정'!E1532</f>
        <v>3</v>
      </c>
      <c r="AP66" s="63">
        <f>'환기량 산정'!F1532</f>
        <v>3</v>
      </c>
      <c r="AQ66" s="63">
        <f>'환기량 산정'!G1532</f>
        <v>3</v>
      </c>
      <c r="AR66" s="63">
        <f>'환기량 산정'!H1532</f>
        <v>4</v>
      </c>
      <c r="AS66" s="64">
        <f>'환기량 산정'!I1532</f>
        <v>4</v>
      </c>
      <c r="AT66" s="36" t="s">
        <v>172</v>
      </c>
      <c r="AU66" s="327">
        <f t="shared" ref="AU66:BB66" si="217">ROUND(AU63/AU65,2)</f>
        <v>0.03</v>
      </c>
      <c r="AV66" s="328">
        <f t="shared" si="217"/>
        <v>-2.12</v>
      </c>
      <c r="AW66" s="328">
        <f t="shared" si="217"/>
        <v>-4.57</v>
      </c>
      <c r="AX66" s="328">
        <f t="shared" si="217"/>
        <v>-6.86</v>
      </c>
      <c r="AY66" s="328">
        <f t="shared" si="217"/>
        <v>-9.32</v>
      </c>
      <c r="AZ66" s="328">
        <f t="shared" si="217"/>
        <v>-11.17</v>
      </c>
      <c r="BA66" s="328">
        <f t="shared" si="217"/>
        <v>-13.29</v>
      </c>
      <c r="BB66" s="329">
        <f t="shared" si="217"/>
        <v>-15.46</v>
      </c>
      <c r="BC66" s="36" t="s">
        <v>172</v>
      </c>
      <c r="BD66" s="327">
        <f t="shared" ref="BD66:BK66" si="218">ROUND(BD63/BD65,2)</f>
        <v>0.03</v>
      </c>
      <c r="BE66" s="328">
        <f t="shared" si="218"/>
        <v>-2.12</v>
      </c>
      <c r="BF66" s="328">
        <f t="shared" si="218"/>
        <v>-4.57</v>
      </c>
      <c r="BG66" s="328">
        <f t="shared" si="218"/>
        <v>-6.86</v>
      </c>
      <c r="BH66" s="328">
        <f t="shared" si="218"/>
        <v>-9.32</v>
      </c>
      <c r="BI66" s="328">
        <f t="shared" si="218"/>
        <v>-11.17</v>
      </c>
      <c r="BJ66" s="328">
        <f t="shared" si="218"/>
        <v>-13.29</v>
      </c>
      <c r="BK66" s="329">
        <f t="shared" si="218"/>
        <v>-15.46</v>
      </c>
    </row>
    <row r="67" spans="1:63" ht="14.25" thickBot="1">
      <c r="A67" s="49" t="s">
        <v>173</v>
      </c>
      <c r="B67" s="185">
        <f t="shared" ref="B67:I67" si="219">IF(B66&lt;0,0,IF(B66&gt;0,ROUNDUP(B66,0)))</f>
        <v>1</v>
      </c>
      <c r="C67" s="51">
        <f t="shared" si="219"/>
        <v>0</v>
      </c>
      <c r="D67" s="51">
        <f t="shared" si="219"/>
        <v>0</v>
      </c>
      <c r="E67" s="51">
        <f t="shared" si="219"/>
        <v>0</v>
      </c>
      <c r="F67" s="51">
        <f t="shared" si="219"/>
        <v>0</v>
      </c>
      <c r="G67" s="51">
        <f t="shared" si="219"/>
        <v>0</v>
      </c>
      <c r="H67" s="51">
        <f t="shared" si="219"/>
        <v>0</v>
      </c>
      <c r="I67" s="52">
        <f t="shared" si="219"/>
        <v>0</v>
      </c>
      <c r="J67" s="49" t="s">
        <v>173</v>
      </c>
      <c r="K67" s="185">
        <f t="shared" ref="K67:R67" si="220">IF(K66&lt;0,0,IF(K66&gt;0,ROUNDUP(K66,0)))</f>
        <v>1</v>
      </c>
      <c r="L67" s="51">
        <f t="shared" si="220"/>
        <v>0</v>
      </c>
      <c r="M67" s="51">
        <f t="shared" si="220"/>
        <v>0</v>
      </c>
      <c r="N67" s="51">
        <f t="shared" si="220"/>
        <v>0</v>
      </c>
      <c r="O67" s="51">
        <f t="shared" si="220"/>
        <v>0</v>
      </c>
      <c r="P67" s="51">
        <f t="shared" si="220"/>
        <v>0</v>
      </c>
      <c r="Q67" s="51">
        <f t="shared" si="220"/>
        <v>0</v>
      </c>
      <c r="R67" s="52">
        <f t="shared" si="220"/>
        <v>0</v>
      </c>
      <c r="S67" s="194" t="s">
        <v>173</v>
      </c>
      <c r="T67" s="185">
        <f t="shared" ref="T67:AA67" si="221">IF(T66&lt;0,0,IF(T66&gt;0,ROUNDUP(T66,0)))</f>
        <v>1</v>
      </c>
      <c r="U67" s="51">
        <f t="shared" si="221"/>
        <v>0</v>
      </c>
      <c r="V67" s="51">
        <f t="shared" si="221"/>
        <v>0</v>
      </c>
      <c r="W67" s="51">
        <f t="shared" si="221"/>
        <v>0</v>
      </c>
      <c r="X67" s="51">
        <f t="shared" si="221"/>
        <v>0</v>
      </c>
      <c r="Y67" s="51">
        <f t="shared" si="221"/>
        <v>0</v>
      </c>
      <c r="Z67" s="51">
        <f t="shared" si="221"/>
        <v>0</v>
      </c>
      <c r="AA67" s="52">
        <f t="shared" si="221"/>
        <v>0</v>
      </c>
      <c r="AB67" s="7"/>
      <c r="AC67" s="136"/>
      <c r="AD67" s="7"/>
      <c r="AE67" s="7"/>
      <c r="AF67" s="7"/>
      <c r="AG67" s="7"/>
      <c r="AH67" s="7"/>
      <c r="AI67" s="7"/>
      <c r="AJ67" s="7"/>
      <c r="AK67" s="169" t="s">
        <v>257</v>
      </c>
      <c r="AL67" s="175">
        <f>MAX(AL64:AL66)</f>
        <v>29</v>
      </c>
      <c r="AM67" s="162">
        <f t="shared" ref="AM67:AS67" si="222">MAX(AM64:AM66)</f>
        <v>28</v>
      </c>
      <c r="AN67" s="162">
        <f t="shared" si="222"/>
        <v>21</v>
      </c>
      <c r="AO67" s="162">
        <f t="shared" si="222"/>
        <v>19</v>
      </c>
      <c r="AP67" s="162">
        <f t="shared" si="222"/>
        <v>25</v>
      </c>
      <c r="AQ67" s="162">
        <f t="shared" si="222"/>
        <v>25</v>
      </c>
      <c r="AR67" s="162">
        <f t="shared" si="222"/>
        <v>25</v>
      </c>
      <c r="AS67" s="163">
        <f t="shared" si="222"/>
        <v>26</v>
      </c>
      <c r="AT67" s="49" t="s">
        <v>173</v>
      </c>
      <c r="AU67" s="339">
        <f t="shared" ref="AU67:BB67" si="223">IF(AU66&lt;0,0,IF(AU66&gt;0,ROUNDUP(AU66,0)))</f>
        <v>1</v>
      </c>
      <c r="AV67" s="340">
        <f t="shared" si="223"/>
        <v>0</v>
      </c>
      <c r="AW67" s="340">
        <f t="shared" si="223"/>
        <v>0</v>
      </c>
      <c r="AX67" s="340">
        <f t="shared" si="223"/>
        <v>0</v>
      </c>
      <c r="AY67" s="340">
        <f t="shared" si="223"/>
        <v>0</v>
      </c>
      <c r="AZ67" s="340">
        <f t="shared" si="223"/>
        <v>0</v>
      </c>
      <c r="BA67" s="340">
        <f t="shared" si="223"/>
        <v>0</v>
      </c>
      <c r="BB67" s="341">
        <f t="shared" si="223"/>
        <v>0</v>
      </c>
      <c r="BC67" s="49" t="s">
        <v>173</v>
      </c>
      <c r="BD67" s="339">
        <f t="shared" ref="BD67:BK67" si="224">IF(BD66&lt;0,0,IF(BD66&gt;0,ROUNDUP(BD66,0)))</f>
        <v>1</v>
      </c>
      <c r="BE67" s="340">
        <f t="shared" si="224"/>
        <v>0</v>
      </c>
      <c r="BF67" s="340">
        <f t="shared" si="224"/>
        <v>0</v>
      </c>
      <c r="BG67" s="340">
        <f t="shared" si="224"/>
        <v>0</v>
      </c>
      <c r="BH67" s="340">
        <f t="shared" si="224"/>
        <v>0</v>
      </c>
      <c r="BI67" s="340">
        <f t="shared" si="224"/>
        <v>0</v>
      </c>
      <c r="BJ67" s="340">
        <f t="shared" si="224"/>
        <v>0</v>
      </c>
      <c r="BK67" s="341">
        <f t="shared" si="224"/>
        <v>0</v>
      </c>
    </row>
    <row r="68" spans="1:63" ht="14.25" thickBot="1">
      <c r="J68" s="53"/>
      <c r="K68" s="53"/>
      <c r="L68" s="53"/>
      <c r="M68" s="53"/>
      <c r="N68" s="53"/>
      <c r="O68" s="53"/>
      <c r="P68" s="53"/>
      <c r="Q68" s="53"/>
      <c r="R68" s="53"/>
      <c r="AB68" s="7"/>
      <c r="AC68" s="144" t="s">
        <v>218</v>
      </c>
      <c r="AD68" s="145" t="str">
        <f>IF(AF68&gt;10,"불가",IF(ROUNDDOWN(('환기량 산정'!H17/F38-1),0)*AC57&gt;=AD66,"가능","불가"))</f>
        <v>가능</v>
      </c>
      <c r="AE68" s="131" t="s">
        <v>222</v>
      </c>
      <c r="AF68" s="159">
        <f>ROUND(MAX(AI61:AI64),2)</f>
        <v>0.49</v>
      </c>
      <c r="AG68" s="160" t="str">
        <f>CONCATENATE(," m/s")</f>
        <v xml:space="preserve"> m/s</v>
      </c>
      <c r="AH68" s="7"/>
      <c r="AI68" s="7"/>
      <c r="AJ68" s="7"/>
      <c r="AL68" s="197" t="str">
        <f>IF(AL49&lt;0,IF(AL52&gt;2.78,"OK","AL47 수식 양수로 변경하세요"),IF(AL52&lt;=2.78,"OK","AL47 수식을 음수로 변경하세요"))</f>
        <v>OK</v>
      </c>
      <c r="AM68" s="197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</row>
    <row r="69" spans="1:63">
      <c r="A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BA69" s="7"/>
      <c r="BB69" s="7"/>
      <c r="BJ69" s="7"/>
      <c r="BK69" s="7"/>
    </row>
    <row r="70" spans="1:63"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BA70" s="7"/>
      <c r="BB70" s="7"/>
      <c r="BJ70" s="7"/>
      <c r="BK70" s="7"/>
    </row>
  </sheetData>
  <mergeCells count="11">
    <mergeCell ref="BD5:BK5"/>
    <mergeCell ref="A39:A40"/>
    <mergeCell ref="AK39:AK40"/>
    <mergeCell ref="AC40:AJ40"/>
    <mergeCell ref="AU40:BB40"/>
    <mergeCell ref="BD40:BK40"/>
    <mergeCell ref="AE23:AF23"/>
    <mergeCell ref="A4:A5"/>
    <mergeCell ref="AK4:AK5"/>
    <mergeCell ref="AC5:AJ5"/>
    <mergeCell ref="AU5:BB5"/>
  </mergeCells>
  <phoneticPr fontId="11" type="noConversion"/>
  <printOptions horizontalCentered="1"/>
  <pageMargins left="0.27559055118110237" right="0.19685039370078741" top="0.74803149606299213" bottom="0.55118110236220474" header="0.51181102362204722" footer="0.31496062992125984"/>
  <pageSetup paperSize="9" scale="75" pageOrder="overThenDown" orientation="portrait" r:id="rId1"/>
  <headerFooter alignWithMargins="0">
    <oddHeader>&amp;R&amp;D &amp;T</oddHeader>
    <oddFooter>&amp;L&amp;"Arial,보통"&amp;F&amp;C&amp;P 쪽&amp;R&amp;"Arial,보통"&amp;A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K70"/>
  <sheetViews>
    <sheetView view="pageBreakPreview" topLeftCell="AB1" zoomScale="115" zoomScaleNormal="75" zoomScaleSheetLayoutView="115" workbookViewId="0">
      <selection activeCell="AB24" sqref="AB24"/>
    </sheetView>
  </sheetViews>
  <sheetFormatPr defaultRowHeight="13.5"/>
  <cols>
    <col min="1" max="1" width="29.21875" style="3" hidden="1" customWidth="1"/>
    <col min="2" max="9" width="10.21875" style="3" hidden="1" customWidth="1"/>
    <col min="10" max="10" width="27.6640625" style="3" hidden="1" customWidth="1"/>
    <col min="11" max="18" width="10.21875" style="3" hidden="1" customWidth="1"/>
    <col min="19" max="19" width="32.33203125" style="3" hidden="1" customWidth="1"/>
    <col min="20" max="27" width="10.21875" style="3" hidden="1" customWidth="1"/>
    <col min="28" max="28" width="32.33203125" style="3" customWidth="1"/>
    <col min="29" max="36" width="10.21875" style="3" customWidth="1"/>
    <col min="37" max="37" width="32.33203125" style="3" hidden="1" customWidth="1"/>
    <col min="38" max="45" width="10.21875" style="3" hidden="1" customWidth="1"/>
    <col min="46" max="46" width="27.6640625" style="3" hidden="1" customWidth="1"/>
    <col min="47" max="54" width="10.21875" style="3" hidden="1" customWidth="1"/>
    <col min="55" max="55" width="27.6640625" style="3" hidden="1" customWidth="1"/>
    <col min="56" max="63" width="10.21875" style="3" hidden="1" customWidth="1"/>
    <col min="64" max="16384" width="8.88671875" style="3"/>
  </cols>
  <sheetData>
    <row r="1" spans="1:63" ht="17.25" customHeight="1">
      <c r="A1" s="4" t="s">
        <v>164</v>
      </c>
      <c r="B1" s="5">
        <f>'환기량 산정'!H34</f>
        <v>2222</v>
      </c>
      <c r="C1" s="6" t="s">
        <v>148</v>
      </c>
      <c r="D1" s="7"/>
      <c r="E1" s="53"/>
      <c r="F1" s="53"/>
      <c r="G1" s="53"/>
      <c r="H1" s="53"/>
      <c r="I1" s="53"/>
      <c r="J1" s="4" t="s">
        <v>164</v>
      </c>
      <c r="K1" s="5">
        <f>B1</f>
        <v>2222</v>
      </c>
      <c r="L1" s="6" t="s">
        <v>148</v>
      </c>
      <c r="M1" s="7"/>
      <c r="N1" s="7"/>
      <c r="O1" s="9"/>
      <c r="P1" s="9"/>
      <c r="Q1" s="7"/>
      <c r="R1" s="7"/>
      <c r="S1" s="4" t="s">
        <v>164</v>
      </c>
      <c r="T1" s="5">
        <f>K1</f>
        <v>2222</v>
      </c>
      <c r="U1" s="6" t="s">
        <v>148</v>
      </c>
      <c r="V1" s="7"/>
      <c r="W1" s="9"/>
      <c r="X1" s="9"/>
      <c r="Y1" s="9"/>
      <c r="Z1" s="7"/>
      <c r="AA1" s="7"/>
      <c r="AB1" s="1217" t="s">
        <v>815</v>
      </c>
      <c r="AC1" s="1226"/>
      <c r="AH1" s="1217" t="s">
        <v>811</v>
      </c>
      <c r="AI1" s="1227">
        <v>900</v>
      </c>
      <c r="AJ1" s="1217" t="s">
        <v>812</v>
      </c>
      <c r="AK1" s="4"/>
      <c r="AL1" s="8"/>
      <c r="AM1" s="6"/>
      <c r="AN1" s="7"/>
      <c r="AO1" s="53"/>
      <c r="AP1" s="53"/>
      <c r="AQ1" s="53"/>
      <c r="AR1" s="53"/>
      <c r="AS1" s="53"/>
      <c r="AT1" s="4"/>
      <c r="AU1" s="5"/>
      <c r="AV1" s="6"/>
      <c r="AW1" s="7"/>
      <c r="AX1" s="7"/>
      <c r="AY1" s="9"/>
      <c r="AZ1" s="9"/>
      <c r="BA1" s="7"/>
      <c r="BB1" s="7"/>
      <c r="BC1" s="4"/>
      <c r="BD1" s="5"/>
      <c r="BE1" s="6"/>
      <c r="BF1" s="7"/>
      <c r="BG1" s="7"/>
      <c r="BH1" s="9"/>
      <c r="BI1" s="9"/>
      <c r="BJ1" s="7"/>
      <c r="BK1" s="7"/>
    </row>
    <row r="2" spans="1:63">
      <c r="A2" s="7"/>
      <c r="B2" s="7"/>
      <c r="C2" s="7"/>
      <c r="D2" s="181"/>
      <c r="E2" s="53"/>
      <c r="F2" s="53"/>
      <c r="G2" s="53"/>
      <c r="H2" s="53"/>
      <c r="I2" s="5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H2" s="1217" t="s">
        <v>813</v>
      </c>
      <c r="AI2" s="1219">
        <f>AI1/'환기량 산정'!C17</f>
        <v>0.9</v>
      </c>
      <c r="AJ2" s="1217"/>
      <c r="AK2" s="7"/>
      <c r="AL2" s="7"/>
      <c r="AM2" s="7"/>
      <c r="AN2" s="7"/>
      <c r="AO2" s="53"/>
      <c r="AP2" s="53"/>
      <c r="AQ2" s="53"/>
      <c r="AR2" s="53"/>
      <c r="AS2" s="53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</row>
    <row r="3" spans="1:63" ht="20.100000000000001" customHeight="1" thickBot="1">
      <c r="A3" s="4" t="s">
        <v>223</v>
      </c>
      <c r="B3" s="10" t="s">
        <v>160</v>
      </c>
      <c r="C3" s="11">
        <f>'환기용량 산정(제트팬식)'!C3</f>
        <v>1030</v>
      </c>
      <c r="E3" s="12" t="s">
        <v>177</v>
      </c>
      <c r="F3" s="135">
        <v>140</v>
      </c>
      <c r="G3" s="3" t="s">
        <v>178</v>
      </c>
      <c r="H3" s="13" t="s">
        <v>327</v>
      </c>
      <c r="I3" s="250">
        <v>1</v>
      </c>
      <c r="J3" s="4" t="s">
        <v>165</v>
      </c>
      <c r="K3" s="10" t="s">
        <v>160</v>
      </c>
      <c r="L3" s="14">
        <f>C3</f>
        <v>1030</v>
      </c>
      <c r="N3" s="12"/>
      <c r="O3" s="13"/>
      <c r="R3" s="9"/>
      <c r="S3" s="4" t="s">
        <v>166</v>
      </c>
      <c r="T3" s="10" t="s">
        <v>160</v>
      </c>
      <c r="U3" s="14">
        <f>L3</f>
        <v>1030</v>
      </c>
      <c r="AA3" s="9"/>
      <c r="AB3" s="4"/>
      <c r="AC3" s="54" t="s">
        <v>10</v>
      </c>
      <c r="AD3" s="5">
        <f>$B$1</f>
        <v>2222</v>
      </c>
      <c r="AE3" s="6" t="s">
        <v>148</v>
      </c>
      <c r="AF3" s="8" t="s">
        <v>211</v>
      </c>
      <c r="AG3" s="8"/>
      <c r="AH3" s="8"/>
      <c r="AI3" s="7"/>
      <c r="AJ3" s="7"/>
      <c r="AK3" s="4" t="s">
        <v>227</v>
      </c>
      <c r="AL3" s="10"/>
      <c r="AM3" s="174"/>
      <c r="AO3" s="12"/>
      <c r="AP3" s="13"/>
      <c r="AS3" s="9"/>
      <c r="AT3" s="4" t="s">
        <v>424</v>
      </c>
      <c r="AU3" s="10" t="s">
        <v>160</v>
      </c>
      <c r="AV3" s="14">
        <f>C3</f>
        <v>1030</v>
      </c>
      <c r="AX3" s="12"/>
      <c r="AY3" s="13"/>
      <c r="BB3" s="9"/>
      <c r="BC3" s="4" t="s">
        <v>509</v>
      </c>
      <c r="BD3" s="10" t="s">
        <v>160</v>
      </c>
      <c r="BE3" s="14">
        <f>L3</f>
        <v>1030</v>
      </c>
      <c r="BG3" s="12"/>
      <c r="BH3" s="13"/>
      <c r="BK3" s="9"/>
    </row>
    <row r="4" spans="1:63">
      <c r="A4" s="1523" t="s">
        <v>167</v>
      </c>
      <c r="B4" s="16"/>
      <c r="C4" s="17"/>
      <c r="D4" s="18" t="str">
        <f>'환기량 산정'!B6</f>
        <v>마산</v>
      </c>
      <c r="E4" s="19" t="str">
        <f>'환기량 산정'!D6</f>
        <v>⇒</v>
      </c>
      <c r="F4" s="18" t="str">
        <f>'환기량 산정'!E6</f>
        <v>진주</v>
      </c>
      <c r="G4" s="19" t="s">
        <v>328</v>
      </c>
      <c r="H4" s="17"/>
      <c r="I4" s="20"/>
      <c r="J4" s="1211" t="s">
        <v>167</v>
      </c>
      <c r="K4" s="16"/>
      <c r="L4" s="17"/>
      <c r="M4" s="18" t="str">
        <f>D4</f>
        <v>마산</v>
      </c>
      <c r="N4" s="19" t="str">
        <f>E4</f>
        <v>⇒</v>
      </c>
      <c r="O4" s="18" t="str">
        <f>F4</f>
        <v>진주</v>
      </c>
      <c r="P4" s="19" t="s">
        <v>9</v>
      </c>
      <c r="Q4" s="17"/>
      <c r="R4" s="20"/>
      <c r="S4" s="1211" t="s">
        <v>167</v>
      </c>
      <c r="T4" s="16"/>
      <c r="U4" s="17"/>
      <c r="V4" s="18" t="str">
        <f>M4</f>
        <v>마산</v>
      </c>
      <c r="W4" s="19" t="str">
        <f>N4</f>
        <v>⇒</v>
      </c>
      <c r="X4" s="18" t="str">
        <f>O4</f>
        <v>진주</v>
      </c>
      <c r="Y4" s="19" t="s">
        <v>9</v>
      </c>
      <c r="Z4" s="17"/>
      <c r="AA4" s="20"/>
      <c r="AB4" s="1211" t="s">
        <v>167</v>
      </c>
      <c r="AC4" s="55"/>
      <c r="AD4" s="19"/>
      <c r="AE4" s="18" t="str">
        <f>D4</f>
        <v>마산</v>
      </c>
      <c r="AF4" s="19" t="str">
        <f>E4</f>
        <v>⇒</v>
      </c>
      <c r="AG4" s="18" t="str">
        <f>F4</f>
        <v>진주</v>
      </c>
      <c r="AH4" s="19" t="str">
        <f>G4</f>
        <v>구 간</v>
      </c>
      <c r="AI4" s="19"/>
      <c r="AJ4" s="56"/>
      <c r="AK4" s="1523" t="s">
        <v>167</v>
      </c>
      <c r="AL4" s="16"/>
      <c r="AM4" s="17"/>
      <c r="AN4" s="18" t="str">
        <f>D4</f>
        <v>마산</v>
      </c>
      <c r="AO4" s="173" t="str">
        <f>E4</f>
        <v>⇒</v>
      </c>
      <c r="AP4" s="18" t="str">
        <f>F4</f>
        <v>진주</v>
      </c>
      <c r="AQ4" s="19" t="s">
        <v>9</v>
      </c>
      <c r="AR4" s="17"/>
      <c r="AS4" s="20"/>
      <c r="AT4" s="1211" t="s">
        <v>167</v>
      </c>
      <c r="AU4" s="16"/>
      <c r="AV4" s="17"/>
      <c r="AW4" s="18" t="str">
        <f>AN4</f>
        <v>마산</v>
      </c>
      <c r="AX4" s="19" t="str">
        <f>AO4</f>
        <v>⇒</v>
      </c>
      <c r="AY4" s="18" t="str">
        <f>AP4</f>
        <v>진주</v>
      </c>
      <c r="AZ4" s="19" t="s">
        <v>9</v>
      </c>
      <c r="BA4" s="17"/>
      <c r="BB4" s="20"/>
      <c r="BC4" s="1211" t="s">
        <v>167</v>
      </c>
      <c r="BD4" s="16"/>
      <c r="BE4" s="17"/>
      <c r="BF4" s="18" t="str">
        <f>AW4</f>
        <v>마산</v>
      </c>
      <c r="BG4" s="19" t="str">
        <f>AX4</f>
        <v>⇒</v>
      </c>
      <c r="BH4" s="18" t="str">
        <f>AY4</f>
        <v>진주</v>
      </c>
      <c r="BI4" s="19" t="s">
        <v>9</v>
      </c>
      <c r="BJ4" s="17"/>
      <c r="BK4" s="20"/>
    </row>
    <row r="5" spans="1:63">
      <c r="A5" s="1524"/>
      <c r="B5" s="21" t="s">
        <v>168</v>
      </c>
      <c r="C5" s="1213"/>
      <c r="D5" s="23"/>
      <c r="E5" s="24" t="s">
        <v>169</v>
      </c>
      <c r="F5" s="25"/>
      <c r="G5" s="23"/>
      <c r="H5" s="25"/>
      <c r="I5" s="26"/>
      <c r="J5" s="1212"/>
      <c r="K5" s="21" t="s">
        <v>168</v>
      </c>
      <c r="L5" s="1213"/>
      <c r="M5" s="23"/>
      <c r="N5" s="24" t="s">
        <v>170</v>
      </c>
      <c r="O5" s="25"/>
      <c r="P5" s="23"/>
      <c r="Q5" s="25"/>
      <c r="R5" s="26"/>
      <c r="S5" s="1212"/>
      <c r="T5" s="21" t="s">
        <v>168</v>
      </c>
      <c r="U5" s="1213"/>
      <c r="V5" s="23"/>
      <c r="W5" s="24" t="s">
        <v>171</v>
      </c>
      <c r="Y5" s="23"/>
      <c r="Z5" s="25"/>
      <c r="AA5" s="26"/>
      <c r="AB5" s="1212"/>
      <c r="AC5" s="1529" t="s">
        <v>244</v>
      </c>
      <c r="AD5" s="1530"/>
      <c r="AE5" s="1530"/>
      <c r="AF5" s="1530"/>
      <c r="AG5" s="1530"/>
      <c r="AH5" s="1530"/>
      <c r="AI5" s="1530"/>
      <c r="AJ5" s="1531"/>
      <c r="AK5" s="1524"/>
      <c r="AL5" s="21" t="s">
        <v>168</v>
      </c>
      <c r="AM5" s="1213"/>
      <c r="AN5" s="23"/>
      <c r="AO5" s="23"/>
      <c r="AP5" s="24"/>
      <c r="AQ5" s="23"/>
      <c r="AR5" s="25"/>
      <c r="AS5" s="26"/>
      <c r="AT5" s="1212"/>
      <c r="AU5" s="1526" t="s">
        <v>517</v>
      </c>
      <c r="AV5" s="1527"/>
      <c r="AW5" s="1527"/>
      <c r="AX5" s="1527"/>
      <c r="AY5" s="1527"/>
      <c r="AZ5" s="1527"/>
      <c r="BA5" s="1527"/>
      <c r="BB5" s="1528"/>
      <c r="BC5" s="1212"/>
      <c r="BD5" s="1526" t="s">
        <v>485</v>
      </c>
      <c r="BE5" s="1527"/>
      <c r="BF5" s="1527"/>
      <c r="BG5" s="1527"/>
      <c r="BH5" s="1527"/>
      <c r="BI5" s="1527"/>
      <c r="BJ5" s="1527"/>
      <c r="BK5" s="1528"/>
    </row>
    <row r="6" spans="1:63">
      <c r="A6" s="30" t="s">
        <v>106</v>
      </c>
      <c r="B6" s="184">
        <v>10</v>
      </c>
      <c r="C6" s="32">
        <v>20</v>
      </c>
      <c r="D6" s="32">
        <v>30</v>
      </c>
      <c r="E6" s="32">
        <v>40</v>
      </c>
      <c r="F6" s="32">
        <v>50</v>
      </c>
      <c r="G6" s="32">
        <v>60</v>
      </c>
      <c r="H6" s="32">
        <v>70</v>
      </c>
      <c r="I6" s="33">
        <v>80</v>
      </c>
      <c r="J6" s="30" t="s">
        <v>106</v>
      </c>
      <c r="K6" s="186">
        <v>10</v>
      </c>
      <c r="L6" s="32">
        <v>20</v>
      </c>
      <c r="M6" s="32">
        <v>30</v>
      </c>
      <c r="N6" s="32">
        <v>40</v>
      </c>
      <c r="O6" s="32">
        <v>50</v>
      </c>
      <c r="P6" s="32">
        <v>60</v>
      </c>
      <c r="Q6" s="32">
        <v>70</v>
      </c>
      <c r="R6" s="33">
        <v>80</v>
      </c>
      <c r="S6" s="30" t="s">
        <v>106</v>
      </c>
      <c r="T6" s="184">
        <v>10</v>
      </c>
      <c r="U6" s="32">
        <v>20</v>
      </c>
      <c r="V6" s="32">
        <v>30</v>
      </c>
      <c r="W6" s="32">
        <v>40</v>
      </c>
      <c r="X6" s="32">
        <v>50</v>
      </c>
      <c r="Y6" s="32">
        <v>60</v>
      </c>
      <c r="Z6" s="32">
        <v>70</v>
      </c>
      <c r="AA6" s="33">
        <v>80</v>
      </c>
      <c r="AB6" s="57" t="s">
        <v>106</v>
      </c>
      <c r="AC6" s="58">
        <f t="shared" ref="AC6:AJ6" si="0">B$6</f>
        <v>10</v>
      </c>
      <c r="AD6" s="59">
        <f t="shared" si="0"/>
        <v>20</v>
      </c>
      <c r="AE6" s="59">
        <f t="shared" si="0"/>
        <v>30</v>
      </c>
      <c r="AF6" s="59">
        <f t="shared" si="0"/>
        <v>40</v>
      </c>
      <c r="AG6" s="59">
        <f t="shared" si="0"/>
        <v>50</v>
      </c>
      <c r="AH6" s="137">
        <f t="shared" si="0"/>
        <v>60</v>
      </c>
      <c r="AI6" s="59">
        <f t="shared" si="0"/>
        <v>70</v>
      </c>
      <c r="AJ6" s="60">
        <f t="shared" si="0"/>
        <v>80</v>
      </c>
      <c r="AK6" s="30" t="s">
        <v>106</v>
      </c>
      <c r="AL6" s="31">
        <v>10</v>
      </c>
      <c r="AM6" s="32">
        <v>20</v>
      </c>
      <c r="AN6" s="32">
        <v>30</v>
      </c>
      <c r="AO6" s="32">
        <v>40</v>
      </c>
      <c r="AP6" s="32">
        <v>50</v>
      </c>
      <c r="AQ6" s="32">
        <v>60</v>
      </c>
      <c r="AR6" s="32">
        <v>70</v>
      </c>
      <c r="AS6" s="33">
        <v>80</v>
      </c>
      <c r="AT6" s="30" t="s">
        <v>106</v>
      </c>
      <c r="AU6" s="324">
        <v>10</v>
      </c>
      <c r="AV6" s="325">
        <v>20</v>
      </c>
      <c r="AW6" s="325">
        <v>30</v>
      </c>
      <c r="AX6" s="325">
        <v>40</v>
      </c>
      <c r="AY6" s="325">
        <v>50</v>
      </c>
      <c r="AZ6" s="325">
        <v>60</v>
      </c>
      <c r="BA6" s="325">
        <v>70</v>
      </c>
      <c r="BB6" s="326">
        <v>80</v>
      </c>
      <c r="BC6" s="30" t="s">
        <v>106</v>
      </c>
      <c r="BD6" s="324">
        <v>10</v>
      </c>
      <c r="BE6" s="325">
        <v>20</v>
      </c>
      <c r="BF6" s="325">
        <v>30</v>
      </c>
      <c r="BG6" s="325">
        <v>40</v>
      </c>
      <c r="BH6" s="325">
        <v>50</v>
      </c>
      <c r="BI6" s="325">
        <v>60</v>
      </c>
      <c r="BJ6" s="325">
        <v>70</v>
      </c>
      <c r="BK6" s="326">
        <v>80</v>
      </c>
    </row>
    <row r="7" spans="1:63">
      <c r="A7" s="36" t="s">
        <v>107</v>
      </c>
      <c r="B7" s="44">
        <f t="shared" ref="B7:I7" si="1">ROUND(B6/3.6,2)</f>
        <v>2.78</v>
      </c>
      <c r="C7" s="38">
        <f t="shared" si="1"/>
        <v>5.56</v>
      </c>
      <c r="D7" s="38">
        <f t="shared" si="1"/>
        <v>8.33</v>
      </c>
      <c r="E7" s="38">
        <f t="shared" si="1"/>
        <v>11.11</v>
      </c>
      <c r="F7" s="38">
        <f t="shared" si="1"/>
        <v>13.89</v>
      </c>
      <c r="G7" s="38">
        <f t="shared" si="1"/>
        <v>16.670000000000002</v>
      </c>
      <c r="H7" s="63">
        <f t="shared" si="1"/>
        <v>19.440000000000001</v>
      </c>
      <c r="I7" s="39">
        <f t="shared" si="1"/>
        <v>22.22</v>
      </c>
      <c r="J7" s="36" t="s">
        <v>107</v>
      </c>
      <c r="K7" s="62">
        <f t="shared" ref="K7:R7" si="2">ROUND(K6/3.6,2)</f>
        <v>2.78</v>
      </c>
      <c r="L7" s="38">
        <f t="shared" si="2"/>
        <v>5.56</v>
      </c>
      <c r="M7" s="38">
        <f t="shared" si="2"/>
        <v>8.33</v>
      </c>
      <c r="N7" s="38">
        <f t="shared" si="2"/>
        <v>11.11</v>
      </c>
      <c r="O7" s="38">
        <f t="shared" si="2"/>
        <v>13.89</v>
      </c>
      <c r="P7" s="38">
        <f t="shared" si="2"/>
        <v>16.670000000000002</v>
      </c>
      <c r="Q7" s="38">
        <f t="shared" si="2"/>
        <v>19.440000000000001</v>
      </c>
      <c r="R7" s="39">
        <f t="shared" si="2"/>
        <v>22.22</v>
      </c>
      <c r="S7" s="36" t="s">
        <v>107</v>
      </c>
      <c r="T7" s="44">
        <f t="shared" ref="T7:AA7" si="3">ROUND(T6/3.6,2)</f>
        <v>2.78</v>
      </c>
      <c r="U7" s="38">
        <f t="shared" si="3"/>
        <v>5.56</v>
      </c>
      <c r="V7" s="38">
        <f t="shared" si="3"/>
        <v>8.33</v>
      </c>
      <c r="W7" s="38">
        <f t="shared" si="3"/>
        <v>11.11</v>
      </c>
      <c r="X7" s="38">
        <f t="shared" si="3"/>
        <v>13.89</v>
      </c>
      <c r="Y7" s="38">
        <f t="shared" si="3"/>
        <v>16.670000000000002</v>
      </c>
      <c r="Z7" s="38">
        <f t="shared" si="3"/>
        <v>19.440000000000001</v>
      </c>
      <c r="AA7" s="39">
        <f t="shared" si="3"/>
        <v>22.22</v>
      </c>
      <c r="AB7" s="36" t="s">
        <v>121</v>
      </c>
      <c r="AC7" s="127">
        <v>2.25</v>
      </c>
      <c r="AD7" s="38">
        <f t="shared" ref="AD7:AJ7" si="4">AC7</f>
        <v>2.25</v>
      </c>
      <c r="AE7" s="38">
        <f t="shared" si="4"/>
        <v>2.25</v>
      </c>
      <c r="AF7" s="38">
        <f t="shared" si="4"/>
        <v>2.25</v>
      </c>
      <c r="AG7" s="38">
        <f t="shared" si="4"/>
        <v>2.25</v>
      </c>
      <c r="AH7" s="63">
        <f t="shared" si="4"/>
        <v>2.25</v>
      </c>
      <c r="AI7" s="38">
        <f t="shared" si="4"/>
        <v>2.25</v>
      </c>
      <c r="AJ7" s="39">
        <f t="shared" si="4"/>
        <v>2.25</v>
      </c>
      <c r="AK7" s="164" t="s">
        <v>246</v>
      </c>
      <c r="AL7" s="40">
        <f t="shared" ref="AL7:AS7" si="5">B32</f>
        <v>1</v>
      </c>
      <c r="AM7" s="40">
        <f t="shared" si="5"/>
        <v>0</v>
      </c>
      <c r="AN7" s="40">
        <f t="shared" si="5"/>
        <v>0</v>
      </c>
      <c r="AO7" s="40">
        <f t="shared" si="5"/>
        <v>0</v>
      </c>
      <c r="AP7" s="40">
        <f t="shared" si="5"/>
        <v>0</v>
      </c>
      <c r="AQ7" s="40">
        <f t="shared" si="5"/>
        <v>0</v>
      </c>
      <c r="AR7" s="139">
        <f t="shared" si="5"/>
        <v>0</v>
      </c>
      <c r="AS7" s="41">
        <f t="shared" si="5"/>
        <v>0</v>
      </c>
      <c r="AT7" s="36" t="s">
        <v>107</v>
      </c>
      <c r="AU7" s="327">
        <f t="shared" ref="AU7:BB7" si="6">ROUND(AU6/3.6,2)</f>
        <v>2.78</v>
      </c>
      <c r="AV7" s="328">
        <f t="shared" si="6"/>
        <v>5.56</v>
      </c>
      <c r="AW7" s="328">
        <f t="shared" si="6"/>
        <v>8.33</v>
      </c>
      <c r="AX7" s="328">
        <f t="shared" si="6"/>
        <v>11.11</v>
      </c>
      <c r="AY7" s="328">
        <f t="shared" si="6"/>
        <v>13.89</v>
      </c>
      <c r="AZ7" s="328">
        <f t="shared" si="6"/>
        <v>16.670000000000002</v>
      </c>
      <c r="BA7" s="328">
        <f t="shared" si="6"/>
        <v>19.440000000000001</v>
      </c>
      <c r="BB7" s="342">
        <f t="shared" si="6"/>
        <v>22.22</v>
      </c>
      <c r="BC7" s="36" t="s">
        <v>107</v>
      </c>
      <c r="BD7" s="327">
        <f t="shared" ref="BD7:BK7" si="7">ROUND(BD6/3.6,2)</f>
        <v>2.78</v>
      </c>
      <c r="BE7" s="328">
        <f t="shared" si="7"/>
        <v>5.56</v>
      </c>
      <c r="BF7" s="328">
        <f t="shared" si="7"/>
        <v>8.33</v>
      </c>
      <c r="BG7" s="328">
        <f t="shared" si="7"/>
        <v>11.11</v>
      </c>
      <c r="BH7" s="328">
        <f t="shared" si="7"/>
        <v>13.89</v>
      </c>
      <c r="BI7" s="328">
        <f t="shared" si="7"/>
        <v>16.670000000000002</v>
      </c>
      <c r="BJ7" s="328">
        <f t="shared" si="7"/>
        <v>19.440000000000001</v>
      </c>
      <c r="BK7" s="342">
        <f t="shared" si="7"/>
        <v>22.22</v>
      </c>
    </row>
    <row r="8" spans="1:63">
      <c r="A8" s="36" t="s">
        <v>108</v>
      </c>
      <c r="B8" s="180">
        <f>'환기량 산정'!B1511</f>
        <v>6</v>
      </c>
      <c r="C8" s="42">
        <f>'환기량 산정'!D$704</f>
        <v>9</v>
      </c>
      <c r="D8" s="42">
        <f>'환기량 산정'!E$704</f>
        <v>9</v>
      </c>
      <c r="E8" s="42">
        <f>'환기량 산정'!F$704</f>
        <v>10</v>
      </c>
      <c r="F8" s="42">
        <f>'환기량 산정'!G$704</f>
        <v>14</v>
      </c>
      <c r="G8" s="42">
        <f>'환기량 산정'!H$704</f>
        <v>14</v>
      </c>
      <c r="H8" s="61">
        <f>'환기량 산정'!I$704</f>
        <v>14</v>
      </c>
      <c r="I8" s="43">
        <f>'환기량 산정'!J$704</f>
        <v>14</v>
      </c>
      <c r="J8" s="36" t="s">
        <v>108</v>
      </c>
      <c r="K8" s="187">
        <f>'환기량 산정'!B1513</f>
        <v>15</v>
      </c>
      <c r="L8" s="42">
        <f>'환기량 산정'!C1513</f>
        <v>13</v>
      </c>
      <c r="M8" s="42">
        <f>'환기량 산정'!D1513</f>
        <v>9</v>
      </c>
      <c r="N8" s="42">
        <f>'환기량 산정'!E1513</f>
        <v>8</v>
      </c>
      <c r="O8" s="42">
        <f>'환기량 산정'!F1513</f>
        <v>7</v>
      </c>
      <c r="P8" s="42">
        <f>'환기량 산정'!G1513</f>
        <v>6</v>
      </c>
      <c r="Q8" s="42">
        <f>'환기량 산정'!H1513</f>
        <v>7</v>
      </c>
      <c r="R8" s="43">
        <f>'환기량 산정'!I1513</f>
        <v>7</v>
      </c>
      <c r="S8" s="36" t="s">
        <v>108</v>
      </c>
      <c r="T8" s="180">
        <f>'환기량 산정'!B1515</f>
        <v>3</v>
      </c>
      <c r="U8" s="42">
        <f>'환기량 산정'!C1515</f>
        <v>2</v>
      </c>
      <c r="V8" s="42">
        <f>'환기량 산정'!D1515</f>
        <v>2</v>
      </c>
      <c r="W8" s="42">
        <f>'환기량 산정'!E1515</f>
        <v>2</v>
      </c>
      <c r="X8" s="42">
        <f>'환기량 산정'!F1515</f>
        <v>1</v>
      </c>
      <c r="Y8" s="42">
        <f>'환기량 산정'!G1515</f>
        <v>1</v>
      </c>
      <c r="Z8" s="42">
        <f>'환기량 산정'!H1515</f>
        <v>1</v>
      </c>
      <c r="AA8" s="43">
        <f>'환기량 산정'!I1515</f>
        <v>1</v>
      </c>
      <c r="AB8" s="36" t="s">
        <v>111</v>
      </c>
      <c r="AC8" s="44">
        <f>'환기량 산정'!B1504</f>
        <v>1060</v>
      </c>
      <c r="AD8" s="38">
        <f>'환기량 산정'!C1504</f>
        <v>1536</v>
      </c>
      <c r="AE8" s="38">
        <f>'환기량 산정'!D1504</f>
        <v>1779</v>
      </c>
      <c r="AF8" s="38">
        <f>'환기량 산정'!E1504</f>
        <v>1867</v>
      </c>
      <c r="AG8" s="38">
        <f>'환기량 산정'!F1504</f>
        <v>1944</v>
      </c>
      <c r="AH8" s="38">
        <f>'환기량 산정'!G1504</f>
        <v>1925</v>
      </c>
      <c r="AI8" s="38">
        <f>'환기량 산정'!H1504</f>
        <v>1906</v>
      </c>
      <c r="AJ8" s="39">
        <f>'환기량 산정'!I1504</f>
        <v>1944</v>
      </c>
      <c r="AK8" s="69" t="s">
        <v>247</v>
      </c>
      <c r="AL8" s="44">
        <f t="shared" ref="AL8:AS8" si="8">K32</f>
        <v>1</v>
      </c>
      <c r="AM8" s="38">
        <f t="shared" si="8"/>
        <v>0</v>
      </c>
      <c r="AN8" s="38">
        <f t="shared" si="8"/>
        <v>0</v>
      </c>
      <c r="AO8" s="38">
        <f t="shared" si="8"/>
        <v>0</v>
      </c>
      <c r="AP8" s="38">
        <f t="shared" si="8"/>
        <v>0</v>
      </c>
      <c r="AQ8" s="38">
        <f t="shared" si="8"/>
        <v>0</v>
      </c>
      <c r="AR8" s="63">
        <f t="shared" si="8"/>
        <v>0</v>
      </c>
      <c r="AS8" s="39">
        <f t="shared" si="8"/>
        <v>0</v>
      </c>
      <c r="AT8" s="36" t="s">
        <v>108</v>
      </c>
      <c r="AU8" s="330">
        <f>'환기량 산정'!H1540</f>
        <v>137</v>
      </c>
      <c r="AV8" s="331">
        <f t="shared" ref="AV8:BB8" si="9">AU8</f>
        <v>137</v>
      </c>
      <c r="AW8" s="331">
        <f t="shared" si="9"/>
        <v>137</v>
      </c>
      <c r="AX8" s="331">
        <f t="shared" si="9"/>
        <v>137</v>
      </c>
      <c r="AY8" s="331">
        <f t="shared" si="9"/>
        <v>137</v>
      </c>
      <c r="AZ8" s="331">
        <f t="shared" si="9"/>
        <v>137</v>
      </c>
      <c r="BA8" s="331">
        <f t="shared" si="9"/>
        <v>137</v>
      </c>
      <c r="BB8" s="343">
        <f t="shared" si="9"/>
        <v>137</v>
      </c>
      <c r="BC8" s="36" t="s">
        <v>108</v>
      </c>
      <c r="BD8" s="330">
        <f>'환기량 산정'!H1545</f>
        <v>89</v>
      </c>
      <c r="BE8" s="331">
        <f t="shared" ref="BE8:BK8" si="10">BD8</f>
        <v>89</v>
      </c>
      <c r="BF8" s="331">
        <f t="shared" si="10"/>
        <v>89</v>
      </c>
      <c r="BG8" s="331">
        <f t="shared" si="10"/>
        <v>89</v>
      </c>
      <c r="BH8" s="331">
        <f t="shared" si="10"/>
        <v>89</v>
      </c>
      <c r="BI8" s="331">
        <f t="shared" si="10"/>
        <v>89</v>
      </c>
      <c r="BJ8" s="331">
        <f t="shared" si="10"/>
        <v>89</v>
      </c>
      <c r="BK8" s="343">
        <f t="shared" si="10"/>
        <v>89</v>
      </c>
    </row>
    <row r="9" spans="1:63">
      <c r="A9" s="69" t="s">
        <v>109</v>
      </c>
      <c r="B9" s="242">
        <f t="shared" ref="B9:I9" si="11">ROUND(B8/B12,4)</f>
        <v>0.1023</v>
      </c>
      <c r="C9" s="38">
        <f t="shared" si="11"/>
        <v>0.15340000000000001</v>
      </c>
      <c r="D9" s="38">
        <f t="shared" si="11"/>
        <v>0.15340000000000001</v>
      </c>
      <c r="E9" s="38">
        <f t="shared" si="11"/>
        <v>0.1704</v>
      </c>
      <c r="F9" s="38">
        <f t="shared" si="11"/>
        <v>0.23860000000000001</v>
      </c>
      <c r="G9" s="38">
        <f t="shared" si="11"/>
        <v>0.23860000000000001</v>
      </c>
      <c r="H9" s="63">
        <f t="shared" si="11"/>
        <v>0.23860000000000001</v>
      </c>
      <c r="I9" s="39">
        <f t="shared" si="11"/>
        <v>0.23860000000000001</v>
      </c>
      <c r="J9" s="36" t="s">
        <v>109</v>
      </c>
      <c r="K9" s="62">
        <f t="shared" ref="K9:R9" si="12">ROUND(K8/K12,4)</f>
        <v>0.25569999999999998</v>
      </c>
      <c r="L9" s="38">
        <f t="shared" si="12"/>
        <v>0.22159999999999999</v>
      </c>
      <c r="M9" s="38">
        <f t="shared" si="12"/>
        <v>0.15340000000000001</v>
      </c>
      <c r="N9" s="38">
        <f t="shared" si="12"/>
        <v>0.13639999999999999</v>
      </c>
      <c r="O9" s="38">
        <f t="shared" si="12"/>
        <v>0.1193</v>
      </c>
      <c r="P9" s="38">
        <f t="shared" si="12"/>
        <v>0.1023</v>
      </c>
      <c r="Q9" s="38">
        <f t="shared" si="12"/>
        <v>0.1193</v>
      </c>
      <c r="R9" s="39">
        <f t="shared" si="12"/>
        <v>0.1193</v>
      </c>
      <c r="S9" s="36" t="s">
        <v>109</v>
      </c>
      <c r="T9" s="44">
        <f t="shared" ref="T9:AA9" si="13">ROUND(T8/T12,4)</f>
        <v>5.11E-2</v>
      </c>
      <c r="U9" s="38">
        <f t="shared" si="13"/>
        <v>3.4099999999999998E-2</v>
      </c>
      <c r="V9" s="38">
        <f t="shared" si="13"/>
        <v>3.4099999999999998E-2</v>
      </c>
      <c r="W9" s="38">
        <f t="shared" si="13"/>
        <v>3.4099999999999998E-2</v>
      </c>
      <c r="X9" s="38">
        <f t="shared" si="13"/>
        <v>1.7000000000000001E-2</v>
      </c>
      <c r="Y9" s="38">
        <f t="shared" si="13"/>
        <v>1.7000000000000001E-2</v>
      </c>
      <c r="Z9" s="38">
        <f t="shared" si="13"/>
        <v>1.7000000000000001E-2</v>
      </c>
      <c r="AA9" s="39">
        <f t="shared" si="13"/>
        <v>1.7000000000000001E-2</v>
      </c>
      <c r="AB9" s="36" t="s">
        <v>535</v>
      </c>
      <c r="AC9" s="37">
        <f>차량정체길이산정!B9</f>
        <v>144</v>
      </c>
      <c r="AD9" s="38">
        <f>차량정체길이산정!C9</f>
        <v>144</v>
      </c>
      <c r="AE9" s="38">
        <f>차량정체길이산정!D9</f>
        <v>144</v>
      </c>
      <c r="AF9" s="38">
        <f>차량정체길이산정!E9</f>
        <v>140</v>
      </c>
      <c r="AG9" s="38">
        <f>차량정체길이산정!F9</f>
        <v>136</v>
      </c>
      <c r="AH9" s="63">
        <f>차량정체길이산정!G9</f>
        <v>129</v>
      </c>
      <c r="AI9" s="38">
        <f>차량정체길이산정!H9</f>
        <v>123</v>
      </c>
      <c r="AJ9" s="39">
        <f>차량정체길이산정!I9</f>
        <v>122</v>
      </c>
      <c r="AK9" s="69" t="s">
        <v>248</v>
      </c>
      <c r="AL9" s="44">
        <f t="shared" ref="AL9:AS9" si="14">T32</f>
        <v>1</v>
      </c>
      <c r="AM9" s="38">
        <f t="shared" si="14"/>
        <v>0</v>
      </c>
      <c r="AN9" s="38">
        <f t="shared" si="14"/>
        <v>0</v>
      </c>
      <c r="AO9" s="38">
        <f t="shared" si="14"/>
        <v>0</v>
      </c>
      <c r="AP9" s="38">
        <f t="shared" si="14"/>
        <v>0</v>
      </c>
      <c r="AQ9" s="38">
        <f t="shared" si="14"/>
        <v>0</v>
      </c>
      <c r="AR9" s="63">
        <f t="shared" si="14"/>
        <v>0</v>
      </c>
      <c r="AS9" s="39">
        <f t="shared" si="14"/>
        <v>0</v>
      </c>
      <c r="AT9" s="36" t="s">
        <v>109</v>
      </c>
      <c r="AU9" s="327">
        <f t="shared" ref="AU9:BB9" si="15">ROUND(AU8/AU12,4)</f>
        <v>2.335</v>
      </c>
      <c r="AV9" s="328">
        <f t="shared" si="15"/>
        <v>2.335</v>
      </c>
      <c r="AW9" s="328">
        <f t="shared" si="15"/>
        <v>2.335</v>
      </c>
      <c r="AX9" s="328">
        <f t="shared" si="15"/>
        <v>2.335</v>
      </c>
      <c r="AY9" s="328">
        <f t="shared" si="15"/>
        <v>2.335</v>
      </c>
      <c r="AZ9" s="328">
        <f t="shared" si="15"/>
        <v>2.335</v>
      </c>
      <c r="BA9" s="328">
        <f t="shared" si="15"/>
        <v>2.335</v>
      </c>
      <c r="BB9" s="329">
        <f t="shared" si="15"/>
        <v>2.335</v>
      </c>
      <c r="BC9" s="36" t="s">
        <v>109</v>
      </c>
      <c r="BD9" s="327">
        <f t="shared" ref="BD9:BK9" si="16">ROUND(BD8/BD12,4)</f>
        <v>1.5168999999999999</v>
      </c>
      <c r="BE9" s="328">
        <f t="shared" si="16"/>
        <v>1.5168999999999999</v>
      </c>
      <c r="BF9" s="328">
        <f t="shared" si="16"/>
        <v>1.5168999999999999</v>
      </c>
      <c r="BG9" s="328">
        <f t="shared" si="16"/>
        <v>1.5168999999999999</v>
      </c>
      <c r="BH9" s="328">
        <f t="shared" si="16"/>
        <v>1.5168999999999999</v>
      </c>
      <c r="BI9" s="328">
        <f t="shared" si="16"/>
        <v>1.5168999999999999</v>
      </c>
      <c r="BJ9" s="328">
        <f t="shared" si="16"/>
        <v>1.5168999999999999</v>
      </c>
      <c r="BK9" s="329">
        <f t="shared" si="16"/>
        <v>1.5168999999999999</v>
      </c>
    </row>
    <row r="10" spans="1:63">
      <c r="A10" s="36" t="s">
        <v>110</v>
      </c>
      <c r="B10" s="360">
        <f>'환기량 산정'!$C1490</f>
        <v>2.5</v>
      </c>
      <c r="C10" s="361">
        <f>'환기량 산정'!$C1490</f>
        <v>2.5</v>
      </c>
      <c r="D10" s="361">
        <f>'환기량 산정'!$C1490</f>
        <v>2.5</v>
      </c>
      <c r="E10" s="361">
        <f>'환기량 산정'!$C1490</f>
        <v>2.5</v>
      </c>
      <c r="F10" s="361">
        <f>'환기량 산정'!$C1490</f>
        <v>2.5</v>
      </c>
      <c r="G10" s="361">
        <f>'환기량 산정'!$C1490</f>
        <v>2.5</v>
      </c>
      <c r="H10" s="362">
        <f>'환기량 산정'!$C1490</f>
        <v>2.5</v>
      </c>
      <c r="I10" s="363">
        <f>'환기량 산정'!$C1490</f>
        <v>2.5</v>
      </c>
      <c r="J10" s="36" t="s">
        <v>110</v>
      </c>
      <c r="K10" s="364">
        <f>'환기량 산정'!$C1490</f>
        <v>2.5</v>
      </c>
      <c r="L10" s="361">
        <f>'환기량 산정'!$C1490</f>
        <v>2.5</v>
      </c>
      <c r="M10" s="361">
        <f>'환기량 산정'!$C1490</f>
        <v>2.5</v>
      </c>
      <c r="N10" s="361">
        <f>'환기량 산정'!$C1490</f>
        <v>2.5</v>
      </c>
      <c r="O10" s="361">
        <f>'환기량 산정'!$C1490</f>
        <v>2.5</v>
      </c>
      <c r="P10" s="361">
        <f>'환기량 산정'!$C1490</f>
        <v>2.5</v>
      </c>
      <c r="Q10" s="361">
        <f>'환기량 산정'!$C1490</f>
        <v>2.5</v>
      </c>
      <c r="R10" s="363">
        <f>'환기량 산정'!$C1490</f>
        <v>2.5</v>
      </c>
      <c r="S10" s="36" t="s">
        <v>110</v>
      </c>
      <c r="T10" s="360">
        <f>'환기량 산정'!$C1490</f>
        <v>2.5</v>
      </c>
      <c r="U10" s="361">
        <f>'환기량 산정'!$C1490</f>
        <v>2.5</v>
      </c>
      <c r="V10" s="361">
        <f>'환기량 산정'!$C1490</f>
        <v>2.5</v>
      </c>
      <c r="W10" s="361">
        <f>'환기량 산정'!$C1490</f>
        <v>2.5</v>
      </c>
      <c r="X10" s="361">
        <f>'환기량 산정'!$C1490</f>
        <v>2.5</v>
      </c>
      <c r="Y10" s="361">
        <f>'환기량 산정'!$C1490</f>
        <v>2.5</v>
      </c>
      <c r="Z10" s="361">
        <f>'환기량 산정'!$C1490</f>
        <v>2.5</v>
      </c>
      <c r="AA10" s="363">
        <f>'환기량 산정'!$C1490</f>
        <v>2.5</v>
      </c>
      <c r="AB10" s="36"/>
      <c r="AC10" s="37"/>
      <c r="AD10" s="38"/>
      <c r="AE10" s="38"/>
      <c r="AF10" s="38"/>
      <c r="AG10" s="38"/>
      <c r="AH10" s="63"/>
      <c r="AI10" s="38"/>
      <c r="AJ10" s="39"/>
      <c r="AK10" s="166" t="s">
        <v>425</v>
      </c>
      <c r="AL10" s="355">
        <f t="shared" ref="AL10:AS10" si="17">AU32</f>
        <v>3</v>
      </c>
      <c r="AM10" s="65">
        <f t="shared" si="17"/>
        <v>2</v>
      </c>
      <c r="AN10" s="65">
        <f t="shared" si="17"/>
        <v>1</v>
      </c>
      <c r="AO10" s="65">
        <f t="shared" si="17"/>
        <v>0</v>
      </c>
      <c r="AP10" s="65">
        <f t="shared" si="17"/>
        <v>0</v>
      </c>
      <c r="AQ10" s="65">
        <f t="shared" si="17"/>
        <v>0</v>
      </c>
      <c r="AR10" s="65">
        <f t="shared" si="17"/>
        <v>0</v>
      </c>
      <c r="AS10" s="66">
        <f t="shared" si="17"/>
        <v>0</v>
      </c>
      <c r="AT10" s="36" t="s">
        <v>110</v>
      </c>
      <c r="AU10" s="357">
        <f>'환기량 산정'!$C1490</f>
        <v>2.5</v>
      </c>
      <c r="AV10" s="358">
        <f>'환기량 산정'!$C1490</f>
        <v>2.5</v>
      </c>
      <c r="AW10" s="358">
        <f>'환기량 산정'!$C1490</f>
        <v>2.5</v>
      </c>
      <c r="AX10" s="358">
        <f>'환기량 산정'!$C1490</f>
        <v>2.5</v>
      </c>
      <c r="AY10" s="358">
        <f>'환기량 산정'!$C1490</f>
        <v>2.5</v>
      </c>
      <c r="AZ10" s="358">
        <f>'환기량 산정'!$C1490</f>
        <v>2.5</v>
      </c>
      <c r="BA10" s="358">
        <f>'환기량 산정'!$C1490</f>
        <v>2.5</v>
      </c>
      <c r="BB10" s="359">
        <f>'환기량 산정'!$C1490</f>
        <v>2.5</v>
      </c>
      <c r="BC10" s="36" t="s">
        <v>110</v>
      </c>
      <c r="BD10" s="357">
        <f>'환기량 산정'!$C1490</f>
        <v>2.5</v>
      </c>
      <c r="BE10" s="358">
        <f>'환기량 산정'!$C1490</f>
        <v>2.5</v>
      </c>
      <c r="BF10" s="358">
        <f>'환기량 산정'!$C1490</f>
        <v>2.5</v>
      </c>
      <c r="BG10" s="358">
        <f>'환기량 산정'!$C1490</f>
        <v>2.5</v>
      </c>
      <c r="BH10" s="358">
        <f>'환기량 산정'!$C1490</f>
        <v>2.5</v>
      </c>
      <c r="BI10" s="358">
        <f>'환기량 산정'!$C1490</f>
        <v>2.5</v>
      </c>
      <c r="BJ10" s="358">
        <f>'환기량 산정'!$C1490</f>
        <v>2.5</v>
      </c>
      <c r="BK10" s="359">
        <f>'환기량 산정'!$C1490</f>
        <v>2.5</v>
      </c>
    </row>
    <row r="11" spans="1:63" ht="15.75">
      <c r="A11" s="36" t="s">
        <v>111</v>
      </c>
      <c r="B11" s="44">
        <f>'환기량 산정'!B1504</f>
        <v>1060</v>
      </c>
      <c r="C11" s="38">
        <f>'환기량 산정'!C1504</f>
        <v>1536</v>
      </c>
      <c r="D11" s="38">
        <f>'환기량 산정'!D1504</f>
        <v>1779</v>
      </c>
      <c r="E11" s="38">
        <f>'환기량 산정'!E1504</f>
        <v>1867</v>
      </c>
      <c r="F11" s="38">
        <f>'환기량 산정'!F1504</f>
        <v>1944</v>
      </c>
      <c r="G11" s="38">
        <f>'환기량 산정'!G1504</f>
        <v>1925</v>
      </c>
      <c r="H11" s="63">
        <f>'환기량 산정'!H1504</f>
        <v>1906</v>
      </c>
      <c r="I11" s="39">
        <f>'환기량 산정'!I1504</f>
        <v>1944</v>
      </c>
      <c r="J11" s="36" t="s">
        <v>111</v>
      </c>
      <c r="K11" s="62">
        <f t="shared" ref="K11:R11" si="18">B11</f>
        <v>1060</v>
      </c>
      <c r="L11" s="38">
        <f t="shared" si="18"/>
        <v>1536</v>
      </c>
      <c r="M11" s="38">
        <f t="shared" si="18"/>
        <v>1779</v>
      </c>
      <c r="N11" s="38">
        <f t="shared" si="18"/>
        <v>1867</v>
      </c>
      <c r="O11" s="38">
        <f t="shared" si="18"/>
        <v>1944</v>
      </c>
      <c r="P11" s="38">
        <f t="shared" si="18"/>
        <v>1925</v>
      </c>
      <c r="Q11" s="38">
        <f t="shared" si="18"/>
        <v>1906</v>
      </c>
      <c r="R11" s="39">
        <f t="shared" si="18"/>
        <v>1944</v>
      </c>
      <c r="S11" s="36" t="s">
        <v>111</v>
      </c>
      <c r="T11" s="44">
        <f t="shared" ref="T11:AA11" si="19">K11</f>
        <v>1060</v>
      </c>
      <c r="U11" s="38">
        <f t="shared" si="19"/>
        <v>1536</v>
      </c>
      <c r="V11" s="38">
        <f t="shared" si="19"/>
        <v>1779</v>
      </c>
      <c r="W11" s="38">
        <f t="shared" si="19"/>
        <v>1867</v>
      </c>
      <c r="X11" s="38">
        <f t="shared" si="19"/>
        <v>1944</v>
      </c>
      <c r="Y11" s="38">
        <f t="shared" si="19"/>
        <v>1925</v>
      </c>
      <c r="Z11" s="38">
        <f t="shared" si="19"/>
        <v>1906</v>
      </c>
      <c r="AA11" s="39">
        <f t="shared" si="19"/>
        <v>1944</v>
      </c>
      <c r="AB11" s="36" t="s">
        <v>154</v>
      </c>
      <c r="AC11" s="37">
        <f t="shared" ref="AC11:AJ11" si="20">ROUND((1+B16+B17*B13/B18)*B14/2*AC7^2,4)</f>
        <v>14.478999999999999</v>
      </c>
      <c r="AD11" s="38">
        <f t="shared" si="20"/>
        <v>14.478999999999999</v>
      </c>
      <c r="AE11" s="38">
        <f t="shared" si="20"/>
        <v>14.478999999999999</v>
      </c>
      <c r="AF11" s="38">
        <f t="shared" si="20"/>
        <v>14.478999999999999</v>
      </c>
      <c r="AG11" s="38">
        <f t="shared" si="20"/>
        <v>14.478999999999999</v>
      </c>
      <c r="AH11" s="63">
        <f t="shared" si="20"/>
        <v>14.478999999999999</v>
      </c>
      <c r="AI11" s="38">
        <f t="shared" si="20"/>
        <v>14.478999999999999</v>
      </c>
      <c r="AJ11" s="39">
        <f t="shared" si="20"/>
        <v>14.478999999999999</v>
      </c>
      <c r="AK11" s="166" t="s">
        <v>249</v>
      </c>
      <c r="AL11" s="67">
        <f t="shared" ref="AL11:AS11" si="21">AC20</f>
        <v>7</v>
      </c>
      <c r="AM11" s="65">
        <f t="shared" si="21"/>
        <v>7</v>
      </c>
      <c r="AN11" s="65">
        <f t="shared" si="21"/>
        <v>7</v>
      </c>
      <c r="AO11" s="65">
        <f t="shared" si="21"/>
        <v>7</v>
      </c>
      <c r="AP11" s="65">
        <f t="shared" si="21"/>
        <v>7</v>
      </c>
      <c r="AQ11" s="65">
        <f t="shared" si="21"/>
        <v>7</v>
      </c>
      <c r="AR11" s="65">
        <f t="shared" si="21"/>
        <v>7</v>
      </c>
      <c r="AS11" s="66">
        <f t="shared" si="21"/>
        <v>7</v>
      </c>
      <c r="AT11" s="36" t="s">
        <v>111</v>
      </c>
      <c r="AU11" s="327">
        <f t="shared" ref="AU11:BB11" si="22">B11</f>
        <v>1060</v>
      </c>
      <c r="AV11" s="332">
        <f t="shared" si="22"/>
        <v>1536</v>
      </c>
      <c r="AW11" s="332">
        <f t="shared" si="22"/>
        <v>1779</v>
      </c>
      <c r="AX11" s="332">
        <f t="shared" si="22"/>
        <v>1867</v>
      </c>
      <c r="AY11" s="332">
        <f t="shared" si="22"/>
        <v>1944</v>
      </c>
      <c r="AZ11" s="332">
        <f t="shared" si="22"/>
        <v>1925</v>
      </c>
      <c r="BA11" s="332">
        <f t="shared" si="22"/>
        <v>1906</v>
      </c>
      <c r="BB11" s="338">
        <f t="shared" si="22"/>
        <v>1944</v>
      </c>
      <c r="BC11" s="36" t="s">
        <v>111</v>
      </c>
      <c r="BD11" s="327">
        <f t="shared" ref="BD11:BK11" si="23">K11</f>
        <v>1060</v>
      </c>
      <c r="BE11" s="332">
        <f t="shared" si="23"/>
        <v>1536</v>
      </c>
      <c r="BF11" s="332">
        <f t="shared" si="23"/>
        <v>1779</v>
      </c>
      <c r="BG11" s="332">
        <f t="shared" si="23"/>
        <v>1867</v>
      </c>
      <c r="BH11" s="332">
        <f t="shared" si="23"/>
        <v>1944</v>
      </c>
      <c r="BI11" s="332">
        <f t="shared" si="23"/>
        <v>1925</v>
      </c>
      <c r="BJ11" s="332">
        <f t="shared" si="23"/>
        <v>1906</v>
      </c>
      <c r="BK11" s="338">
        <f t="shared" si="23"/>
        <v>1944</v>
      </c>
    </row>
    <row r="12" spans="1:63" ht="15.75">
      <c r="A12" s="36" t="s">
        <v>90</v>
      </c>
      <c r="B12" s="44">
        <f>'환기량 산정'!$C1488</f>
        <v>58.672159999999998</v>
      </c>
      <c r="C12" s="38">
        <f>'환기량 산정'!$C1488</f>
        <v>58.672159999999998</v>
      </c>
      <c r="D12" s="38">
        <f>'환기량 산정'!$C1488</f>
        <v>58.672159999999998</v>
      </c>
      <c r="E12" s="38">
        <f>'환기량 산정'!$C1488</f>
        <v>58.672159999999998</v>
      </c>
      <c r="F12" s="38">
        <f>'환기량 산정'!$C1488</f>
        <v>58.672159999999998</v>
      </c>
      <c r="G12" s="38">
        <f>'환기량 산정'!$C1488</f>
        <v>58.672159999999998</v>
      </c>
      <c r="H12" s="63">
        <f>'환기량 산정'!$C1488</f>
        <v>58.672159999999998</v>
      </c>
      <c r="I12" s="39">
        <f>'환기량 산정'!$C1488</f>
        <v>58.672159999999998</v>
      </c>
      <c r="J12" s="36" t="s">
        <v>90</v>
      </c>
      <c r="K12" s="62">
        <f>'환기량 산정'!$C1488</f>
        <v>58.672159999999998</v>
      </c>
      <c r="L12" s="38">
        <f>'환기량 산정'!$C1488</f>
        <v>58.672159999999998</v>
      </c>
      <c r="M12" s="38">
        <f>'환기량 산정'!$C1488</f>
        <v>58.672159999999998</v>
      </c>
      <c r="N12" s="38">
        <f>'환기량 산정'!$C1488</f>
        <v>58.672159999999998</v>
      </c>
      <c r="O12" s="38">
        <f>'환기량 산정'!$C1488</f>
        <v>58.672159999999998</v>
      </c>
      <c r="P12" s="38">
        <f>'환기량 산정'!$C1488</f>
        <v>58.672159999999998</v>
      </c>
      <c r="Q12" s="38">
        <f>'환기량 산정'!$C1488</f>
        <v>58.672159999999998</v>
      </c>
      <c r="R12" s="39">
        <f>'환기량 산정'!$C1488</f>
        <v>58.672159999999998</v>
      </c>
      <c r="S12" s="36" t="s">
        <v>90</v>
      </c>
      <c r="T12" s="44">
        <f>'환기량 산정'!$C1488</f>
        <v>58.672159999999998</v>
      </c>
      <c r="U12" s="38">
        <f>'환기량 산정'!$C1488</f>
        <v>58.672159999999998</v>
      </c>
      <c r="V12" s="38">
        <f>'환기량 산정'!$C1488</f>
        <v>58.672159999999998</v>
      </c>
      <c r="W12" s="38">
        <f>'환기량 산정'!$C1488</f>
        <v>58.672159999999998</v>
      </c>
      <c r="X12" s="38">
        <f>'환기량 산정'!$C1488</f>
        <v>58.672159999999998</v>
      </c>
      <c r="Y12" s="38">
        <f>'환기량 산정'!$C1488</f>
        <v>58.672159999999998</v>
      </c>
      <c r="Z12" s="38">
        <f>'환기량 산정'!$C1488</f>
        <v>58.672159999999998</v>
      </c>
      <c r="AA12" s="39">
        <f>'환기량 산정'!$C1488</f>
        <v>58.672159999999998</v>
      </c>
      <c r="AB12" s="36" t="s">
        <v>155</v>
      </c>
      <c r="AC12" s="37">
        <f t="shared" ref="AC12:AJ12" si="24">B25</f>
        <v>17.875299999999999</v>
      </c>
      <c r="AD12" s="38">
        <f t="shared" si="24"/>
        <v>17.875299999999999</v>
      </c>
      <c r="AE12" s="38">
        <f t="shared" si="24"/>
        <v>17.875299999999999</v>
      </c>
      <c r="AF12" s="38">
        <f t="shared" si="24"/>
        <v>17.875299999999999</v>
      </c>
      <c r="AG12" s="38">
        <f t="shared" si="24"/>
        <v>17.875299999999999</v>
      </c>
      <c r="AH12" s="63">
        <f t="shared" si="24"/>
        <v>17.875299999999999</v>
      </c>
      <c r="AI12" s="38">
        <f t="shared" si="24"/>
        <v>17.875299999999999</v>
      </c>
      <c r="AJ12" s="39">
        <f t="shared" si="24"/>
        <v>17.875299999999999</v>
      </c>
      <c r="AK12" s="356" t="s">
        <v>262</v>
      </c>
      <c r="AL12" s="170">
        <f t="shared" ref="AL12:AS12" si="25">IF(MAX(AL29:AL31)&gt;AU8,MAX(AL7:AL9),AL10)</f>
        <v>3</v>
      </c>
      <c r="AM12" s="171">
        <f t="shared" si="25"/>
        <v>2</v>
      </c>
      <c r="AN12" s="171">
        <f t="shared" si="25"/>
        <v>1</v>
      </c>
      <c r="AO12" s="171">
        <f t="shared" si="25"/>
        <v>0</v>
      </c>
      <c r="AP12" s="171">
        <f t="shared" si="25"/>
        <v>0</v>
      </c>
      <c r="AQ12" s="171">
        <f t="shared" si="25"/>
        <v>0</v>
      </c>
      <c r="AR12" s="171">
        <f t="shared" si="25"/>
        <v>0</v>
      </c>
      <c r="AS12" s="172">
        <f t="shared" si="25"/>
        <v>0</v>
      </c>
      <c r="AT12" s="36" t="s">
        <v>90</v>
      </c>
      <c r="AU12" s="327">
        <f>'환기량 산정'!$C1488</f>
        <v>58.672159999999998</v>
      </c>
      <c r="AV12" s="328">
        <f>'환기량 산정'!$C1488</f>
        <v>58.672159999999998</v>
      </c>
      <c r="AW12" s="328">
        <f>'환기량 산정'!$C1488</f>
        <v>58.672159999999998</v>
      </c>
      <c r="AX12" s="328">
        <f>'환기량 산정'!$C1488</f>
        <v>58.672159999999998</v>
      </c>
      <c r="AY12" s="328">
        <f>'환기량 산정'!$C1488</f>
        <v>58.672159999999998</v>
      </c>
      <c r="AZ12" s="328">
        <f>'환기량 산정'!$C1488</f>
        <v>58.672159999999998</v>
      </c>
      <c r="BA12" s="328">
        <f>'환기량 산정'!$C1488</f>
        <v>58.672159999999998</v>
      </c>
      <c r="BB12" s="329">
        <f>'환기량 산정'!$C1488</f>
        <v>58.672159999999998</v>
      </c>
      <c r="BC12" s="36" t="s">
        <v>90</v>
      </c>
      <c r="BD12" s="327">
        <f>'환기량 산정'!$C1488</f>
        <v>58.672159999999998</v>
      </c>
      <c r="BE12" s="328">
        <f>'환기량 산정'!$C1488</f>
        <v>58.672159999999998</v>
      </c>
      <c r="BF12" s="328">
        <f>'환기량 산정'!$C1488</f>
        <v>58.672159999999998</v>
      </c>
      <c r="BG12" s="328">
        <f>'환기량 산정'!$C1488</f>
        <v>58.672159999999998</v>
      </c>
      <c r="BH12" s="328">
        <f>'환기량 산정'!$C1488</f>
        <v>58.672159999999998</v>
      </c>
      <c r="BI12" s="328">
        <f>'환기량 산정'!$C1488</f>
        <v>58.672159999999998</v>
      </c>
      <c r="BJ12" s="328">
        <f>'환기량 산정'!$C1488</f>
        <v>58.672159999999998</v>
      </c>
      <c r="BK12" s="329">
        <f>'환기량 산정'!$C1488</f>
        <v>58.672159999999998</v>
      </c>
    </row>
    <row r="13" spans="1:63">
      <c r="A13" s="36" t="s">
        <v>112</v>
      </c>
      <c r="B13" s="44">
        <f>'환기량 산정'!$C1494</f>
        <v>1000</v>
      </c>
      <c r="C13" s="38">
        <f>'환기량 산정'!$C1494</f>
        <v>1000</v>
      </c>
      <c r="D13" s="38">
        <f>'환기량 산정'!$C1494</f>
        <v>1000</v>
      </c>
      <c r="E13" s="38">
        <f>'환기량 산정'!$C1494</f>
        <v>1000</v>
      </c>
      <c r="F13" s="38">
        <f>'환기량 산정'!$C1494</f>
        <v>1000</v>
      </c>
      <c r="G13" s="38">
        <f>'환기량 산정'!$C1494</f>
        <v>1000</v>
      </c>
      <c r="H13" s="63">
        <f>'환기량 산정'!$C1494</f>
        <v>1000</v>
      </c>
      <c r="I13" s="39">
        <f>'환기량 산정'!$C1494</f>
        <v>1000</v>
      </c>
      <c r="J13" s="36" t="s">
        <v>112</v>
      </c>
      <c r="K13" s="62">
        <f>'환기량 산정'!$C1494</f>
        <v>1000</v>
      </c>
      <c r="L13" s="38">
        <f>'환기량 산정'!$C1494</f>
        <v>1000</v>
      </c>
      <c r="M13" s="38">
        <f>'환기량 산정'!$C1494</f>
        <v>1000</v>
      </c>
      <c r="N13" s="38">
        <f>'환기량 산정'!$C1494</f>
        <v>1000</v>
      </c>
      <c r="O13" s="38">
        <f>'환기량 산정'!$C1494</f>
        <v>1000</v>
      </c>
      <c r="P13" s="38">
        <f>'환기량 산정'!$C1494</f>
        <v>1000</v>
      </c>
      <c r="Q13" s="38">
        <f>'환기량 산정'!$C1494</f>
        <v>1000</v>
      </c>
      <c r="R13" s="39">
        <f>'환기량 산정'!$C1494</f>
        <v>1000</v>
      </c>
      <c r="S13" s="36" t="s">
        <v>112</v>
      </c>
      <c r="T13" s="44">
        <f>'환기량 산정'!$C1494</f>
        <v>1000</v>
      </c>
      <c r="U13" s="38">
        <f>'환기량 산정'!$C1494</f>
        <v>1000</v>
      </c>
      <c r="V13" s="38">
        <f>'환기량 산정'!$C1494</f>
        <v>1000</v>
      </c>
      <c r="W13" s="38">
        <f>'환기량 산정'!$C1494</f>
        <v>1000</v>
      </c>
      <c r="X13" s="38">
        <f>'환기량 산정'!$C1494</f>
        <v>1000</v>
      </c>
      <c r="Y13" s="38">
        <f>'환기량 산정'!$C1494</f>
        <v>1000</v>
      </c>
      <c r="Z13" s="38">
        <f>'환기량 산정'!$C1494</f>
        <v>1000</v>
      </c>
      <c r="AA13" s="39">
        <f>'환기량 산정'!$C1494</f>
        <v>1000</v>
      </c>
      <c r="AB13" s="3" t="s">
        <v>534</v>
      </c>
      <c r="AC13" s="37">
        <f>ROUND(0.86*B19,4)</f>
        <v>0.92459999999999998</v>
      </c>
      <c r="AD13" s="38">
        <f t="shared" ref="AD13:AJ13" si="26">ROUND(0.86*C19,4)</f>
        <v>0.92459999999999998</v>
      </c>
      <c r="AE13" s="38">
        <f t="shared" si="26"/>
        <v>0.92459999999999998</v>
      </c>
      <c r="AF13" s="38">
        <f t="shared" si="26"/>
        <v>0.92459999999999998</v>
      </c>
      <c r="AG13" s="38">
        <f t="shared" si="26"/>
        <v>0.92459999999999998</v>
      </c>
      <c r="AH13" s="63">
        <f t="shared" si="26"/>
        <v>0.92459999999999998</v>
      </c>
      <c r="AI13" s="38">
        <f t="shared" si="26"/>
        <v>0.92459999999999998</v>
      </c>
      <c r="AJ13" s="39">
        <f t="shared" si="26"/>
        <v>0.92459999999999998</v>
      </c>
      <c r="AK13" s="69" t="s">
        <v>123</v>
      </c>
      <c r="AL13" s="44">
        <f t="shared" ref="AL13:AS13" si="27">ROUND((1+B16+B17*B13/B18)*B14/2,4)</f>
        <v>2.86</v>
      </c>
      <c r="AM13" s="38">
        <f t="shared" si="27"/>
        <v>2.86</v>
      </c>
      <c r="AN13" s="38">
        <f t="shared" si="27"/>
        <v>2.86</v>
      </c>
      <c r="AO13" s="38">
        <f t="shared" si="27"/>
        <v>2.86</v>
      </c>
      <c r="AP13" s="38">
        <f t="shared" si="27"/>
        <v>2.86</v>
      </c>
      <c r="AQ13" s="38">
        <f t="shared" si="27"/>
        <v>2.86</v>
      </c>
      <c r="AR13" s="38">
        <f t="shared" si="27"/>
        <v>2.86</v>
      </c>
      <c r="AS13" s="39">
        <f t="shared" si="27"/>
        <v>2.86</v>
      </c>
      <c r="AT13" s="36" t="s">
        <v>112</v>
      </c>
      <c r="AU13" s="327">
        <f>'환기량 산정'!$C1494</f>
        <v>1000</v>
      </c>
      <c r="AV13" s="328">
        <f>'환기량 산정'!$C1494</f>
        <v>1000</v>
      </c>
      <c r="AW13" s="328">
        <f>'환기량 산정'!$C1494</f>
        <v>1000</v>
      </c>
      <c r="AX13" s="328">
        <f>'환기량 산정'!$C1494</f>
        <v>1000</v>
      </c>
      <c r="AY13" s="328">
        <f>'환기량 산정'!$C1494</f>
        <v>1000</v>
      </c>
      <c r="AZ13" s="328">
        <f>'환기량 산정'!$C1494</f>
        <v>1000</v>
      </c>
      <c r="BA13" s="328">
        <f>'환기량 산정'!$C1494</f>
        <v>1000</v>
      </c>
      <c r="BB13" s="329">
        <f>'환기량 산정'!$C1494</f>
        <v>1000</v>
      </c>
      <c r="BC13" s="36" t="s">
        <v>112</v>
      </c>
      <c r="BD13" s="327">
        <f>'환기량 산정'!$C1494</f>
        <v>1000</v>
      </c>
      <c r="BE13" s="328">
        <f>'환기량 산정'!$C1494</f>
        <v>1000</v>
      </c>
      <c r="BF13" s="328">
        <f>'환기량 산정'!$C1494</f>
        <v>1000</v>
      </c>
      <c r="BG13" s="328">
        <f>'환기량 산정'!$C1494</f>
        <v>1000</v>
      </c>
      <c r="BH13" s="328">
        <f>'환기량 산정'!$C1494</f>
        <v>1000</v>
      </c>
      <c r="BI13" s="328">
        <f>'환기량 산정'!$C1494</f>
        <v>1000</v>
      </c>
      <c r="BJ13" s="328">
        <f>'환기량 산정'!$C1494</f>
        <v>1000</v>
      </c>
      <c r="BK13" s="329">
        <f>'환기량 산정'!$C1494</f>
        <v>1000</v>
      </c>
    </row>
    <row r="14" spans="1:63" ht="15.75">
      <c r="A14" s="36" t="s">
        <v>113</v>
      </c>
      <c r="B14" s="44">
        <f>'환기량 산정'!$C1493</f>
        <v>1.2</v>
      </c>
      <c r="C14" s="38">
        <f>'환기량 산정'!$C1493</f>
        <v>1.2</v>
      </c>
      <c r="D14" s="38">
        <f>'환기량 산정'!$C1493</f>
        <v>1.2</v>
      </c>
      <c r="E14" s="38">
        <f>'환기량 산정'!$C1493</f>
        <v>1.2</v>
      </c>
      <c r="F14" s="38">
        <f>'환기량 산정'!$C1493</f>
        <v>1.2</v>
      </c>
      <c r="G14" s="38">
        <f>'환기량 산정'!$C1493</f>
        <v>1.2</v>
      </c>
      <c r="H14" s="63">
        <f>'환기량 산정'!$C1493</f>
        <v>1.2</v>
      </c>
      <c r="I14" s="39">
        <f>'환기량 산정'!$C1493</f>
        <v>1.2</v>
      </c>
      <c r="J14" s="36" t="s">
        <v>113</v>
      </c>
      <c r="K14" s="62">
        <f>'환기량 산정'!$C1493</f>
        <v>1.2</v>
      </c>
      <c r="L14" s="38">
        <f>'환기량 산정'!$C1493</f>
        <v>1.2</v>
      </c>
      <c r="M14" s="38">
        <f>'환기량 산정'!$C1493</f>
        <v>1.2</v>
      </c>
      <c r="N14" s="38">
        <f>'환기량 산정'!$C1493</f>
        <v>1.2</v>
      </c>
      <c r="O14" s="38">
        <f>'환기량 산정'!$C1493</f>
        <v>1.2</v>
      </c>
      <c r="P14" s="38">
        <f>'환기량 산정'!$C1493</f>
        <v>1.2</v>
      </c>
      <c r="Q14" s="38">
        <f>'환기량 산정'!$C1493</f>
        <v>1.2</v>
      </c>
      <c r="R14" s="39">
        <f>'환기량 산정'!$C1493</f>
        <v>1.2</v>
      </c>
      <c r="S14" s="36" t="s">
        <v>113</v>
      </c>
      <c r="T14" s="44">
        <f>'환기량 산정'!$C1493</f>
        <v>1.2</v>
      </c>
      <c r="U14" s="38">
        <f>'환기량 산정'!$C1493</f>
        <v>1.2</v>
      </c>
      <c r="V14" s="38">
        <f>'환기량 산정'!$C1493</f>
        <v>1.2</v>
      </c>
      <c r="W14" s="38">
        <f>'환기량 산정'!$C1493</f>
        <v>1.2</v>
      </c>
      <c r="X14" s="38">
        <f>'환기량 산정'!$C1493</f>
        <v>1.2</v>
      </c>
      <c r="Y14" s="38">
        <f>'환기량 산정'!$C1493</f>
        <v>1.2</v>
      </c>
      <c r="Z14" s="38">
        <f>'환기량 산정'!$C1493</f>
        <v>1.2</v>
      </c>
      <c r="AA14" s="39">
        <f>'환기량 산정'!$C1493</f>
        <v>1.2</v>
      </c>
      <c r="AB14" s="36" t="s">
        <v>159</v>
      </c>
      <c r="AC14" s="1220">
        <f>'한도공 제연팬 산정(열부력미고려)'!AC14*'한도공 제연팬 산정 (중앙부화재)'!$AI$2</f>
        <v>-6.2036100000000003</v>
      </c>
      <c r="AD14" s="38">
        <f>'한도공 제연팬 산정(열부력미고려)'!AD14*'한도공 제연팬 산정 (중앙부화재)'!$AI$2</f>
        <v>-6.2036100000000003</v>
      </c>
      <c r="AE14" s="38">
        <f>'한도공 제연팬 산정(열부력미고려)'!AE14*'한도공 제연팬 산정 (중앙부화재)'!$AI$2</f>
        <v>-6.2036100000000003</v>
      </c>
      <c r="AF14" s="38">
        <f>'한도공 제연팬 산정(열부력미고려)'!AF14*'한도공 제연팬 산정 (중앙부화재)'!$AI$2</f>
        <v>-6.0312599999999996</v>
      </c>
      <c r="AG14" s="38">
        <f>'한도공 제연팬 산정(열부력미고려)'!AG14*'한도공 제연팬 산정 (중앙부화재)'!$AI$2</f>
        <v>-5.8589099999999998</v>
      </c>
      <c r="AH14" s="63">
        <f>'한도공 제연팬 산정(열부력미고려)'!AH14*'한도공 제연팬 산정 (중앙부화재)'!$AI$2</f>
        <v>-5.55741</v>
      </c>
      <c r="AI14" s="38">
        <f>'한도공 제연팬 산정(열부력미고려)'!AI14*'한도공 제연팬 산정 (중앙부화재)'!$AI$2</f>
        <v>-5.2989299999999995</v>
      </c>
      <c r="AJ14" s="39">
        <f>'한도공 제연팬 산정(열부력미고려)'!AJ14*'한도공 제연팬 산정 (중앙부화재)'!$AI$2</f>
        <v>-5.2558200000000008</v>
      </c>
      <c r="AK14" s="69" t="s">
        <v>124</v>
      </c>
      <c r="AL14" s="188">
        <f>ROUND(-B14/2*B19/B12*B22,4)</f>
        <v>-1.1654</v>
      </c>
      <c r="AM14" s="38">
        <f t="shared" ref="AM14:AS14" si="28">IF(C7&gt;=C9,ROUND(C14/2*C19/C12*C22,4),IF(C7&lt;C9,ROUND(-C14/2*C19/C12*C22,4)))</f>
        <v>0.84660000000000002</v>
      </c>
      <c r="AN14" s="38">
        <f t="shared" si="28"/>
        <v>0.65969999999999995</v>
      </c>
      <c r="AO14" s="38">
        <f t="shared" si="28"/>
        <v>0.51670000000000005</v>
      </c>
      <c r="AP14" s="38">
        <f t="shared" si="28"/>
        <v>0.42880000000000001</v>
      </c>
      <c r="AQ14" s="38">
        <f t="shared" si="28"/>
        <v>0.3518</v>
      </c>
      <c r="AR14" s="38">
        <f t="shared" si="28"/>
        <v>0.30780000000000002</v>
      </c>
      <c r="AS14" s="39">
        <f t="shared" si="28"/>
        <v>0.27489999999999998</v>
      </c>
      <c r="AT14" s="36" t="s">
        <v>113</v>
      </c>
      <c r="AU14" s="327">
        <f>'환기량 산정'!$C1493</f>
        <v>1.2</v>
      </c>
      <c r="AV14" s="328">
        <f>'환기량 산정'!$C1493</f>
        <v>1.2</v>
      </c>
      <c r="AW14" s="328">
        <f>'환기량 산정'!$C1493</f>
        <v>1.2</v>
      </c>
      <c r="AX14" s="328">
        <f>'환기량 산정'!$C1493</f>
        <v>1.2</v>
      </c>
      <c r="AY14" s="328">
        <f>'환기량 산정'!$C1493</f>
        <v>1.2</v>
      </c>
      <c r="AZ14" s="328">
        <f>'환기량 산정'!$C1493</f>
        <v>1.2</v>
      </c>
      <c r="BA14" s="328">
        <f>'환기량 산정'!$C1493</f>
        <v>1.2</v>
      </c>
      <c r="BB14" s="329">
        <f>'환기량 산정'!$C1493</f>
        <v>1.2</v>
      </c>
      <c r="BC14" s="36" t="s">
        <v>113</v>
      </c>
      <c r="BD14" s="327">
        <f>'환기량 산정'!$C1493</f>
        <v>1.2</v>
      </c>
      <c r="BE14" s="328">
        <f>'환기량 산정'!$C1493</f>
        <v>1.2</v>
      </c>
      <c r="BF14" s="328">
        <f>'환기량 산정'!$C1493</f>
        <v>1.2</v>
      </c>
      <c r="BG14" s="328">
        <f>'환기량 산정'!$C1493</f>
        <v>1.2</v>
      </c>
      <c r="BH14" s="328">
        <f>'환기량 산정'!$C1493</f>
        <v>1.2</v>
      </c>
      <c r="BI14" s="328">
        <f>'환기량 산정'!$C1493</f>
        <v>1.2</v>
      </c>
      <c r="BJ14" s="328">
        <f>'환기량 산정'!$C1493</f>
        <v>1.2</v>
      </c>
      <c r="BK14" s="329">
        <f>'환기량 산정'!$C1493</f>
        <v>1.2</v>
      </c>
    </row>
    <row r="15" spans="1:63">
      <c r="A15" s="36"/>
      <c r="B15" s="44"/>
      <c r="C15" s="38"/>
      <c r="D15" s="38"/>
      <c r="E15" s="38"/>
      <c r="F15" s="38"/>
      <c r="G15" s="38"/>
      <c r="H15" s="63"/>
      <c r="I15" s="39"/>
      <c r="J15" s="36"/>
      <c r="K15" s="62"/>
      <c r="L15" s="38"/>
      <c r="M15" s="38"/>
      <c r="N15" s="38"/>
      <c r="O15" s="38"/>
      <c r="P15" s="38"/>
      <c r="Q15" s="38"/>
      <c r="R15" s="39"/>
      <c r="S15" s="36"/>
      <c r="T15" s="44"/>
      <c r="U15" s="38"/>
      <c r="V15" s="38"/>
      <c r="W15" s="38"/>
      <c r="X15" s="38"/>
      <c r="Y15" s="38"/>
      <c r="Z15" s="38"/>
      <c r="AA15" s="39"/>
      <c r="AB15" s="36" t="s">
        <v>810</v>
      </c>
      <c r="AC15" s="1218">
        <v>-27.56</v>
      </c>
      <c r="AD15" s="38">
        <f>AC15</f>
        <v>-27.56</v>
      </c>
      <c r="AE15" s="38">
        <f t="shared" ref="AE15:AJ15" si="29">AD15</f>
        <v>-27.56</v>
      </c>
      <c r="AF15" s="38">
        <f t="shared" si="29"/>
        <v>-27.56</v>
      </c>
      <c r="AG15" s="38">
        <f t="shared" si="29"/>
        <v>-27.56</v>
      </c>
      <c r="AH15" s="63">
        <f t="shared" si="29"/>
        <v>-27.56</v>
      </c>
      <c r="AI15" s="38">
        <f t="shared" si="29"/>
        <v>-27.56</v>
      </c>
      <c r="AJ15" s="39">
        <f t="shared" si="29"/>
        <v>-27.56</v>
      </c>
      <c r="AK15" s="69"/>
      <c r="AL15" s="188"/>
      <c r="AM15" s="38"/>
      <c r="AN15" s="38"/>
      <c r="AO15" s="38"/>
      <c r="AP15" s="38"/>
      <c r="AQ15" s="38"/>
      <c r="AR15" s="38"/>
      <c r="AS15" s="39"/>
      <c r="AT15" s="36"/>
      <c r="AU15" s="327"/>
      <c r="AV15" s="328"/>
      <c r="AW15" s="328"/>
      <c r="AX15" s="328"/>
      <c r="AY15" s="328"/>
      <c r="AZ15" s="328"/>
      <c r="BA15" s="328"/>
      <c r="BB15" s="329"/>
      <c r="BC15" s="36"/>
      <c r="BD15" s="327"/>
      <c r="BE15" s="328"/>
      <c r="BF15" s="328"/>
      <c r="BG15" s="328"/>
      <c r="BH15" s="328"/>
      <c r="BI15" s="328"/>
      <c r="BJ15" s="328"/>
      <c r="BK15" s="329"/>
    </row>
    <row r="16" spans="1:63">
      <c r="A16" s="36" t="s">
        <v>114</v>
      </c>
      <c r="B16" s="44">
        <f>'환기량 산정'!$C1491</f>
        <v>0.6</v>
      </c>
      <c r="C16" s="38">
        <f>'환기량 산정'!$C1491</f>
        <v>0.6</v>
      </c>
      <c r="D16" s="38">
        <f>'환기량 산정'!$C1491</f>
        <v>0.6</v>
      </c>
      <c r="E16" s="38">
        <f>'환기량 산정'!$C1491</f>
        <v>0.6</v>
      </c>
      <c r="F16" s="38">
        <f>'환기량 산정'!$C1491</f>
        <v>0.6</v>
      </c>
      <c r="G16" s="38">
        <f>'환기량 산정'!$C1491</f>
        <v>0.6</v>
      </c>
      <c r="H16" s="63">
        <f>'환기량 산정'!$C1491</f>
        <v>0.6</v>
      </c>
      <c r="I16" s="39">
        <f>'환기량 산정'!$C1491</f>
        <v>0.6</v>
      </c>
      <c r="J16" s="36" t="s">
        <v>114</v>
      </c>
      <c r="K16" s="62">
        <f>'환기량 산정'!$C1491</f>
        <v>0.6</v>
      </c>
      <c r="L16" s="38">
        <f>'환기량 산정'!$C1491</f>
        <v>0.6</v>
      </c>
      <c r="M16" s="38">
        <f>'환기량 산정'!$C1491</f>
        <v>0.6</v>
      </c>
      <c r="N16" s="38">
        <f>'환기량 산정'!$C1491</f>
        <v>0.6</v>
      </c>
      <c r="O16" s="38">
        <f>'환기량 산정'!$C1491</f>
        <v>0.6</v>
      </c>
      <c r="P16" s="38">
        <f>'환기량 산정'!$C1491</f>
        <v>0.6</v>
      </c>
      <c r="Q16" s="38">
        <f>'환기량 산정'!$C1491</f>
        <v>0.6</v>
      </c>
      <c r="R16" s="39">
        <f>'환기량 산정'!$C1491</f>
        <v>0.6</v>
      </c>
      <c r="S16" s="36" t="s">
        <v>114</v>
      </c>
      <c r="T16" s="44">
        <f>'환기량 산정'!$C1491</f>
        <v>0.6</v>
      </c>
      <c r="U16" s="38">
        <f>'환기량 산정'!$C1491</f>
        <v>0.6</v>
      </c>
      <c r="V16" s="38">
        <f>'환기량 산정'!$C1491</f>
        <v>0.6</v>
      </c>
      <c r="W16" s="38">
        <f>'환기량 산정'!$C1491</f>
        <v>0.6</v>
      </c>
      <c r="X16" s="38">
        <f>'환기량 산정'!$C1491</f>
        <v>0.6</v>
      </c>
      <c r="Y16" s="38">
        <f>'환기량 산정'!$C1491</f>
        <v>0.6</v>
      </c>
      <c r="Z16" s="38">
        <f>'환기량 산정'!$C1491</f>
        <v>0.6</v>
      </c>
      <c r="AA16" s="39">
        <f>'환기량 산정'!$C1491</f>
        <v>0.6</v>
      </c>
      <c r="AB16" s="36" t="s">
        <v>157</v>
      </c>
      <c r="AC16" s="1221">
        <f>AC11+AC12-AC14-AC15</f>
        <v>66.117909999999995</v>
      </c>
      <c r="AD16" s="1222">
        <f t="shared" ref="AD16:AJ16" si="30">AD11+AD12-AD14-AD15</f>
        <v>66.117909999999995</v>
      </c>
      <c r="AE16" s="1222">
        <f t="shared" si="30"/>
        <v>66.117909999999995</v>
      </c>
      <c r="AF16" s="1222">
        <f t="shared" si="30"/>
        <v>65.94556</v>
      </c>
      <c r="AG16" s="1222">
        <f t="shared" si="30"/>
        <v>65.773209999999992</v>
      </c>
      <c r="AH16" s="1223">
        <f t="shared" si="30"/>
        <v>65.471709999999987</v>
      </c>
      <c r="AI16" s="1222">
        <f t="shared" si="30"/>
        <v>65.213229999999996</v>
      </c>
      <c r="AJ16" s="1224">
        <f t="shared" si="30"/>
        <v>65.170119999999997</v>
      </c>
      <c r="AK16" s="69" t="s">
        <v>250</v>
      </c>
      <c r="AL16" s="44">
        <f t="shared" ref="AL16:AS16" si="31">ROUND(B14/2*B21*2*B20/B12*B29,4)</f>
        <v>0.48380000000000001</v>
      </c>
      <c r="AM16" s="38">
        <f t="shared" si="31"/>
        <v>0.48380000000000001</v>
      </c>
      <c r="AN16" s="38">
        <f t="shared" si="31"/>
        <v>0.48380000000000001</v>
      </c>
      <c r="AO16" s="38">
        <f t="shared" si="31"/>
        <v>0.48380000000000001</v>
      </c>
      <c r="AP16" s="38">
        <f t="shared" si="31"/>
        <v>0.48380000000000001</v>
      </c>
      <c r="AQ16" s="38">
        <f t="shared" si="31"/>
        <v>0.48380000000000001</v>
      </c>
      <c r="AR16" s="38">
        <f t="shared" si="31"/>
        <v>0.48380000000000001</v>
      </c>
      <c r="AS16" s="39">
        <f t="shared" si="31"/>
        <v>0.48380000000000001</v>
      </c>
      <c r="AT16" s="36" t="s">
        <v>114</v>
      </c>
      <c r="AU16" s="327">
        <f>'환기량 산정'!$C1491</f>
        <v>0.6</v>
      </c>
      <c r="AV16" s="328">
        <f>'환기량 산정'!$C1491</f>
        <v>0.6</v>
      </c>
      <c r="AW16" s="328">
        <f>'환기량 산정'!$C1491</f>
        <v>0.6</v>
      </c>
      <c r="AX16" s="328">
        <f>'환기량 산정'!$C1491</f>
        <v>0.6</v>
      </c>
      <c r="AY16" s="328">
        <f>'환기량 산정'!$C1491</f>
        <v>0.6</v>
      </c>
      <c r="AZ16" s="328">
        <f>'환기량 산정'!$C1491</f>
        <v>0.6</v>
      </c>
      <c r="BA16" s="328">
        <f>'환기량 산정'!$C1491</f>
        <v>0.6</v>
      </c>
      <c r="BB16" s="329">
        <f>'환기량 산정'!$C1491</f>
        <v>0.6</v>
      </c>
      <c r="BC16" s="36" t="s">
        <v>114</v>
      </c>
      <c r="BD16" s="327">
        <f>'환기량 산정'!$C1491</f>
        <v>0.6</v>
      </c>
      <c r="BE16" s="328">
        <f>'환기량 산정'!$C1491</f>
        <v>0.6</v>
      </c>
      <c r="BF16" s="328">
        <f>'환기량 산정'!$C1491</f>
        <v>0.6</v>
      </c>
      <c r="BG16" s="328">
        <f>'환기량 산정'!$C1491</f>
        <v>0.6</v>
      </c>
      <c r="BH16" s="328">
        <f>'환기량 산정'!$C1491</f>
        <v>0.6</v>
      </c>
      <c r="BI16" s="328">
        <f>'환기량 산정'!$C1491</f>
        <v>0.6</v>
      </c>
      <c r="BJ16" s="328">
        <f>'환기량 산정'!$C1491</f>
        <v>0.6</v>
      </c>
      <c r="BK16" s="329">
        <f>'환기량 산정'!$C1491</f>
        <v>0.6</v>
      </c>
    </row>
    <row r="17" spans="1:63" ht="15.75">
      <c r="A17" s="36" t="s">
        <v>115</v>
      </c>
      <c r="B17" s="44">
        <f>'환기량 산정'!$C1492</f>
        <v>2.5000000000000001E-2</v>
      </c>
      <c r="C17" s="38">
        <f>'환기량 산정'!$C1492</f>
        <v>2.5000000000000001E-2</v>
      </c>
      <c r="D17" s="38">
        <f>'환기량 산정'!$C1492</f>
        <v>2.5000000000000001E-2</v>
      </c>
      <c r="E17" s="38">
        <f>'환기량 산정'!$C1492</f>
        <v>2.5000000000000001E-2</v>
      </c>
      <c r="F17" s="38">
        <f>'환기량 산정'!$C1492</f>
        <v>2.5000000000000001E-2</v>
      </c>
      <c r="G17" s="38">
        <f>'환기량 산정'!$C1492</f>
        <v>2.5000000000000001E-2</v>
      </c>
      <c r="H17" s="63">
        <f>'환기량 산정'!$C1492</f>
        <v>2.5000000000000001E-2</v>
      </c>
      <c r="I17" s="39">
        <f>'환기량 산정'!$C1492</f>
        <v>2.5000000000000001E-2</v>
      </c>
      <c r="J17" s="36" t="s">
        <v>115</v>
      </c>
      <c r="K17" s="62">
        <f>'환기량 산정'!$C1492</f>
        <v>2.5000000000000001E-2</v>
      </c>
      <c r="L17" s="38">
        <f>'환기량 산정'!$C1492</f>
        <v>2.5000000000000001E-2</v>
      </c>
      <c r="M17" s="38">
        <f>'환기량 산정'!$C1492</f>
        <v>2.5000000000000001E-2</v>
      </c>
      <c r="N17" s="38">
        <f>'환기량 산정'!$C1492</f>
        <v>2.5000000000000001E-2</v>
      </c>
      <c r="O17" s="38">
        <f>'환기량 산정'!$C1492</f>
        <v>2.5000000000000001E-2</v>
      </c>
      <c r="P17" s="38">
        <f>'환기량 산정'!$C1492</f>
        <v>2.5000000000000001E-2</v>
      </c>
      <c r="Q17" s="38">
        <f>'환기량 산정'!$C1492</f>
        <v>2.5000000000000001E-2</v>
      </c>
      <c r="R17" s="39">
        <f>'환기량 산정'!$C1492</f>
        <v>2.5000000000000001E-2</v>
      </c>
      <c r="S17" s="36" t="s">
        <v>115</v>
      </c>
      <c r="T17" s="44">
        <f>'환기량 산정'!$C1492</f>
        <v>2.5000000000000001E-2</v>
      </c>
      <c r="U17" s="38">
        <f>'환기량 산정'!$C1492</f>
        <v>2.5000000000000001E-2</v>
      </c>
      <c r="V17" s="38">
        <f>'환기량 산정'!$C1492</f>
        <v>2.5000000000000001E-2</v>
      </c>
      <c r="W17" s="38">
        <f>'환기량 산정'!$C1492</f>
        <v>2.5000000000000001E-2</v>
      </c>
      <c r="X17" s="38">
        <f>'환기량 산정'!$C1492</f>
        <v>2.5000000000000001E-2</v>
      </c>
      <c r="Y17" s="38">
        <f>'환기량 산정'!$C1492</f>
        <v>2.5000000000000001E-2</v>
      </c>
      <c r="Z17" s="38">
        <f>'환기량 산정'!$C1492</f>
        <v>2.5000000000000001E-2</v>
      </c>
      <c r="AA17" s="39">
        <f>'환기량 산정'!$C1492</f>
        <v>2.5000000000000001E-2</v>
      </c>
      <c r="AB17" s="36" t="s">
        <v>342</v>
      </c>
      <c r="AC17" s="44">
        <f t="shared" ref="AC17" si="32">ROUND(B23*B14*B21^2*B20/B12*(1-AC7/B21)*B29,4)</f>
        <v>13.291399999999999</v>
      </c>
      <c r="AD17" s="38">
        <f t="shared" ref="AD17:AJ17" si="33">ROUND($B$23*C14*C21^2*C20/C12*(1-AD7/C21)*C29,4)</f>
        <v>13.291399999999999</v>
      </c>
      <c r="AE17" s="38">
        <f t="shared" si="33"/>
        <v>13.291399999999999</v>
      </c>
      <c r="AF17" s="38">
        <f t="shared" si="33"/>
        <v>13.291399999999999</v>
      </c>
      <c r="AG17" s="38">
        <f t="shared" si="33"/>
        <v>13.291399999999999</v>
      </c>
      <c r="AH17" s="38">
        <f t="shared" si="33"/>
        <v>13.291399999999999</v>
      </c>
      <c r="AI17" s="38">
        <f t="shared" si="33"/>
        <v>13.291399999999999</v>
      </c>
      <c r="AJ17" s="38">
        <f t="shared" si="33"/>
        <v>13.291399999999999</v>
      </c>
      <c r="AK17" s="165" t="s">
        <v>152</v>
      </c>
      <c r="AL17" s="170">
        <f>IF(AL18&gt;0,ROUND((-AL20+SQRT(AL20^2-4*AL19*AL21))/(2*AL19),4))</f>
        <v>2.7526999999999999</v>
      </c>
      <c r="AM17" s="171">
        <f t="shared" ref="AM17:AS17" si="34">IF(AM18&gt;0,ROUND((-AM20+SQRT(AM20^2-4*AM19*AM21))/(2*AM19),4))</f>
        <v>2.4403000000000001</v>
      </c>
      <c r="AN17" s="171">
        <f t="shared" si="34"/>
        <v>2.4990000000000001</v>
      </c>
      <c r="AO17" s="171">
        <f t="shared" si="34"/>
        <v>2.6089000000000002</v>
      </c>
      <c r="AP17" s="171">
        <f t="shared" si="34"/>
        <v>3.2665999999999999</v>
      </c>
      <c r="AQ17" s="171">
        <f t="shared" si="34"/>
        <v>3.7706</v>
      </c>
      <c r="AR17" s="171">
        <f t="shared" si="34"/>
        <v>4.2939999999999996</v>
      </c>
      <c r="AS17" s="172">
        <f t="shared" si="34"/>
        <v>4.7906000000000004</v>
      </c>
      <c r="AT17" s="36" t="s">
        <v>115</v>
      </c>
      <c r="AU17" s="327">
        <f>'환기량 산정'!$C1492</f>
        <v>2.5000000000000001E-2</v>
      </c>
      <c r="AV17" s="328">
        <f>'환기량 산정'!$C1492</f>
        <v>2.5000000000000001E-2</v>
      </c>
      <c r="AW17" s="328">
        <f>'환기량 산정'!$C1492</f>
        <v>2.5000000000000001E-2</v>
      </c>
      <c r="AX17" s="328">
        <f>'환기량 산정'!$C1492</f>
        <v>2.5000000000000001E-2</v>
      </c>
      <c r="AY17" s="328">
        <f>'환기량 산정'!$C1492</f>
        <v>2.5000000000000001E-2</v>
      </c>
      <c r="AZ17" s="328">
        <f>'환기량 산정'!$C1492</f>
        <v>2.5000000000000001E-2</v>
      </c>
      <c r="BA17" s="328">
        <f>'환기량 산정'!$C1492</f>
        <v>2.5000000000000001E-2</v>
      </c>
      <c r="BB17" s="329">
        <f>'환기량 산정'!$C1492</f>
        <v>2.5000000000000001E-2</v>
      </c>
      <c r="BC17" s="36" t="s">
        <v>115</v>
      </c>
      <c r="BD17" s="327">
        <f>'환기량 산정'!$C1492</f>
        <v>2.5000000000000001E-2</v>
      </c>
      <c r="BE17" s="328">
        <f>'환기량 산정'!$C1492</f>
        <v>2.5000000000000001E-2</v>
      </c>
      <c r="BF17" s="328">
        <f>'환기량 산정'!$C1492</f>
        <v>2.5000000000000001E-2</v>
      </c>
      <c r="BG17" s="328">
        <f>'환기량 산정'!$C1492</f>
        <v>2.5000000000000001E-2</v>
      </c>
      <c r="BH17" s="328">
        <f>'환기량 산정'!$C1492</f>
        <v>2.5000000000000001E-2</v>
      </c>
      <c r="BI17" s="328">
        <f>'환기량 산정'!$C1492</f>
        <v>2.5000000000000001E-2</v>
      </c>
      <c r="BJ17" s="328">
        <f>'환기량 산정'!$C1492</f>
        <v>2.5000000000000001E-2</v>
      </c>
      <c r="BK17" s="329">
        <f>'환기량 산정'!$C1492</f>
        <v>2.5000000000000001E-2</v>
      </c>
    </row>
    <row r="18" spans="1:63" ht="15.75">
      <c r="A18" s="36" t="s">
        <v>91</v>
      </c>
      <c r="B18" s="44">
        <f>'환기량 산정'!$C1489</f>
        <v>7.8945309999999997</v>
      </c>
      <c r="C18" s="38">
        <f>'환기량 산정'!$C1489</f>
        <v>7.8945309999999997</v>
      </c>
      <c r="D18" s="38">
        <f>'환기량 산정'!$C1489</f>
        <v>7.8945309999999997</v>
      </c>
      <c r="E18" s="38">
        <f>'환기량 산정'!$C1489</f>
        <v>7.8945309999999997</v>
      </c>
      <c r="F18" s="38">
        <f>'환기량 산정'!$C1489</f>
        <v>7.8945309999999997</v>
      </c>
      <c r="G18" s="38">
        <f>'환기량 산정'!$C1489</f>
        <v>7.8945309999999997</v>
      </c>
      <c r="H18" s="63">
        <f>'환기량 산정'!$C1489</f>
        <v>7.8945309999999997</v>
      </c>
      <c r="I18" s="39">
        <f>'환기량 산정'!$C1489</f>
        <v>7.8945309999999997</v>
      </c>
      <c r="J18" s="36" t="s">
        <v>91</v>
      </c>
      <c r="K18" s="62">
        <f>'환기량 산정'!$C1489</f>
        <v>7.8945309999999997</v>
      </c>
      <c r="L18" s="38">
        <f>'환기량 산정'!$C1489</f>
        <v>7.8945309999999997</v>
      </c>
      <c r="M18" s="38">
        <f>'환기량 산정'!$C1489</f>
        <v>7.8945309999999997</v>
      </c>
      <c r="N18" s="38">
        <f>'환기량 산정'!$C1489</f>
        <v>7.8945309999999997</v>
      </c>
      <c r="O18" s="38">
        <f>'환기량 산정'!$C1489</f>
        <v>7.8945309999999997</v>
      </c>
      <c r="P18" s="38">
        <f>'환기량 산정'!$C1489</f>
        <v>7.8945309999999997</v>
      </c>
      <c r="Q18" s="38">
        <f>'환기량 산정'!$C1489</f>
        <v>7.8945309999999997</v>
      </c>
      <c r="R18" s="39">
        <f>'환기량 산정'!$C1489</f>
        <v>7.8945309999999997</v>
      </c>
      <c r="S18" s="36" t="s">
        <v>91</v>
      </c>
      <c r="T18" s="44">
        <f>'환기량 산정'!$C1489</f>
        <v>7.8945309999999997</v>
      </c>
      <c r="U18" s="38">
        <f>'환기량 산정'!$C1489</f>
        <v>7.8945309999999997</v>
      </c>
      <c r="V18" s="38">
        <f>'환기량 산정'!$C1489</f>
        <v>7.8945309999999997</v>
      </c>
      <c r="W18" s="38">
        <f>'환기량 산정'!$C1489</f>
        <v>7.8945309999999997</v>
      </c>
      <c r="X18" s="38">
        <f>'환기량 산정'!$C1489</f>
        <v>7.8945309999999997</v>
      </c>
      <c r="Y18" s="38">
        <f>'환기량 산정'!$C1489</f>
        <v>7.8945309999999997</v>
      </c>
      <c r="Z18" s="38">
        <f>'환기량 산정'!$C1489</f>
        <v>7.8945309999999997</v>
      </c>
      <c r="AA18" s="39">
        <f>'환기량 산정'!$C1489</f>
        <v>7.8945309999999997</v>
      </c>
      <c r="AB18" s="36" t="s">
        <v>172</v>
      </c>
      <c r="AC18" s="44">
        <f t="shared" ref="AC18:AJ18" si="35">ROUND(AC16/AC17,2)</f>
        <v>4.97</v>
      </c>
      <c r="AD18" s="38">
        <f t="shared" si="35"/>
        <v>4.97</v>
      </c>
      <c r="AE18" s="38">
        <f t="shared" si="35"/>
        <v>4.97</v>
      </c>
      <c r="AF18" s="38">
        <f t="shared" si="35"/>
        <v>4.96</v>
      </c>
      <c r="AG18" s="38">
        <f t="shared" si="35"/>
        <v>4.95</v>
      </c>
      <c r="AH18" s="63">
        <f t="shared" si="35"/>
        <v>4.93</v>
      </c>
      <c r="AI18" s="38">
        <f t="shared" si="35"/>
        <v>4.91</v>
      </c>
      <c r="AJ18" s="39">
        <f t="shared" si="35"/>
        <v>4.9000000000000004</v>
      </c>
      <c r="AK18" s="166" t="s">
        <v>153</v>
      </c>
      <c r="AL18" s="44">
        <f>ROUND(AL20^2-4*AL19*AL21,4)</f>
        <v>293.5403</v>
      </c>
      <c r="AM18" s="38">
        <f t="shared" ref="AM18:AS18" si="36">ROUND(AM20^2-4*AM19*AM21,4)</f>
        <v>408.3784</v>
      </c>
      <c r="AN18" s="38">
        <f t="shared" si="36"/>
        <v>504.96390000000002</v>
      </c>
      <c r="AO18" s="38">
        <f t="shared" si="36"/>
        <v>562.06799999999998</v>
      </c>
      <c r="AP18" s="38">
        <f t="shared" si="36"/>
        <v>772.59320000000002</v>
      </c>
      <c r="AQ18" s="38">
        <f t="shared" si="36"/>
        <v>939.05269999999996</v>
      </c>
      <c r="AR18" s="38">
        <f t="shared" si="36"/>
        <v>1148.24</v>
      </c>
      <c r="AS18" s="39">
        <f t="shared" si="36"/>
        <v>1367.8707999999999</v>
      </c>
      <c r="AT18" s="36" t="s">
        <v>91</v>
      </c>
      <c r="AU18" s="327">
        <f>'환기량 산정'!$C1489</f>
        <v>7.8945309999999997</v>
      </c>
      <c r="AV18" s="328">
        <f>'환기량 산정'!$C1489</f>
        <v>7.8945309999999997</v>
      </c>
      <c r="AW18" s="328">
        <f>'환기량 산정'!$C1489</f>
        <v>7.8945309999999997</v>
      </c>
      <c r="AX18" s="328">
        <f>'환기량 산정'!$C1489</f>
        <v>7.8945309999999997</v>
      </c>
      <c r="AY18" s="328">
        <f>'환기량 산정'!$C1489</f>
        <v>7.8945309999999997</v>
      </c>
      <c r="AZ18" s="328">
        <f>'환기량 산정'!$C1489</f>
        <v>7.8945309999999997</v>
      </c>
      <c r="BA18" s="328">
        <f>'환기량 산정'!$C1489</f>
        <v>7.8945309999999997</v>
      </c>
      <c r="BB18" s="329">
        <f>'환기량 산정'!$C1489</f>
        <v>7.8945309999999997</v>
      </c>
      <c r="BC18" s="36" t="s">
        <v>91</v>
      </c>
      <c r="BD18" s="327">
        <f>'환기량 산정'!$C1489</f>
        <v>7.8945309999999997</v>
      </c>
      <c r="BE18" s="328">
        <f>'환기량 산정'!$C1489</f>
        <v>7.8945309999999997</v>
      </c>
      <c r="BF18" s="328">
        <f>'환기량 산정'!$C1489</f>
        <v>7.8945309999999997</v>
      </c>
      <c r="BG18" s="328">
        <f>'환기량 산정'!$C1489</f>
        <v>7.8945309999999997</v>
      </c>
      <c r="BH18" s="328">
        <f>'환기량 산정'!$C1489</f>
        <v>7.8945309999999997</v>
      </c>
      <c r="BI18" s="328">
        <f>'환기량 산정'!$C1489</f>
        <v>7.8945309999999997</v>
      </c>
      <c r="BJ18" s="328">
        <f>'환기량 산정'!$C1489</f>
        <v>7.8945309999999997</v>
      </c>
      <c r="BK18" s="329">
        <f>'환기량 산정'!$C1489</f>
        <v>7.8945309999999997</v>
      </c>
    </row>
    <row r="19" spans="1:63" ht="14.25" thickBot="1">
      <c r="A19" s="36" t="s">
        <v>116</v>
      </c>
      <c r="B19" s="44">
        <f>'환기량 산정'!$C$1486</f>
        <v>1.0750999999999999</v>
      </c>
      <c r="C19" s="38">
        <f>'환기량 산정'!$C$1486</f>
        <v>1.0750999999999999</v>
      </c>
      <c r="D19" s="38">
        <f>'환기량 산정'!$C$1486</f>
        <v>1.0750999999999999</v>
      </c>
      <c r="E19" s="38">
        <f>'환기량 산정'!$C$1486</f>
        <v>1.0750999999999999</v>
      </c>
      <c r="F19" s="38">
        <f>'환기량 산정'!$C$1486</f>
        <v>1.0750999999999999</v>
      </c>
      <c r="G19" s="38">
        <f>'환기량 산정'!$C$1486</f>
        <v>1.0750999999999999</v>
      </c>
      <c r="H19" s="63">
        <f>'환기량 산정'!$C$1486</f>
        <v>1.0750999999999999</v>
      </c>
      <c r="I19" s="39">
        <f>'환기량 산정'!$C$1486</f>
        <v>1.0750999999999999</v>
      </c>
      <c r="J19" s="36" t="s">
        <v>116</v>
      </c>
      <c r="K19" s="62">
        <f>'환기량 산정'!$C$1486</f>
        <v>1.0750999999999999</v>
      </c>
      <c r="L19" s="38">
        <f>'환기량 산정'!$C$1486</f>
        <v>1.0750999999999999</v>
      </c>
      <c r="M19" s="38">
        <f>'환기량 산정'!$C$1486</f>
        <v>1.0750999999999999</v>
      </c>
      <c r="N19" s="38">
        <f>'환기량 산정'!$C$1486</f>
        <v>1.0750999999999999</v>
      </c>
      <c r="O19" s="38">
        <f>'환기량 산정'!$C$1486</f>
        <v>1.0750999999999999</v>
      </c>
      <c r="P19" s="38">
        <f>'환기량 산정'!$C$1486</f>
        <v>1.0750999999999999</v>
      </c>
      <c r="Q19" s="38">
        <f>'환기량 산정'!$C$1486</f>
        <v>1.0750999999999999</v>
      </c>
      <c r="R19" s="39">
        <f>'환기량 산정'!$C$1486</f>
        <v>1.0750999999999999</v>
      </c>
      <c r="S19" s="36" t="s">
        <v>116</v>
      </c>
      <c r="T19" s="44">
        <f>'환기량 산정'!$C$1486</f>
        <v>1.0750999999999999</v>
      </c>
      <c r="U19" s="38">
        <f>'환기량 산정'!$C$1486</f>
        <v>1.0750999999999999</v>
      </c>
      <c r="V19" s="38">
        <f>'환기량 산정'!$C$1486</f>
        <v>1.0750999999999999</v>
      </c>
      <c r="W19" s="38">
        <f>'환기량 산정'!$C$1486</f>
        <v>1.0750999999999999</v>
      </c>
      <c r="X19" s="38">
        <f>'환기량 산정'!$C$1486</f>
        <v>1.0750999999999999</v>
      </c>
      <c r="Y19" s="38">
        <f>'환기량 산정'!$C$1486</f>
        <v>1.0750999999999999</v>
      </c>
      <c r="Z19" s="38">
        <f>'환기량 산정'!$C$1486</f>
        <v>1.0750999999999999</v>
      </c>
      <c r="AA19" s="39">
        <f>'환기량 산정'!$C$1486</f>
        <v>1.0750999999999999</v>
      </c>
      <c r="AB19" s="49" t="s">
        <v>173</v>
      </c>
      <c r="AC19" s="50">
        <f t="shared" ref="AC19:AJ19" si="37">IF(AC18&lt;0,0,IF(AC18&gt;0,ROUNDUP(AC18,0)))</f>
        <v>5</v>
      </c>
      <c r="AD19" s="51">
        <f t="shared" si="37"/>
        <v>5</v>
      </c>
      <c r="AE19" s="51">
        <f t="shared" si="37"/>
        <v>5</v>
      </c>
      <c r="AF19" s="51">
        <f t="shared" si="37"/>
        <v>5</v>
      </c>
      <c r="AG19" s="51">
        <f t="shared" si="37"/>
        <v>5</v>
      </c>
      <c r="AH19" s="51">
        <f t="shared" si="37"/>
        <v>5</v>
      </c>
      <c r="AI19" s="51">
        <f t="shared" si="37"/>
        <v>5</v>
      </c>
      <c r="AJ19" s="52">
        <f t="shared" si="37"/>
        <v>5</v>
      </c>
      <c r="AK19" s="166" t="s">
        <v>125</v>
      </c>
      <c r="AL19" s="44">
        <f>ROUND(AL13-AL14,4)</f>
        <v>4.0254000000000003</v>
      </c>
      <c r="AM19" s="38">
        <f t="shared" ref="AM19:AS19" si="38">ROUND(AM13-AM14,4)</f>
        <v>2.0133999999999999</v>
      </c>
      <c r="AN19" s="38">
        <f t="shared" si="38"/>
        <v>2.2002999999999999</v>
      </c>
      <c r="AO19" s="38">
        <f t="shared" si="38"/>
        <v>2.3433000000000002</v>
      </c>
      <c r="AP19" s="38">
        <f t="shared" si="38"/>
        <v>2.4312</v>
      </c>
      <c r="AQ19" s="38">
        <f t="shared" si="38"/>
        <v>2.5082</v>
      </c>
      <c r="AR19" s="38">
        <f t="shared" si="38"/>
        <v>2.5522</v>
      </c>
      <c r="AS19" s="39">
        <f t="shared" si="38"/>
        <v>2.5851000000000002</v>
      </c>
      <c r="AT19" s="36" t="s">
        <v>116</v>
      </c>
      <c r="AU19" s="327">
        <f>'환기량 산정'!$C$1486</f>
        <v>1.0750999999999999</v>
      </c>
      <c r="AV19" s="328">
        <f>'환기량 산정'!$C$1486</f>
        <v>1.0750999999999999</v>
      </c>
      <c r="AW19" s="328">
        <f>'환기량 산정'!$C$1486</f>
        <v>1.0750999999999999</v>
      </c>
      <c r="AX19" s="328">
        <f>'환기량 산정'!$C$1486</f>
        <v>1.0750999999999999</v>
      </c>
      <c r="AY19" s="328">
        <f>'환기량 산정'!$C$1486</f>
        <v>1.0750999999999999</v>
      </c>
      <c r="AZ19" s="328">
        <f>'환기량 산정'!$C$1486</f>
        <v>1.0750999999999999</v>
      </c>
      <c r="BA19" s="328">
        <f>'환기량 산정'!$C$1486</f>
        <v>1.0750999999999999</v>
      </c>
      <c r="BB19" s="329">
        <f>'환기량 산정'!$C$1486</f>
        <v>1.0750999999999999</v>
      </c>
      <c r="BC19" s="36" t="s">
        <v>116</v>
      </c>
      <c r="BD19" s="327">
        <f>'환기량 산정'!$C$1486</f>
        <v>1.0750999999999999</v>
      </c>
      <c r="BE19" s="328">
        <f>'환기량 산정'!$C$1486</f>
        <v>1.0750999999999999</v>
      </c>
      <c r="BF19" s="328">
        <f>'환기량 산정'!$C$1486</f>
        <v>1.0750999999999999</v>
      </c>
      <c r="BG19" s="328">
        <f>'환기량 산정'!$C$1486</f>
        <v>1.0750999999999999</v>
      </c>
      <c r="BH19" s="328">
        <f>'환기량 산정'!$C$1486</f>
        <v>1.0750999999999999</v>
      </c>
      <c r="BI19" s="328">
        <f>'환기량 산정'!$C$1486</f>
        <v>1.0750999999999999</v>
      </c>
      <c r="BJ19" s="328">
        <f>'환기량 산정'!$C$1486</f>
        <v>1.0750999999999999</v>
      </c>
      <c r="BK19" s="329">
        <f>'환기량 산정'!$C$1486</f>
        <v>1.0750999999999999</v>
      </c>
    </row>
    <row r="20" spans="1:63" ht="14.25" thickBot="1">
      <c r="A20" s="36" t="s">
        <v>117</v>
      </c>
      <c r="B20" s="44">
        <f t="shared" ref="B20:I20" si="39">IF($C$3=630,0.27,IF($C$3=710,0.396,IF($C$3=1030,0.83,IF($C$3=1250,1.227,IF($C$3=1530,1.83)))))</f>
        <v>0.83</v>
      </c>
      <c r="C20" s="38">
        <f t="shared" si="39"/>
        <v>0.83</v>
      </c>
      <c r="D20" s="38">
        <f t="shared" si="39"/>
        <v>0.83</v>
      </c>
      <c r="E20" s="38">
        <f t="shared" si="39"/>
        <v>0.83</v>
      </c>
      <c r="F20" s="38">
        <f t="shared" si="39"/>
        <v>0.83</v>
      </c>
      <c r="G20" s="38">
        <f t="shared" si="39"/>
        <v>0.83</v>
      </c>
      <c r="H20" s="63">
        <f t="shared" si="39"/>
        <v>0.83</v>
      </c>
      <c r="I20" s="39">
        <f t="shared" si="39"/>
        <v>0.83</v>
      </c>
      <c r="J20" s="36" t="s">
        <v>117</v>
      </c>
      <c r="K20" s="62">
        <f t="shared" ref="K20:R20" si="40">IF($C$3=630,0.27,IF($C$3=710,0.396,IF($C$3=1030,0.83,IF($C$3=1250,1.227,IF($C$3=1530,1.83)))))</f>
        <v>0.83</v>
      </c>
      <c r="L20" s="38">
        <f t="shared" si="40"/>
        <v>0.83</v>
      </c>
      <c r="M20" s="38">
        <f t="shared" si="40"/>
        <v>0.83</v>
      </c>
      <c r="N20" s="38">
        <f t="shared" si="40"/>
        <v>0.83</v>
      </c>
      <c r="O20" s="38">
        <f t="shared" si="40"/>
        <v>0.83</v>
      </c>
      <c r="P20" s="38">
        <f t="shared" si="40"/>
        <v>0.83</v>
      </c>
      <c r="Q20" s="38">
        <f t="shared" si="40"/>
        <v>0.83</v>
      </c>
      <c r="R20" s="39">
        <f t="shared" si="40"/>
        <v>0.83</v>
      </c>
      <c r="S20" s="36" t="s">
        <v>117</v>
      </c>
      <c r="T20" s="44">
        <f t="shared" ref="T20:AA20" si="41">IF($C$3=630,0.27,IF($C$3=710,0.396,IF($C$3=1030,0.83,IF($C$3=1250,1.227,IF($C$3=1530,1.83)))))</f>
        <v>0.83</v>
      </c>
      <c r="U20" s="38">
        <f t="shared" si="41"/>
        <v>0.83</v>
      </c>
      <c r="V20" s="38">
        <f t="shared" si="41"/>
        <v>0.83</v>
      </c>
      <c r="W20" s="38">
        <f t="shared" si="41"/>
        <v>0.83</v>
      </c>
      <c r="X20" s="38">
        <f t="shared" si="41"/>
        <v>0.83</v>
      </c>
      <c r="Y20" s="38">
        <f t="shared" si="41"/>
        <v>0.83</v>
      </c>
      <c r="Z20" s="38">
        <f t="shared" si="41"/>
        <v>0.83</v>
      </c>
      <c r="AA20" s="39">
        <f t="shared" si="41"/>
        <v>0.83</v>
      </c>
      <c r="AB20" s="143" t="str">
        <f>CONCATENATE("예비용 ",AC22," 포함")</f>
        <v>예비용 2 포함</v>
      </c>
      <c r="AC20" s="132">
        <f t="shared" ref="AC20:AJ20" si="42">AC19+$AC$22</f>
        <v>7</v>
      </c>
      <c r="AD20" s="133">
        <f t="shared" si="42"/>
        <v>7</v>
      </c>
      <c r="AE20" s="133">
        <f t="shared" si="42"/>
        <v>7</v>
      </c>
      <c r="AF20" s="133">
        <f t="shared" si="42"/>
        <v>7</v>
      </c>
      <c r="AG20" s="133">
        <f t="shared" si="42"/>
        <v>7</v>
      </c>
      <c r="AH20" s="133">
        <f t="shared" si="42"/>
        <v>7</v>
      </c>
      <c r="AI20" s="133">
        <f t="shared" si="42"/>
        <v>7</v>
      </c>
      <c r="AJ20" s="134">
        <f t="shared" si="42"/>
        <v>7</v>
      </c>
      <c r="AK20" s="166" t="s">
        <v>251</v>
      </c>
      <c r="AL20" s="44">
        <f t="shared" ref="AL20:AS20" si="43">ROUND(2*AL14*B7+AL16*AL12,4)</f>
        <v>-5.0282</v>
      </c>
      <c r="AM20" s="38">
        <f t="shared" si="43"/>
        <v>10.3818</v>
      </c>
      <c r="AN20" s="38">
        <f t="shared" si="43"/>
        <v>11.474399999999999</v>
      </c>
      <c r="AO20" s="38">
        <f t="shared" si="43"/>
        <v>11.4811</v>
      </c>
      <c r="AP20" s="38">
        <f t="shared" si="43"/>
        <v>11.912100000000001</v>
      </c>
      <c r="AQ20" s="38">
        <f t="shared" si="43"/>
        <v>11.728999999999999</v>
      </c>
      <c r="AR20" s="38">
        <f t="shared" si="43"/>
        <v>11.9673</v>
      </c>
      <c r="AS20" s="39">
        <f t="shared" si="43"/>
        <v>12.2166</v>
      </c>
      <c r="AT20" s="36" t="s">
        <v>117</v>
      </c>
      <c r="AU20" s="327">
        <f t="shared" ref="AU20:BK20" si="44">IF($C$3=630,0.27,IF($C$3=710,0.396,IF($C$3=1030,0.83,IF($C$3=1250,1.227,IF($C$3=1530,1.83)))))</f>
        <v>0.83</v>
      </c>
      <c r="AV20" s="328">
        <f t="shared" si="44"/>
        <v>0.83</v>
      </c>
      <c r="AW20" s="328">
        <f t="shared" si="44"/>
        <v>0.83</v>
      </c>
      <c r="AX20" s="328">
        <f t="shared" si="44"/>
        <v>0.83</v>
      </c>
      <c r="AY20" s="328">
        <f t="shared" si="44"/>
        <v>0.83</v>
      </c>
      <c r="AZ20" s="328">
        <f t="shared" si="44"/>
        <v>0.83</v>
      </c>
      <c r="BA20" s="328">
        <f t="shared" si="44"/>
        <v>0.83</v>
      </c>
      <c r="BB20" s="329">
        <f t="shared" si="44"/>
        <v>0.83</v>
      </c>
      <c r="BC20" s="36" t="s">
        <v>117</v>
      </c>
      <c r="BD20" s="327">
        <f t="shared" si="44"/>
        <v>0.83</v>
      </c>
      <c r="BE20" s="328">
        <f t="shared" si="44"/>
        <v>0.83</v>
      </c>
      <c r="BF20" s="328">
        <f t="shared" si="44"/>
        <v>0.83</v>
      </c>
      <c r="BG20" s="328">
        <f t="shared" si="44"/>
        <v>0.83</v>
      </c>
      <c r="BH20" s="328">
        <f t="shared" si="44"/>
        <v>0.83</v>
      </c>
      <c r="BI20" s="328">
        <f t="shared" si="44"/>
        <v>0.83</v>
      </c>
      <c r="BJ20" s="328">
        <f t="shared" si="44"/>
        <v>0.83</v>
      </c>
      <c r="BK20" s="329">
        <f t="shared" si="44"/>
        <v>0.83</v>
      </c>
    </row>
    <row r="21" spans="1:63" ht="15.75">
      <c r="A21" s="36" t="s">
        <v>118</v>
      </c>
      <c r="B21" s="62">
        <f>IF($I$3=1,30,34)</f>
        <v>30</v>
      </c>
      <c r="C21" s="38">
        <f t="shared" ref="C21:I21" si="45">B21</f>
        <v>30</v>
      </c>
      <c r="D21" s="38">
        <f t="shared" si="45"/>
        <v>30</v>
      </c>
      <c r="E21" s="38">
        <f t="shared" si="45"/>
        <v>30</v>
      </c>
      <c r="F21" s="38">
        <f t="shared" si="45"/>
        <v>30</v>
      </c>
      <c r="G21" s="38">
        <f t="shared" si="45"/>
        <v>30</v>
      </c>
      <c r="H21" s="63">
        <f t="shared" si="45"/>
        <v>30</v>
      </c>
      <c r="I21" s="39">
        <f t="shared" si="45"/>
        <v>30</v>
      </c>
      <c r="J21" s="36" t="s">
        <v>118</v>
      </c>
      <c r="K21" s="62">
        <f>B21</f>
        <v>30</v>
      </c>
      <c r="L21" s="38">
        <f t="shared" ref="L21:R21" si="46">K21</f>
        <v>30</v>
      </c>
      <c r="M21" s="38">
        <f t="shared" si="46"/>
        <v>30</v>
      </c>
      <c r="N21" s="38">
        <f t="shared" si="46"/>
        <v>30</v>
      </c>
      <c r="O21" s="38">
        <f t="shared" si="46"/>
        <v>30</v>
      </c>
      <c r="P21" s="38">
        <f t="shared" si="46"/>
        <v>30</v>
      </c>
      <c r="Q21" s="38">
        <f t="shared" si="46"/>
        <v>30</v>
      </c>
      <c r="R21" s="39">
        <f t="shared" si="46"/>
        <v>30</v>
      </c>
      <c r="S21" s="36" t="s">
        <v>118</v>
      </c>
      <c r="T21" s="62">
        <f>K21</f>
        <v>30</v>
      </c>
      <c r="U21" s="38">
        <f t="shared" ref="U21:AA21" si="47">T21</f>
        <v>30</v>
      </c>
      <c r="V21" s="38">
        <f t="shared" si="47"/>
        <v>30</v>
      </c>
      <c r="W21" s="38">
        <f t="shared" si="47"/>
        <v>30</v>
      </c>
      <c r="X21" s="38">
        <f t="shared" si="47"/>
        <v>30</v>
      </c>
      <c r="Y21" s="38">
        <f t="shared" si="47"/>
        <v>30</v>
      </c>
      <c r="Z21" s="38">
        <f t="shared" si="47"/>
        <v>30</v>
      </c>
      <c r="AA21" s="39">
        <f t="shared" si="47"/>
        <v>30</v>
      </c>
      <c r="AK21" s="166" t="s">
        <v>252</v>
      </c>
      <c r="AL21" s="44">
        <f t="shared" ref="AL21:AS21" si="48">ROUND(AL13*B10^2-AL14*B7^2-AL16*B21*AL12,4)</f>
        <v>-16.660299999999999</v>
      </c>
      <c r="AM21" s="38">
        <f t="shared" si="48"/>
        <v>-37.3245</v>
      </c>
      <c r="AN21" s="38">
        <f t="shared" si="48"/>
        <v>-42.414900000000003</v>
      </c>
      <c r="AO21" s="38">
        <f t="shared" si="48"/>
        <v>-45.9024</v>
      </c>
      <c r="AP21" s="38">
        <f t="shared" si="48"/>
        <v>-64.854299999999995</v>
      </c>
      <c r="AQ21" s="38">
        <f t="shared" si="48"/>
        <v>-79.886300000000006</v>
      </c>
      <c r="AR21" s="38">
        <f t="shared" si="48"/>
        <v>-98.446799999999996</v>
      </c>
      <c r="AS21" s="39">
        <f t="shared" si="48"/>
        <v>-117.8509</v>
      </c>
      <c r="AT21" s="36" t="s">
        <v>118</v>
      </c>
      <c r="AU21" s="327">
        <f>B21</f>
        <v>30</v>
      </c>
      <c r="AV21" s="328">
        <f t="shared" ref="AV21:BB21" si="49">AU21</f>
        <v>30</v>
      </c>
      <c r="AW21" s="328">
        <f t="shared" si="49"/>
        <v>30</v>
      </c>
      <c r="AX21" s="328">
        <f t="shared" si="49"/>
        <v>30</v>
      </c>
      <c r="AY21" s="328">
        <f t="shared" si="49"/>
        <v>30</v>
      </c>
      <c r="AZ21" s="328">
        <f t="shared" si="49"/>
        <v>30</v>
      </c>
      <c r="BA21" s="328">
        <f t="shared" si="49"/>
        <v>30</v>
      </c>
      <c r="BB21" s="329">
        <f t="shared" si="49"/>
        <v>30</v>
      </c>
      <c r="BC21" s="36" t="s">
        <v>118</v>
      </c>
      <c r="BD21" s="327">
        <f>K21</f>
        <v>30</v>
      </c>
      <c r="BE21" s="328">
        <f t="shared" ref="BE21:BK21" si="50">BD21</f>
        <v>30</v>
      </c>
      <c r="BF21" s="328">
        <f t="shared" si="50"/>
        <v>30</v>
      </c>
      <c r="BG21" s="328">
        <f t="shared" si="50"/>
        <v>30</v>
      </c>
      <c r="BH21" s="328">
        <f t="shared" si="50"/>
        <v>30</v>
      </c>
      <c r="BI21" s="328">
        <f t="shared" si="50"/>
        <v>30</v>
      </c>
      <c r="BJ21" s="328">
        <f t="shared" si="50"/>
        <v>30</v>
      </c>
      <c r="BK21" s="329">
        <f t="shared" si="50"/>
        <v>30</v>
      </c>
    </row>
    <row r="22" spans="1:63">
      <c r="A22" s="36" t="s">
        <v>119</v>
      </c>
      <c r="B22" s="44">
        <f t="shared" ref="B22:I22" si="51">ROUND(B11*B13/3600/B7+0.4,0)</f>
        <v>106</v>
      </c>
      <c r="C22" s="38">
        <f t="shared" si="51"/>
        <v>77</v>
      </c>
      <c r="D22" s="38">
        <f t="shared" si="51"/>
        <v>60</v>
      </c>
      <c r="E22" s="38">
        <f t="shared" si="51"/>
        <v>47</v>
      </c>
      <c r="F22" s="38">
        <f t="shared" si="51"/>
        <v>39</v>
      </c>
      <c r="G22" s="38">
        <f t="shared" si="51"/>
        <v>32</v>
      </c>
      <c r="H22" s="63">
        <f t="shared" si="51"/>
        <v>28</v>
      </c>
      <c r="I22" s="39">
        <f t="shared" si="51"/>
        <v>25</v>
      </c>
      <c r="J22" s="36" t="s">
        <v>119</v>
      </c>
      <c r="K22" s="62">
        <f t="shared" ref="K22:R22" si="52">ROUND(K11*K13/3600/K7+0.4,0)</f>
        <v>106</v>
      </c>
      <c r="L22" s="38">
        <f t="shared" si="52"/>
        <v>77</v>
      </c>
      <c r="M22" s="38">
        <f t="shared" si="52"/>
        <v>60</v>
      </c>
      <c r="N22" s="38">
        <f t="shared" si="52"/>
        <v>47</v>
      </c>
      <c r="O22" s="38">
        <f t="shared" si="52"/>
        <v>39</v>
      </c>
      <c r="P22" s="38">
        <f t="shared" si="52"/>
        <v>32</v>
      </c>
      <c r="Q22" s="38">
        <f t="shared" si="52"/>
        <v>28</v>
      </c>
      <c r="R22" s="39">
        <f t="shared" si="52"/>
        <v>25</v>
      </c>
      <c r="S22" s="36" t="s">
        <v>119</v>
      </c>
      <c r="T22" s="44">
        <f t="shared" ref="T22:AA22" si="53">ROUND(T11*T13/3600/T7+0.4,0)</f>
        <v>106</v>
      </c>
      <c r="U22" s="38">
        <f t="shared" si="53"/>
        <v>77</v>
      </c>
      <c r="V22" s="38">
        <f t="shared" si="53"/>
        <v>60</v>
      </c>
      <c r="W22" s="38">
        <f t="shared" si="53"/>
        <v>47</v>
      </c>
      <c r="X22" s="38">
        <f t="shared" si="53"/>
        <v>39</v>
      </c>
      <c r="Y22" s="38">
        <f t="shared" si="53"/>
        <v>32</v>
      </c>
      <c r="Z22" s="38">
        <f t="shared" si="53"/>
        <v>28</v>
      </c>
      <c r="AA22" s="39">
        <f t="shared" si="53"/>
        <v>25</v>
      </c>
      <c r="AB22" s="12" t="s">
        <v>221</v>
      </c>
      <c r="AC22" s="130">
        <v>2</v>
      </c>
      <c r="AD22" s="3" t="s">
        <v>213</v>
      </c>
      <c r="AE22" s="7"/>
      <c r="AF22" s="7"/>
      <c r="AG22" s="7"/>
      <c r="AH22" s="7"/>
      <c r="AI22" s="7"/>
      <c r="AJ22" s="7"/>
      <c r="AK22" s="167" t="s">
        <v>126</v>
      </c>
      <c r="AL22" s="170">
        <f t="shared" ref="AL22:AS22" si="54">ROUND(AL17*B12,4)</f>
        <v>161.5069</v>
      </c>
      <c r="AM22" s="171">
        <f t="shared" si="54"/>
        <v>143.17769999999999</v>
      </c>
      <c r="AN22" s="171">
        <f t="shared" si="54"/>
        <v>146.6217</v>
      </c>
      <c r="AO22" s="171">
        <f t="shared" si="54"/>
        <v>153.06979999999999</v>
      </c>
      <c r="AP22" s="171">
        <f t="shared" si="54"/>
        <v>191.6585</v>
      </c>
      <c r="AQ22" s="171">
        <f t="shared" si="54"/>
        <v>221.22919999999999</v>
      </c>
      <c r="AR22" s="171">
        <f t="shared" si="54"/>
        <v>251.9383</v>
      </c>
      <c r="AS22" s="172">
        <f t="shared" si="54"/>
        <v>281.07479999999998</v>
      </c>
      <c r="AT22" s="36" t="s">
        <v>119</v>
      </c>
      <c r="AU22" s="327">
        <f t="shared" ref="AU22:BB22" si="55">ROUND(AU11*AU13/3600/AU7+0.4,0)</f>
        <v>106</v>
      </c>
      <c r="AV22" s="328">
        <f t="shared" si="55"/>
        <v>77</v>
      </c>
      <c r="AW22" s="328">
        <f t="shared" si="55"/>
        <v>60</v>
      </c>
      <c r="AX22" s="328">
        <f t="shared" si="55"/>
        <v>47</v>
      </c>
      <c r="AY22" s="328">
        <f t="shared" si="55"/>
        <v>39</v>
      </c>
      <c r="AZ22" s="328">
        <f t="shared" si="55"/>
        <v>32</v>
      </c>
      <c r="BA22" s="328">
        <f t="shared" si="55"/>
        <v>28</v>
      </c>
      <c r="BB22" s="329">
        <f t="shared" si="55"/>
        <v>25</v>
      </c>
      <c r="BC22" s="36" t="s">
        <v>119</v>
      </c>
      <c r="BD22" s="327">
        <f t="shared" ref="BD22:BK22" si="56">ROUND(BD11*BD13/3600/BD7+0.4,0)</f>
        <v>106</v>
      </c>
      <c r="BE22" s="328">
        <f t="shared" si="56"/>
        <v>77</v>
      </c>
      <c r="BF22" s="328">
        <f t="shared" si="56"/>
        <v>60</v>
      </c>
      <c r="BG22" s="328">
        <f t="shared" si="56"/>
        <v>47</v>
      </c>
      <c r="BH22" s="328">
        <f t="shared" si="56"/>
        <v>39</v>
      </c>
      <c r="BI22" s="328">
        <f t="shared" si="56"/>
        <v>32</v>
      </c>
      <c r="BJ22" s="328">
        <f t="shared" si="56"/>
        <v>28</v>
      </c>
      <c r="BK22" s="329">
        <f t="shared" si="56"/>
        <v>25</v>
      </c>
    </row>
    <row r="23" spans="1:63">
      <c r="A23" s="36" t="s">
        <v>343</v>
      </c>
      <c r="B23" s="62">
        <f>IF(B9&lt;4,0.99,IF(B9&lt;8,0.92,0.9))</f>
        <v>0.99</v>
      </c>
      <c r="C23" s="63">
        <f t="shared" ref="C23:I23" si="57">IF(C9&lt;4,0.99,IF(C9&lt;8,0.92,0.9))</f>
        <v>0.99</v>
      </c>
      <c r="D23" s="63">
        <f t="shared" si="57"/>
        <v>0.99</v>
      </c>
      <c r="E23" s="63">
        <f t="shared" si="57"/>
        <v>0.99</v>
      </c>
      <c r="F23" s="63">
        <f t="shared" si="57"/>
        <v>0.99</v>
      </c>
      <c r="G23" s="63">
        <f t="shared" si="57"/>
        <v>0.99</v>
      </c>
      <c r="H23" s="63">
        <f t="shared" si="57"/>
        <v>0.99</v>
      </c>
      <c r="I23" s="64">
        <f t="shared" si="57"/>
        <v>0.99</v>
      </c>
      <c r="J23" s="36" t="s">
        <v>343</v>
      </c>
      <c r="K23" s="44">
        <f>IF(K9&lt;4,0.99,IF(K9&lt;8,0.92,0.9))</f>
        <v>0.99</v>
      </c>
      <c r="L23" s="38">
        <f t="shared" ref="L23:R23" si="58">IF(L9&lt;4,0.99,IF(L9&lt;8,0.92,0.9))</f>
        <v>0.99</v>
      </c>
      <c r="M23" s="38">
        <f t="shared" si="58"/>
        <v>0.99</v>
      </c>
      <c r="N23" s="38">
        <f t="shared" si="58"/>
        <v>0.99</v>
      </c>
      <c r="O23" s="38">
        <f t="shared" si="58"/>
        <v>0.99</v>
      </c>
      <c r="P23" s="38">
        <f t="shared" si="58"/>
        <v>0.99</v>
      </c>
      <c r="Q23" s="38">
        <f t="shared" si="58"/>
        <v>0.99</v>
      </c>
      <c r="R23" s="39">
        <f t="shared" si="58"/>
        <v>0.99</v>
      </c>
      <c r="S23" s="36" t="s">
        <v>343</v>
      </c>
      <c r="T23" s="44">
        <f>IF(T9&lt;4,0.99,IF(T9&lt;8,0.92,0.9))</f>
        <v>0.99</v>
      </c>
      <c r="U23" s="38">
        <f t="shared" ref="U23:AA23" si="59">IF(U9&lt;4,0.99,IF(U9&lt;8,0.92,0.9))</f>
        <v>0.99</v>
      </c>
      <c r="V23" s="38">
        <f t="shared" si="59"/>
        <v>0.99</v>
      </c>
      <c r="W23" s="38">
        <f t="shared" si="59"/>
        <v>0.99</v>
      </c>
      <c r="X23" s="38">
        <f t="shared" si="59"/>
        <v>0.99</v>
      </c>
      <c r="Y23" s="38">
        <f t="shared" si="59"/>
        <v>0.99</v>
      </c>
      <c r="Z23" s="38">
        <f t="shared" si="59"/>
        <v>0.99</v>
      </c>
      <c r="AA23" s="39">
        <f t="shared" si="59"/>
        <v>0.99</v>
      </c>
      <c r="AB23" s="12"/>
      <c r="AC23" s="141"/>
      <c r="AD23" s="15"/>
      <c r="AE23" s="1525"/>
      <c r="AF23" s="1525"/>
      <c r="AG23" s="141"/>
      <c r="AH23" s="161"/>
      <c r="AI23" s="13"/>
      <c r="AK23" s="168" t="s">
        <v>228</v>
      </c>
      <c r="AL23" s="62">
        <f t="shared" ref="AL23:AS23" si="60">ROUND(B8/AL22,4)</f>
        <v>3.7199999999999997E-2</v>
      </c>
      <c r="AM23" s="63">
        <f t="shared" si="60"/>
        <v>6.2899999999999998E-2</v>
      </c>
      <c r="AN23" s="63">
        <f t="shared" si="60"/>
        <v>6.1400000000000003E-2</v>
      </c>
      <c r="AO23" s="63">
        <f t="shared" si="60"/>
        <v>6.5299999999999997E-2</v>
      </c>
      <c r="AP23" s="63">
        <f t="shared" si="60"/>
        <v>7.2999999999999995E-2</v>
      </c>
      <c r="AQ23" s="63">
        <f t="shared" si="60"/>
        <v>6.3299999999999995E-2</v>
      </c>
      <c r="AR23" s="63">
        <f t="shared" si="60"/>
        <v>5.5599999999999997E-2</v>
      </c>
      <c r="AS23" s="64">
        <f t="shared" si="60"/>
        <v>4.9799999999999997E-2</v>
      </c>
      <c r="AT23" s="36" t="s">
        <v>343</v>
      </c>
      <c r="AU23" s="333">
        <f t="shared" ref="AU23:BB23" si="61">IF(AU9&lt;4,0.99,IF(AU9&lt;8,0.92,0.9))</f>
        <v>0.99</v>
      </c>
      <c r="AV23" s="328">
        <f t="shared" si="61"/>
        <v>0.99</v>
      </c>
      <c r="AW23" s="328">
        <f t="shared" si="61"/>
        <v>0.99</v>
      </c>
      <c r="AX23" s="328">
        <f t="shared" si="61"/>
        <v>0.99</v>
      </c>
      <c r="AY23" s="328">
        <f t="shared" si="61"/>
        <v>0.99</v>
      </c>
      <c r="AZ23" s="328">
        <f t="shared" si="61"/>
        <v>0.99</v>
      </c>
      <c r="BA23" s="328">
        <f t="shared" si="61"/>
        <v>0.99</v>
      </c>
      <c r="BB23" s="329">
        <f t="shared" si="61"/>
        <v>0.99</v>
      </c>
      <c r="BC23" s="36" t="s">
        <v>343</v>
      </c>
      <c r="BD23" s="333">
        <f t="shared" ref="BD23:BK23" si="62">IF(BD9&lt;4,0.99,IF(BD9&lt;8,0.92,0.9))</f>
        <v>0.99</v>
      </c>
      <c r="BE23" s="328">
        <f t="shared" si="62"/>
        <v>0.99</v>
      </c>
      <c r="BF23" s="328">
        <f t="shared" si="62"/>
        <v>0.99</v>
      </c>
      <c r="BG23" s="328">
        <f t="shared" si="62"/>
        <v>0.99</v>
      </c>
      <c r="BH23" s="328">
        <f t="shared" si="62"/>
        <v>0.99</v>
      </c>
      <c r="BI23" s="328">
        <f t="shared" si="62"/>
        <v>0.99</v>
      </c>
      <c r="BJ23" s="328">
        <f t="shared" si="62"/>
        <v>0.99</v>
      </c>
      <c r="BK23" s="329">
        <f t="shared" si="62"/>
        <v>0.99</v>
      </c>
    </row>
    <row r="24" spans="1:63" ht="15.75">
      <c r="A24" s="36" t="s">
        <v>154</v>
      </c>
      <c r="B24" s="44">
        <f>ROUND((1+$B$16+$B$17*$B$13/$B$18)*$B$14/2*B9^2,4)</f>
        <v>2.9899999999999999E-2</v>
      </c>
      <c r="C24" s="38">
        <f t="shared" ref="C24:I24" si="63">ROUND((1+C16+C17*C13/C18)*C14/2*C9^2,4)</f>
        <v>6.7299999999999999E-2</v>
      </c>
      <c r="D24" s="38">
        <f t="shared" si="63"/>
        <v>6.7299999999999999E-2</v>
      </c>
      <c r="E24" s="38">
        <f t="shared" si="63"/>
        <v>8.3000000000000004E-2</v>
      </c>
      <c r="F24" s="38">
        <f t="shared" si="63"/>
        <v>0.1628</v>
      </c>
      <c r="G24" s="38">
        <f t="shared" si="63"/>
        <v>0.1628</v>
      </c>
      <c r="H24" s="63">
        <f t="shared" si="63"/>
        <v>0.1628</v>
      </c>
      <c r="I24" s="39">
        <f t="shared" si="63"/>
        <v>0.1628</v>
      </c>
      <c r="J24" s="36" t="s">
        <v>154</v>
      </c>
      <c r="K24" s="62">
        <f t="shared" ref="K24:R24" si="64">ROUND((1+K16+K17*K13/K18)*K14/2*K9^2,4)</f>
        <v>0.187</v>
      </c>
      <c r="L24" s="38">
        <f t="shared" si="64"/>
        <v>0.1404</v>
      </c>
      <c r="M24" s="38">
        <f t="shared" si="64"/>
        <v>6.7299999999999999E-2</v>
      </c>
      <c r="N24" s="38">
        <f t="shared" si="64"/>
        <v>5.3199999999999997E-2</v>
      </c>
      <c r="O24" s="38">
        <f t="shared" si="64"/>
        <v>4.07E-2</v>
      </c>
      <c r="P24" s="38">
        <f t="shared" si="64"/>
        <v>2.9899999999999999E-2</v>
      </c>
      <c r="Q24" s="38">
        <f t="shared" si="64"/>
        <v>4.07E-2</v>
      </c>
      <c r="R24" s="39">
        <f t="shared" si="64"/>
        <v>4.07E-2</v>
      </c>
      <c r="S24" s="36" t="s">
        <v>154</v>
      </c>
      <c r="T24" s="44">
        <f t="shared" ref="T24:AA24" si="65">ROUND((1+T16+T17*T13/T18)*T14/2*T9^2,4)</f>
        <v>7.4999999999999997E-3</v>
      </c>
      <c r="U24" s="38">
        <f t="shared" si="65"/>
        <v>3.3E-3</v>
      </c>
      <c r="V24" s="38">
        <f t="shared" si="65"/>
        <v>3.3E-3</v>
      </c>
      <c r="W24" s="38">
        <f t="shared" si="65"/>
        <v>3.3E-3</v>
      </c>
      <c r="X24" s="38">
        <f t="shared" si="65"/>
        <v>8.0000000000000004E-4</v>
      </c>
      <c r="Y24" s="38">
        <f t="shared" si="65"/>
        <v>8.0000000000000004E-4</v>
      </c>
      <c r="Z24" s="38">
        <f t="shared" si="65"/>
        <v>8.0000000000000004E-4</v>
      </c>
      <c r="AA24" s="39">
        <f t="shared" si="65"/>
        <v>8.0000000000000004E-4</v>
      </c>
      <c r="AI24" s="13"/>
      <c r="AK24" s="69" t="s">
        <v>229</v>
      </c>
      <c r="AL24" s="179">
        <f t="shared" ref="AL24:AS24" si="66">ROUND(K8/AL22,4)</f>
        <v>9.2899999999999996E-2</v>
      </c>
      <c r="AM24" s="63">
        <f t="shared" si="66"/>
        <v>9.0800000000000006E-2</v>
      </c>
      <c r="AN24" s="63">
        <f t="shared" si="66"/>
        <v>6.1400000000000003E-2</v>
      </c>
      <c r="AO24" s="63">
        <f t="shared" si="66"/>
        <v>5.2299999999999999E-2</v>
      </c>
      <c r="AP24" s="63">
        <f t="shared" si="66"/>
        <v>3.6499999999999998E-2</v>
      </c>
      <c r="AQ24" s="63">
        <f t="shared" si="66"/>
        <v>2.7099999999999999E-2</v>
      </c>
      <c r="AR24" s="63">
        <f t="shared" si="66"/>
        <v>2.7799999999999998E-2</v>
      </c>
      <c r="AS24" s="64">
        <f t="shared" si="66"/>
        <v>2.4899999999999999E-2</v>
      </c>
      <c r="AT24" s="36" t="s">
        <v>154</v>
      </c>
      <c r="AU24" s="327">
        <f t="shared" ref="AU24:BB24" si="67">ROUND((1+AU16+AU17*AU13/AU18)*AU14/2*AU9^2,4)</f>
        <v>15.5936</v>
      </c>
      <c r="AV24" s="328">
        <f t="shared" si="67"/>
        <v>15.5936</v>
      </c>
      <c r="AW24" s="328">
        <f t="shared" si="67"/>
        <v>15.5936</v>
      </c>
      <c r="AX24" s="328">
        <f t="shared" si="67"/>
        <v>15.5936</v>
      </c>
      <c r="AY24" s="328">
        <f t="shared" si="67"/>
        <v>15.5936</v>
      </c>
      <c r="AZ24" s="328">
        <f t="shared" si="67"/>
        <v>15.5936</v>
      </c>
      <c r="BA24" s="328">
        <f t="shared" si="67"/>
        <v>15.5936</v>
      </c>
      <c r="BB24" s="329">
        <f t="shared" si="67"/>
        <v>15.5936</v>
      </c>
      <c r="BC24" s="36" t="s">
        <v>154</v>
      </c>
      <c r="BD24" s="327">
        <f t="shared" ref="BD24:BK24" si="68">ROUND((1+BD16+BD17*BD13/BD18)*BD14/2*BD9^2,4)</f>
        <v>6.5808999999999997</v>
      </c>
      <c r="BE24" s="328">
        <f t="shared" si="68"/>
        <v>6.5808999999999997</v>
      </c>
      <c r="BF24" s="328">
        <f t="shared" si="68"/>
        <v>6.5808999999999997</v>
      </c>
      <c r="BG24" s="328">
        <f t="shared" si="68"/>
        <v>6.5808999999999997</v>
      </c>
      <c r="BH24" s="328">
        <f t="shared" si="68"/>
        <v>6.5808999999999997</v>
      </c>
      <c r="BI24" s="328">
        <f t="shared" si="68"/>
        <v>6.5808999999999997</v>
      </c>
      <c r="BJ24" s="328">
        <f t="shared" si="68"/>
        <v>6.5808999999999997</v>
      </c>
      <c r="BK24" s="329">
        <f t="shared" si="68"/>
        <v>6.5808999999999997</v>
      </c>
    </row>
    <row r="25" spans="1:63" ht="16.5" thickBot="1">
      <c r="A25" s="36" t="s">
        <v>155</v>
      </c>
      <c r="B25" s="44">
        <f t="shared" ref="B25:I25" si="69">ROUND((1+B16+B17*B13/B18)*B14/2*B10^2,4)</f>
        <v>17.875299999999999</v>
      </c>
      <c r="C25" s="38">
        <f t="shared" si="69"/>
        <v>17.875299999999999</v>
      </c>
      <c r="D25" s="38">
        <f t="shared" si="69"/>
        <v>17.875299999999999</v>
      </c>
      <c r="E25" s="38">
        <f t="shared" si="69"/>
        <v>17.875299999999999</v>
      </c>
      <c r="F25" s="38">
        <f t="shared" si="69"/>
        <v>17.875299999999999</v>
      </c>
      <c r="G25" s="38">
        <f t="shared" si="69"/>
        <v>17.875299999999999</v>
      </c>
      <c r="H25" s="63">
        <f t="shared" si="69"/>
        <v>17.875299999999999</v>
      </c>
      <c r="I25" s="39">
        <f t="shared" si="69"/>
        <v>17.875299999999999</v>
      </c>
      <c r="J25" s="36" t="s">
        <v>155</v>
      </c>
      <c r="K25" s="62">
        <f t="shared" ref="K25:R25" si="70">ROUND((1+K16+K17*K13/K18)*K14/2*K10^2,4)</f>
        <v>17.875299999999999</v>
      </c>
      <c r="L25" s="38">
        <f t="shared" si="70"/>
        <v>17.875299999999999</v>
      </c>
      <c r="M25" s="38">
        <f t="shared" si="70"/>
        <v>17.875299999999999</v>
      </c>
      <c r="N25" s="38">
        <f t="shared" si="70"/>
        <v>17.875299999999999</v>
      </c>
      <c r="O25" s="38">
        <f t="shared" si="70"/>
        <v>17.875299999999999</v>
      </c>
      <c r="P25" s="38">
        <f t="shared" si="70"/>
        <v>17.875299999999999</v>
      </c>
      <c r="Q25" s="38">
        <f t="shared" si="70"/>
        <v>17.875299999999999</v>
      </c>
      <c r="R25" s="39">
        <f t="shared" si="70"/>
        <v>17.875299999999999</v>
      </c>
      <c r="S25" s="36" t="s">
        <v>155</v>
      </c>
      <c r="T25" s="44">
        <f t="shared" ref="T25:AA25" si="71">ROUND((1+T16+T17*T13/T18)*T14/2*T10^2,4)</f>
        <v>17.875299999999999</v>
      </c>
      <c r="U25" s="38">
        <f t="shared" si="71"/>
        <v>17.875299999999999</v>
      </c>
      <c r="V25" s="38">
        <f t="shared" si="71"/>
        <v>17.875299999999999</v>
      </c>
      <c r="W25" s="38">
        <f t="shared" si="71"/>
        <v>17.875299999999999</v>
      </c>
      <c r="X25" s="38">
        <f t="shared" si="71"/>
        <v>17.875299999999999</v>
      </c>
      <c r="Y25" s="38">
        <f t="shared" si="71"/>
        <v>17.875299999999999</v>
      </c>
      <c r="Z25" s="38">
        <f t="shared" si="71"/>
        <v>17.875299999999999</v>
      </c>
      <c r="AA25" s="39">
        <f t="shared" si="71"/>
        <v>17.875299999999999</v>
      </c>
      <c r="AC25" s="136" t="s">
        <v>220</v>
      </c>
      <c r="AD25" s="141">
        <f>C3</f>
        <v>1030</v>
      </c>
      <c r="AH25" s="12" t="s">
        <v>519</v>
      </c>
      <c r="AI25" s="12" t="s">
        <v>423</v>
      </c>
      <c r="AK25" s="69" t="s">
        <v>230</v>
      </c>
      <c r="AL25" s="62">
        <f t="shared" ref="AL25:AS25" si="72">ROUND(T8/AL22,4)</f>
        <v>1.8599999999999998E-2</v>
      </c>
      <c r="AM25" s="63">
        <f t="shared" si="72"/>
        <v>1.4E-2</v>
      </c>
      <c r="AN25" s="63">
        <f t="shared" si="72"/>
        <v>1.3599999999999999E-2</v>
      </c>
      <c r="AO25" s="63">
        <f t="shared" si="72"/>
        <v>1.3100000000000001E-2</v>
      </c>
      <c r="AP25" s="63">
        <f t="shared" si="72"/>
        <v>5.1999999999999998E-3</v>
      </c>
      <c r="AQ25" s="63">
        <f t="shared" si="72"/>
        <v>4.4999999999999997E-3</v>
      </c>
      <c r="AR25" s="63">
        <f t="shared" si="72"/>
        <v>4.0000000000000001E-3</v>
      </c>
      <c r="AS25" s="64">
        <f t="shared" si="72"/>
        <v>3.5999999999999999E-3</v>
      </c>
      <c r="AT25" s="36" t="s">
        <v>155</v>
      </c>
      <c r="AU25" s="327">
        <f t="shared" ref="AU25:BB25" si="73">ROUND((1+AU16+AU17*AU13/AU18)*AU14/2*AU10^2,4)</f>
        <v>17.875299999999999</v>
      </c>
      <c r="AV25" s="328">
        <f t="shared" si="73"/>
        <v>17.875299999999999</v>
      </c>
      <c r="AW25" s="328">
        <f t="shared" si="73"/>
        <v>17.875299999999999</v>
      </c>
      <c r="AX25" s="328">
        <f t="shared" si="73"/>
        <v>17.875299999999999</v>
      </c>
      <c r="AY25" s="328">
        <f t="shared" si="73"/>
        <v>17.875299999999999</v>
      </c>
      <c r="AZ25" s="328">
        <f t="shared" si="73"/>
        <v>17.875299999999999</v>
      </c>
      <c r="BA25" s="328">
        <f t="shared" si="73"/>
        <v>17.875299999999999</v>
      </c>
      <c r="BB25" s="329">
        <f t="shared" si="73"/>
        <v>17.875299999999999</v>
      </c>
      <c r="BC25" s="36" t="s">
        <v>155</v>
      </c>
      <c r="BD25" s="327">
        <f t="shared" ref="BD25:BK25" si="74">ROUND((1+BD16+BD17*BD13/BD18)*BD14/2*BD10^2,4)</f>
        <v>17.875299999999999</v>
      </c>
      <c r="BE25" s="328">
        <f t="shared" si="74"/>
        <v>17.875299999999999</v>
      </c>
      <c r="BF25" s="328">
        <f t="shared" si="74"/>
        <v>17.875299999999999</v>
      </c>
      <c r="BG25" s="328">
        <f t="shared" si="74"/>
        <v>17.875299999999999</v>
      </c>
      <c r="BH25" s="328">
        <f t="shared" si="74"/>
        <v>17.875299999999999</v>
      </c>
      <c r="BI25" s="328">
        <f t="shared" si="74"/>
        <v>17.875299999999999</v>
      </c>
      <c r="BJ25" s="328">
        <f t="shared" si="74"/>
        <v>17.875299999999999</v>
      </c>
      <c r="BK25" s="329">
        <f t="shared" si="74"/>
        <v>17.875299999999999</v>
      </c>
    </row>
    <row r="26" spans="1:63" ht="15.75">
      <c r="A26" s="36" t="s">
        <v>156</v>
      </c>
      <c r="B26" s="62">
        <f t="shared" ref="B26:I26" si="75">IF(B7&gt;B9,ROUND(B14/2*B19/B12*(B7-B9)^2*B22,4),IF(B7&lt;B9,ROUND(-B14/2*B19/B12*(B9-B7)^2*B22,4)))</f>
        <v>8.3559999999999999</v>
      </c>
      <c r="C26" s="38">
        <f t="shared" si="75"/>
        <v>24.746099999999998</v>
      </c>
      <c r="D26" s="38">
        <f t="shared" si="75"/>
        <v>44.102699999999999</v>
      </c>
      <c r="E26" s="38">
        <f t="shared" si="75"/>
        <v>61.8399</v>
      </c>
      <c r="F26" s="38">
        <f t="shared" si="75"/>
        <v>79.907399999999996</v>
      </c>
      <c r="G26" s="38">
        <f t="shared" si="75"/>
        <v>94.987700000000004</v>
      </c>
      <c r="H26" s="63">
        <f t="shared" si="75"/>
        <v>113.499</v>
      </c>
      <c r="I26" s="39">
        <f t="shared" si="75"/>
        <v>132.80629999999999</v>
      </c>
      <c r="J26" s="36" t="s">
        <v>156</v>
      </c>
      <c r="K26" s="62">
        <f>IF('환기량 산정'!K1509=1,IF(K7&gt;K9,ROUND(K14/2*K19/K12*(K7-K9)^2*K22,4),IF(K7&lt;K9,ROUND(-K14/2*K19/K12*(K9-K7)^2*K22,4))),ROUND(K14/2*K19/K12*(K7+K9)^2*K22,4))</f>
        <v>7.4260000000000002</v>
      </c>
      <c r="L26" s="38">
        <f t="shared" ref="L26:R26" si="76">IF(L7&gt;L9,ROUND(L14/2*L19/L12*(L7-L9)^2*L22,4),IF(L7&lt;L9,ROUND(-L14/2*L19/L12*(L9-L7)^2*L22,4)))</f>
        <v>24.125800000000002</v>
      </c>
      <c r="M26" s="38">
        <f t="shared" si="76"/>
        <v>44.102699999999999</v>
      </c>
      <c r="N26" s="38">
        <f t="shared" si="76"/>
        <v>62.224899999999998</v>
      </c>
      <c r="O26" s="38">
        <f t="shared" si="76"/>
        <v>81.310100000000006</v>
      </c>
      <c r="P26" s="38">
        <f t="shared" si="76"/>
        <v>96.570099999999996</v>
      </c>
      <c r="Q26" s="38">
        <f t="shared" si="76"/>
        <v>114.91370000000001</v>
      </c>
      <c r="R26" s="39">
        <f t="shared" si="76"/>
        <v>134.2518</v>
      </c>
      <c r="S26" s="36" t="s">
        <v>156</v>
      </c>
      <c r="T26" s="44">
        <f>IF('환기량 산정'!K1509=1,IF(T7&gt;T9,ROUND(T14/2*T19/T12*(T7-T9)^2*T22,4),IF(T7&lt;T9,ROUND(-T14/2*T19/T12*(T9-T7)^2*T22,4))),ROUND(T14/2*T19/T12*(T7+T9)^2*T22,4))</f>
        <v>8.6785999999999994</v>
      </c>
      <c r="U26" s="38">
        <f t="shared" ref="U26:AA26" si="77">IF(U7&gt;U9,ROUND(U14/2*U19/U12*(U7-U9)^2*U22,4),IF(U7&lt;U9,ROUND(-U14/2*U19/U12*(U9-U7)^2*U22,4)))</f>
        <v>25.850300000000001</v>
      </c>
      <c r="V26" s="38">
        <f t="shared" si="77"/>
        <v>45.399000000000001</v>
      </c>
      <c r="W26" s="38">
        <f t="shared" si="77"/>
        <v>63.390500000000003</v>
      </c>
      <c r="X26" s="38">
        <f t="shared" si="77"/>
        <v>82.5227</v>
      </c>
      <c r="Y26" s="38">
        <f t="shared" si="77"/>
        <v>97.566999999999993</v>
      </c>
      <c r="Z26" s="38">
        <f t="shared" si="77"/>
        <v>116.13379999999999</v>
      </c>
      <c r="AA26" s="39">
        <f t="shared" si="77"/>
        <v>135.4975</v>
      </c>
      <c r="AC26" s="146" t="s">
        <v>214</v>
      </c>
      <c r="AD26" s="147">
        <f>MAX(B32:I32)</f>
        <v>1</v>
      </c>
      <c r="AE26" s="148" t="s">
        <v>213</v>
      </c>
      <c r="AF26" s="147">
        <f>IF($AH$26=I31,I6,IF($AH$26=H31,H6,IF($AH$26=G31,G6,IF($AH$26=F31,F6,IF($AH$26=E31,E6,IF($AH$26=D31,D6,IF($AH$26=C31,C6,IF($AH$26=B31,B6))))))))</f>
        <v>10</v>
      </c>
      <c r="AG26" s="149" t="s">
        <v>219</v>
      </c>
      <c r="AH26" s="3">
        <f>MAX(B31:I31)</f>
        <v>0.67</v>
      </c>
      <c r="AI26" s="352">
        <f>MAX(B9:I9)</f>
        <v>0.23860000000000001</v>
      </c>
      <c r="AK26" s="69" t="s">
        <v>253</v>
      </c>
      <c r="AL26" s="62">
        <f>ROUND('환기량 산정'!C683/6.25*AL23*AL22,4)</f>
        <v>8.6999999999999994E-3</v>
      </c>
      <c r="AM26" s="63">
        <f>ROUND('환기량 산정'!D683/6.25*AM23*AM22,4)</f>
        <v>1.01E-2</v>
      </c>
      <c r="AN26" s="63">
        <f>ROUND('환기량 산정'!E683/6.25*AN23*AN22,4)</f>
        <v>1.01E-2</v>
      </c>
      <c r="AO26" s="63">
        <f>ROUND('환기량 산정'!F683/6.25*AO23*AO22,4)</f>
        <v>1.12E-2</v>
      </c>
      <c r="AP26" s="63">
        <f>ROUND('환기량 산정'!G683/6.25*AP23*AP22,4)</f>
        <v>1.12E-2</v>
      </c>
      <c r="AQ26" s="63">
        <f>ROUND('환기량 산정'!H683/6.25*AQ23*AQ22,4)</f>
        <v>1.12E-2</v>
      </c>
      <c r="AR26" s="63">
        <f>ROUND('환기량 산정'!I683/6.25*AR23*AR22,4)</f>
        <v>1.12E-2</v>
      </c>
      <c r="AS26" s="64">
        <f>ROUND('환기량 산정'!J683/6.25*AS23*AS22,4)</f>
        <v>1.12E-2</v>
      </c>
      <c r="AT26" s="36" t="s">
        <v>156</v>
      </c>
      <c r="AU26" s="327">
        <f>IF('환기량 산정'!$K$1509=1,IF(AU7&gt;AU9,ROUND(AU14/2*AU19/AU12*(AU7-AU9)^2*AU22,4),IF(AU7&lt;AU9,ROUND(-AU14/2*AU19/AU12*(AU9-AU7)^2*AU22,4))),ROUND(AU14/2*AU19/AU12*(AU7+AU9)^2*AU22,4))</f>
        <v>0.23080000000000001</v>
      </c>
      <c r="AV26" s="328">
        <f t="shared" ref="AV26:BB26" si="78">IF(AV7&gt;AV9,ROUND(AV14/2*AV19/AV12*(AV7-AV9)^2*AV22,4),IF(AV7&lt;AV9,ROUND(-AV14/2*AV19/AV12*(AV9-AV7)^2*AV22,4)))</f>
        <v>8.8048000000000002</v>
      </c>
      <c r="AW26" s="328">
        <f t="shared" si="78"/>
        <v>23.708100000000002</v>
      </c>
      <c r="AX26" s="328">
        <f t="shared" si="78"/>
        <v>39.788699999999999</v>
      </c>
      <c r="AY26" s="328">
        <f t="shared" si="78"/>
        <v>57.249600000000001</v>
      </c>
      <c r="AZ26" s="328">
        <f t="shared" si="78"/>
        <v>72.295900000000003</v>
      </c>
      <c r="BA26" s="328">
        <f t="shared" si="78"/>
        <v>90.068399999999997</v>
      </c>
      <c r="BB26" s="329">
        <f t="shared" si="78"/>
        <v>108.6824</v>
      </c>
      <c r="BC26" s="36" t="s">
        <v>156</v>
      </c>
      <c r="BD26" s="327">
        <f>IF('환기량 산정'!$K$1509=1,IF(BD7&gt;BD9,ROUND(BD14/2*BD19/BD12*(BD7-BD9)^2*BD22,4),IF(BD7&lt;BD9,ROUND(-BD14/2*BD19/BD12*(BD9-BD7)^2*BD22,4))),ROUND(BD14/2*BD19/BD12*(BD7+BD9)^2*BD22,4))</f>
        <v>1.8593</v>
      </c>
      <c r="BE26" s="328">
        <f t="shared" ref="BE26:BK26" si="79">IF(BE7&gt;BE9,ROUND(BE14/2*BE19/BE12*(BE7-BE9)^2*BE22,4),IF(BE7&lt;BE9,ROUND(-BE14/2*BE19/BE12*(BE9-BE7)^2*BE22,4)))</f>
        <v>13.8385</v>
      </c>
      <c r="BF26" s="328">
        <f t="shared" si="79"/>
        <v>30.6203</v>
      </c>
      <c r="BG26" s="328">
        <f t="shared" si="79"/>
        <v>47.553600000000003</v>
      </c>
      <c r="BH26" s="328">
        <f t="shared" si="79"/>
        <v>65.643199999999993</v>
      </c>
      <c r="BI26" s="328">
        <f t="shared" si="79"/>
        <v>80.783199999999994</v>
      </c>
      <c r="BJ26" s="328">
        <f t="shared" si="79"/>
        <v>98.89</v>
      </c>
      <c r="BK26" s="329">
        <f t="shared" si="79"/>
        <v>117.8091</v>
      </c>
    </row>
    <row r="27" spans="1:63" ht="15.75">
      <c r="A27" s="36" t="s">
        <v>158</v>
      </c>
      <c r="B27" s="44"/>
      <c r="C27" s="38"/>
      <c r="D27" s="38"/>
      <c r="E27" s="38"/>
      <c r="F27" s="38"/>
      <c r="G27" s="38"/>
      <c r="H27" s="63"/>
      <c r="I27" s="39"/>
      <c r="J27" s="36" t="s">
        <v>158</v>
      </c>
      <c r="K27" s="62"/>
      <c r="L27" s="38"/>
      <c r="M27" s="38"/>
      <c r="N27" s="38"/>
      <c r="O27" s="38"/>
      <c r="P27" s="38"/>
      <c r="Q27" s="38"/>
      <c r="R27" s="39"/>
      <c r="S27" s="181" t="s">
        <v>158</v>
      </c>
      <c r="T27" s="44"/>
      <c r="U27" s="38"/>
      <c r="V27" s="38"/>
      <c r="W27" s="38"/>
      <c r="X27" s="38"/>
      <c r="Y27" s="38"/>
      <c r="Z27" s="38"/>
      <c r="AA27" s="39"/>
      <c r="AC27" s="150" t="s">
        <v>215</v>
      </c>
      <c r="AD27" s="151">
        <f>MAX(K32:R32)</f>
        <v>1</v>
      </c>
      <c r="AE27" s="152" t="s">
        <v>213</v>
      </c>
      <c r="AF27" s="151">
        <f>IF($AH$27=R31,R6,IF($AH$27=Q31,Q6,IF($AH$27=P31,P6,IF($AH$27=O31,O6,IF($AH$27=N31,N6,IF($AH$27=M31,M6,IF($AH$27=L31,L6,IF($AH$27=K31,K6))))))))</f>
        <v>10</v>
      </c>
      <c r="AG27" s="153" t="s">
        <v>219</v>
      </c>
      <c r="AH27" s="3">
        <f>MAX(K31:R31)</f>
        <v>0.75</v>
      </c>
      <c r="AI27" s="352">
        <f>MAX(K9:R9)</f>
        <v>0.25569999999999998</v>
      </c>
      <c r="AK27" s="69" t="s">
        <v>254</v>
      </c>
      <c r="AL27" s="62">
        <f>ROUND(AL24*AL22*'환기량 산정'!C1057*10^-6*1.25*1000,4)</f>
        <v>1.3128</v>
      </c>
      <c r="AM27" s="63">
        <f>ROUND(AM24*AM22*'환기량 산정'!D1057*10^-6*1.25*1000,4)</f>
        <v>1.1375</v>
      </c>
      <c r="AN27" s="63">
        <f>ROUND(AN24*AN22*'환기량 산정'!E1057*10^-6*1.25*1000,4)</f>
        <v>0.78769999999999996</v>
      </c>
      <c r="AO27" s="63">
        <f>ROUND(AO24*AO22*'환기량 산정'!F1057*10^-6*1.25*1000,4)</f>
        <v>0.70050000000000001</v>
      </c>
      <c r="AP27" s="63">
        <f>ROUND(AP24*AP22*'환기량 산정'!G1057*10^-6*1.25*1000,4)</f>
        <v>0.61209999999999998</v>
      </c>
      <c r="AQ27" s="63">
        <f>ROUND(AQ24*AQ22*'환기량 산정'!H1057*10^-6*1.25*1000,4)</f>
        <v>0.52459999999999996</v>
      </c>
      <c r="AR27" s="63">
        <f>ROUND(AR24*AR22*'환기량 산정'!I1057*10^-6*1.25*1000,4)</f>
        <v>0.61280000000000001</v>
      </c>
      <c r="AS27" s="64">
        <f>ROUND(AS24*AS22*'환기량 산정'!J1057*10^-6*1.25*1000,4)</f>
        <v>0.61240000000000006</v>
      </c>
      <c r="AT27" s="36" t="s">
        <v>158</v>
      </c>
      <c r="AU27" s="327"/>
      <c r="AV27" s="328"/>
      <c r="AW27" s="328"/>
      <c r="AX27" s="328"/>
      <c r="AY27" s="328"/>
      <c r="AZ27" s="328"/>
      <c r="BA27" s="328"/>
      <c r="BB27" s="329"/>
      <c r="BC27" s="36" t="s">
        <v>158</v>
      </c>
      <c r="BD27" s="327"/>
      <c r="BE27" s="328"/>
      <c r="BF27" s="328"/>
      <c r="BG27" s="328"/>
      <c r="BH27" s="328"/>
      <c r="BI27" s="328"/>
      <c r="BJ27" s="328"/>
      <c r="BK27" s="329"/>
    </row>
    <row r="28" spans="1:63">
      <c r="A28" s="36" t="s">
        <v>157</v>
      </c>
      <c r="B28" s="183">
        <f t="shared" ref="B28:I28" si="80">B24+B25-B26</f>
        <v>9.5492000000000008</v>
      </c>
      <c r="C28" s="45">
        <f t="shared" si="80"/>
        <v>-6.8034999999999997</v>
      </c>
      <c r="D28" s="45">
        <f t="shared" si="80"/>
        <v>-26.1601</v>
      </c>
      <c r="E28" s="45">
        <f t="shared" si="80"/>
        <v>-43.881600000000006</v>
      </c>
      <c r="F28" s="45">
        <f t="shared" si="80"/>
        <v>-61.869299999999996</v>
      </c>
      <c r="G28" s="45">
        <f t="shared" si="80"/>
        <v>-76.949600000000004</v>
      </c>
      <c r="H28" s="138">
        <f t="shared" si="80"/>
        <v>-95.460899999999995</v>
      </c>
      <c r="I28" s="46">
        <f t="shared" si="80"/>
        <v>-114.76819999999999</v>
      </c>
      <c r="J28" s="36" t="s">
        <v>157</v>
      </c>
      <c r="K28" s="189">
        <f>IF('환기량 산정'!K1509=1,K24+K25-K26,K24+K26-K25)</f>
        <v>10.6363</v>
      </c>
      <c r="L28" s="45">
        <f t="shared" ref="L28:R28" si="81">L24+L25-L26</f>
        <v>-6.1101000000000028</v>
      </c>
      <c r="M28" s="45">
        <f t="shared" si="81"/>
        <v>-26.1601</v>
      </c>
      <c r="N28" s="45">
        <f t="shared" si="81"/>
        <v>-44.296399999999998</v>
      </c>
      <c r="O28" s="45">
        <f t="shared" si="81"/>
        <v>-63.394100000000009</v>
      </c>
      <c r="P28" s="45">
        <f t="shared" si="81"/>
        <v>-78.664899999999989</v>
      </c>
      <c r="Q28" s="45">
        <f t="shared" si="81"/>
        <v>-96.997700000000009</v>
      </c>
      <c r="R28" s="46">
        <f t="shared" si="81"/>
        <v>-116.33580000000001</v>
      </c>
      <c r="S28" s="181" t="s">
        <v>157</v>
      </c>
      <c r="T28" s="183">
        <f>IF('환기량 산정'!K1509=1,T24+T25-T26,T24+T26-T25)</f>
        <v>9.2042000000000002</v>
      </c>
      <c r="U28" s="45">
        <f t="shared" ref="U28:AA28" si="82">U24+U25-U26</f>
        <v>-7.971700000000002</v>
      </c>
      <c r="V28" s="45">
        <f t="shared" si="82"/>
        <v>-27.520400000000002</v>
      </c>
      <c r="W28" s="45">
        <f t="shared" si="82"/>
        <v>-45.511900000000004</v>
      </c>
      <c r="X28" s="45">
        <f t="shared" si="82"/>
        <v>-64.646600000000007</v>
      </c>
      <c r="Y28" s="45">
        <f t="shared" si="82"/>
        <v>-79.690899999999999</v>
      </c>
      <c r="Z28" s="45">
        <f t="shared" si="82"/>
        <v>-98.2577</v>
      </c>
      <c r="AA28" s="46">
        <f t="shared" si="82"/>
        <v>-117.62139999999999</v>
      </c>
      <c r="AC28" s="150" t="s">
        <v>216</v>
      </c>
      <c r="AD28" s="151">
        <f>MAX(T32:AA32)</f>
        <v>1</v>
      </c>
      <c r="AE28" s="152" t="s">
        <v>213</v>
      </c>
      <c r="AF28" s="151">
        <f>IF($AH$28=AA31,AA6,IF($AH$28=Z31,Z6,IF($AH$28=Y31,Y6,IF($AH$28=X31,X6,IF($AH$28=W31,W6,IF($AH$28=V31,V6,IF($AH$28=U31,U6,IF($AH$28=T31,T6))))))))</f>
        <v>10</v>
      </c>
      <c r="AG28" s="153" t="s">
        <v>219</v>
      </c>
      <c r="AH28" s="7">
        <f>MAX(T31:AA31)</f>
        <v>0.64</v>
      </c>
      <c r="AI28" s="352">
        <f>MAX(T9:AA9)</f>
        <v>5.11E-2</v>
      </c>
      <c r="AK28" s="69" t="s">
        <v>263</v>
      </c>
      <c r="AL28" s="62">
        <f>ROUND(AL25*AL22*'환기량 산정'!C1432*10^-6*1.554*1000,4)</f>
        <v>9.3399999999999997E-2</v>
      </c>
      <c r="AM28" s="63">
        <f>ROUND(AM25*AM22*'환기량 산정'!D1432*10^-6*1.554*1000,4)</f>
        <v>6.2300000000000001E-2</v>
      </c>
      <c r="AN28" s="63">
        <f>ROUND(AN25*AN22*'환기량 산정'!E1432*10^-6*1.554*1000,4)</f>
        <v>6.2E-2</v>
      </c>
      <c r="AO28" s="63">
        <f>ROUND(AO25*AO22*'환기량 산정'!F1432*10^-6*1.554*1000,4)</f>
        <v>6.2300000000000001E-2</v>
      </c>
      <c r="AP28" s="63">
        <f>ROUND(AP25*AP22*'환기량 산정'!G1432*10^-6*1.554*1000,4)</f>
        <v>3.1E-2</v>
      </c>
      <c r="AQ28" s="63">
        <f>ROUND(AQ25*AQ22*'환기량 산정'!H1432*10^-6*1.554*1000,4)</f>
        <v>3.09E-2</v>
      </c>
      <c r="AR28" s="63">
        <f>ROUND(AR25*AR22*'환기량 산정'!I1432*10^-6*1.554*1000,4)</f>
        <v>3.1300000000000001E-2</v>
      </c>
      <c r="AS28" s="64">
        <f>ROUND(AS25*AS22*'환기량 산정'!J1432*10^-6*1.554*1000,4)</f>
        <v>3.1399999999999997E-2</v>
      </c>
      <c r="AT28" s="36" t="s">
        <v>157</v>
      </c>
      <c r="AU28" s="334">
        <f>IF('환기량 산정'!$K$1509=1,AU24+AU25-AU26,AU24+AU26-AU25)</f>
        <v>33.238099999999996</v>
      </c>
      <c r="AV28" s="335">
        <f>IF('환기량 산정'!$K$1509=1,AV24+AV25-AV26,AV24+AV26-AV25)</f>
        <v>24.664099999999998</v>
      </c>
      <c r="AW28" s="335">
        <f>IF('환기량 산정'!$K$1509=1,AW24+AW25-AW26,AW24+AW26-AW25)</f>
        <v>9.7607999999999961</v>
      </c>
      <c r="AX28" s="335">
        <f>IF('환기량 산정'!$K$1509=1,AX24+AX25-AX26,AX24+AX26-AX25)</f>
        <v>-6.3198000000000008</v>
      </c>
      <c r="AY28" s="335">
        <f>IF('환기량 산정'!$K$1509=1,AY24+AY25-AY26,AY24+AY26-AY25)</f>
        <v>-23.780700000000003</v>
      </c>
      <c r="AZ28" s="335">
        <f>IF('환기량 산정'!$K$1509=1,AZ24+AZ25-AZ26,AZ24+AZ26-AZ25)</f>
        <v>-38.827000000000005</v>
      </c>
      <c r="BA28" s="335">
        <f>IF('환기량 산정'!$K$1509=1,BA24+BA25-BA26,BA24+BA26-BA25)</f>
        <v>-56.599499999999999</v>
      </c>
      <c r="BB28" s="344">
        <f>IF('환기량 산정'!$K$1509=1,BB24+BB25-BB26,BB24+BB26-BB25)</f>
        <v>-75.21350000000001</v>
      </c>
      <c r="BC28" s="36" t="s">
        <v>157</v>
      </c>
      <c r="BD28" s="334">
        <f>IF('환기량 산정'!$K$1509=1,BD24+BD25-BD26,BD24+BD26-BD25)</f>
        <v>22.596899999999998</v>
      </c>
      <c r="BE28" s="335">
        <f>IF('환기량 산정'!$K$1509=1,BE24+BE25-BE26,BE24+BE26-BE25)</f>
        <v>10.617699999999999</v>
      </c>
      <c r="BF28" s="335">
        <f>IF('환기량 산정'!$K$1509=1,BF24+BF25-BF26,BF24+BF26-BF25)</f>
        <v>-6.1641000000000012</v>
      </c>
      <c r="BG28" s="335">
        <f>IF('환기량 산정'!$K$1509=1,BG24+BG25-BG26,BG24+BG26-BG25)</f>
        <v>-23.097400000000004</v>
      </c>
      <c r="BH28" s="335">
        <f>IF('환기량 산정'!$K$1509=1,BH24+BH25-BH26,BH24+BH26-BH25)</f>
        <v>-41.186999999999998</v>
      </c>
      <c r="BI28" s="335">
        <f>IF('환기량 산정'!$K$1509=1,BI24+BI25-BI26,BI24+BI26-BI25)</f>
        <v>-56.326999999999998</v>
      </c>
      <c r="BJ28" s="335">
        <f>IF('환기량 산정'!$K$1509=1,BJ24+BJ25-BJ26,BJ24+BJ26-BJ25)</f>
        <v>-74.433800000000005</v>
      </c>
      <c r="BK28" s="344">
        <f>IF('환기량 산정'!$K$1509=1,BK24+BK25-BK26,BK24+BK26-BK25)</f>
        <v>-93.352900000000005</v>
      </c>
    </row>
    <row r="29" spans="1:63">
      <c r="A29" s="36" t="s">
        <v>191</v>
      </c>
      <c r="B29" s="182">
        <f>'환기용량 산정(제트팬식)'!B28</f>
        <v>0.95</v>
      </c>
      <c r="C29" s="47">
        <f t="shared" ref="C29:I29" si="83">B29</f>
        <v>0.95</v>
      </c>
      <c r="D29" s="47">
        <f t="shared" si="83"/>
        <v>0.95</v>
      </c>
      <c r="E29" s="47">
        <f t="shared" si="83"/>
        <v>0.95</v>
      </c>
      <c r="F29" s="47">
        <f t="shared" si="83"/>
        <v>0.95</v>
      </c>
      <c r="G29" s="47">
        <f t="shared" si="83"/>
        <v>0.95</v>
      </c>
      <c r="H29" s="140">
        <f t="shared" si="83"/>
        <v>0.95</v>
      </c>
      <c r="I29" s="48">
        <f t="shared" si="83"/>
        <v>0.95</v>
      </c>
      <c r="J29" s="36" t="s">
        <v>191</v>
      </c>
      <c r="K29" s="190">
        <f>B29</f>
        <v>0.95</v>
      </c>
      <c r="L29" s="47">
        <f t="shared" ref="L29:R29" si="84">K29</f>
        <v>0.95</v>
      </c>
      <c r="M29" s="47">
        <f t="shared" si="84"/>
        <v>0.95</v>
      </c>
      <c r="N29" s="47">
        <f t="shared" si="84"/>
        <v>0.95</v>
      </c>
      <c r="O29" s="47">
        <f t="shared" si="84"/>
        <v>0.95</v>
      </c>
      <c r="P29" s="47">
        <f t="shared" si="84"/>
        <v>0.95</v>
      </c>
      <c r="Q29" s="47">
        <f t="shared" si="84"/>
        <v>0.95</v>
      </c>
      <c r="R29" s="48">
        <f t="shared" si="84"/>
        <v>0.95</v>
      </c>
      <c r="S29" s="181" t="s">
        <v>191</v>
      </c>
      <c r="T29" s="196">
        <f>B29</f>
        <v>0.95</v>
      </c>
      <c r="U29" s="47">
        <f t="shared" ref="U29:AA29" si="85">T29</f>
        <v>0.95</v>
      </c>
      <c r="V29" s="47">
        <f t="shared" si="85"/>
        <v>0.95</v>
      </c>
      <c r="W29" s="47">
        <f t="shared" si="85"/>
        <v>0.95</v>
      </c>
      <c r="X29" s="47">
        <f t="shared" si="85"/>
        <v>0.95</v>
      </c>
      <c r="Y29" s="47">
        <f t="shared" si="85"/>
        <v>0.95</v>
      </c>
      <c r="Z29" s="47">
        <f t="shared" si="85"/>
        <v>0.95</v>
      </c>
      <c r="AA29" s="48">
        <f t="shared" si="85"/>
        <v>0.95</v>
      </c>
      <c r="AC29" s="150" t="s">
        <v>422</v>
      </c>
      <c r="AD29" s="351">
        <f>MAX(AU32:BB32)</f>
        <v>3</v>
      </c>
      <c r="AE29" s="152" t="s">
        <v>213</v>
      </c>
      <c r="AF29" s="151">
        <f>IF($AH$29=BB31,BB6,IF($AH$29=BA31,BA6,IF($AH$29=AZ31,AZ6,IF($AH$29=AY31,AY6,IF($AH$29=AX31,AX6,IF($AH$29=AW31,AW6,IF($AH$29=AV31,AV6,IF($AH$29=AU31,AU6))))))))</f>
        <v>10</v>
      </c>
      <c r="AG29" s="153" t="s">
        <v>219</v>
      </c>
      <c r="AH29" s="7">
        <f>MAX(AU31:BB31)</f>
        <v>2.5099999999999998</v>
      </c>
      <c r="AI29" s="353">
        <f>AU9</f>
        <v>2.335</v>
      </c>
      <c r="AJ29" s="7"/>
      <c r="AK29" s="69" t="s">
        <v>264</v>
      </c>
      <c r="AL29" s="176">
        <f>'환기량 산정'!B1511</f>
        <v>6</v>
      </c>
      <c r="AM29" s="177">
        <f>'환기량 산정'!C1511</f>
        <v>9</v>
      </c>
      <c r="AN29" s="177">
        <f>'환기량 산정'!D1511</f>
        <v>9</v>
      </c>
      <c r="AO29" s="177">
        <f>'환기량 산정'!E1511</f>
        <v>10</v>
      </c>
      <c r="AP29" s="177">
        <f>'환기량 산정'!F1511</f>
        <v>14</v>
      </c>
      <c r="AQ29" s="177">
        <f>'환기량 산정'!G1511</f>
        <v>14</v>
      </c>
      <c r="AR29" s="177">
        <f>'환기량 산정'!H1511</f>
        <v>14</v>
      </c>
      <c r="AS29" s="178">
        <f>'환기량 산정'!I1511</f>
        <v>14</v>
      </c>
      <c r="AT29" s="36" t="s">
        <v>191</v>
      </c>
      <c r="AU29" s="336">
        <f t="shared" ref="AU29:BB29" si="86">B29</f>
        <v>0.95</v>
      </c>
      <c r="AV29" s="337">
        <f t="shared" si="86"/>
        <v>0.95</v>
      </c>
      <c r="AW29" s="337">
        <f t="shared" si="86"/>
        <v>0.95</v>
      </c>
      <c r="AX29" s="337">
        <f t="shared" si="86"/>
        <v>0.95</v>
      </c>
      <c r="AY29" s="337">
        <f t="shared" si="86"/>
        <v>0.95</v>
      </c>
      <c r="AZ29" s="337">
        <f t="shared" si="86"/>
        <v>0.95</v>
      </c>
      <c r="BA29" s="337">
        <f t="shared" si="86"/>
        <v>0.95</v>
      </c>
      <c r="BB29" s="345">
        <f t="shared" si="86"/>
        <v>0.95</v>
      </c>
      <c r="BC29" s="36" t="s">
        <v>191</v>
      </c>
      <c r="BD29" s="336">
        <f t="shared" ref="BD29:BK29" si="87">K29</f>
        <v>0.95</v>
      </c>
      <c r="BE29" s="337">
        <f t="shared" si="87"/>
        <v>0.95</v>
      </c>
      <c r="BF29" s="337">
        <f t="shared" si="87"/>
        <v>0.95</v>
      </c>
      <c r="BG29" s="337">
        <f t="shared" si="87"/>
        <v>0.95</v>
      </c>
      <c r="BH29" s="337">
        <f t="shared" si="87"/>
        <v>0.95</v>
      </c>
      <c r="BI29" s="337">
        <f t="shared" si="87"/>
        <v>0.95</v>
      </c>
      <c r="BJ29" s="337">
        <f t="shared" si="87"/>
        <v>0.95</v>
      </c>
      <c r="BK29" s="345">
        <f t="shared" si="87"/>
        <v>0.95</v>
      </c>
    </row>
    <row r="30" spans="1:63" ht="15.75">
      <c r="A30" s="36" t="s">
        <v>342</v>
      </c>
      <c r="B30" s="44">
        <f>ROUND(B23*B14*B21^2*B20/B12*(1-B9/B21)*B29,4)</f>
        <v>14.3201</v>
      </c>
      <c r="C30" s="38">
        <f t="shared" ref="C30:I30" si="88">ROUND(C23*C14*C21^2*C20/C12*(1-C9/C21)*C29,4)</f>
        <v>14.2956</v>
      </c>
      <c r="D30" s="38">
        <f t="shared" si="88"/>
        <v>14.2956</v>
      </c>
      <c r="E30" s="38">
        <f t="shared" si="88"/>
        <v>14.2875</v>
      </c>
      <c r="F30" s="38">
        <f t="shared" si="88"/>
        <v>14.254799999999999</v>
      </c>
      <c r="G30" s="38">
        <f t="shared" si="88"/>
        <v>14.254799999999999</v>
      </c>
      <c r="H30" s="38">
        <f t="shared" si="88"/>
        <v>14.254799999999999</v>
      </c>
      <c r="I30" s="39">
        <f t="shared" si="88"/>
        <v>14.254799999999999</v>
      </c>
      <c r="J30" s="36" t="s">
        <v>342</v>
      </c>
      <c r="K30" s="62">
        <f>ROUND(K23*K14*K21^2*K20/K12*(1-K9/K21)*K29,4)</f>
        <v>14.246600000000001</v>
      </c>
      <c r="L30" s="63">
        <f t="shared" ref="L30:R30" si="89">ROUND(L23*L14*L21^2*L20/L12*(1-L9/L21)*L29,4)</f>
        <v>14.2629</v>
      </c>
      <c r="M30" s="63">
        <f t="shared" si="89"/>
        <v>14.2956</v>
      </c>
      <c r="N30" s="63">
        <f t="shared" si="89"/>
        <v>14.303699999999999</v>
      </c>
      <c r="O30" s="63">
        <f t="shared" si="89"/>
        <v>14.3119</v>
      </c>
      <c r="P30" s="63">
        <f t="shared" si="89"/>
        <v>14.3201</v>
      </c>
      <c r="Q30" s="63">
        <f t="shared" si="89"/>
        <v>14.3119</v>
      </c>
      <c r="R30" s="64">
        <f t="shared" si="89"/>
        <v>14.3119</v>
      </c>
      <c r="S30" s="181" t="s">
        <v>342</v>
      </c>
      <c r="T30" s="44">
        <f>ROUND(T23*T14*T21^2*T20/T12*(1-T9/T21)*T29,4)</f>
        <v>14.3446</v>
      </c>
      <c r="U30" s="38">
        <f t="shared" ref="U30:AA30" si="90">ROUND(U23*U14*U21^2*U20/U12*(1-U9/U21)*U29,4)</f>
        <v>14.3527</v>
      </c>
      <c r="V30" s="38">
        <f t="shared" si="90"/>
        <v>14.3527</v>
      </c>
      <c r="W30" s="38">
        <f t="shared" si="90"/>
        <v>14.3527</v>
      </c>
      <c r="X30" s="38">
        <f t="shared" si="90"/>
        <v>14.360900000000001</v>
      </c>
      <c r="Y30" s="38">
        <f t="shared" si="90"/>
        <v>14.360900000000001</v>
      </c>
      <c r="Z30" s="38">
        <f t="shared" si="90"/>
        <v>14.360900000000001</v>
      </c>
      <c r="AA30" s="39">
        <f t="shared" si="90"/>
        <v>14.360900000000001</v>
      </c>
      <c r="AB30" s="7"/>
      <c r="AC30" s="150" t="s">
        <v>217</v>
      </c>
      <c r="AD30" s="151">
        <f>MAX(AC20:AJ20)</f>
        <v>7</v>
      </c>
      <c r="AE30" s="152" t="s">
        <v>213</v>
      </c>
      <c r="AF30" s="151">
        <f>IF($AH$30=AJ18,AJ6,IF($AH$30=AI18,AI6,IF($AH$30=AH18,AH6,IF($AH$30=AG18,AG6,IF($AH$30=AF18,AF6,IF($AH$30=AE18,AE6,IF($AH$30=AD18,AD6,IF($AH$30=AC18,AC6))))))))</f>
        <v>30</v>
      </c>
      <c r="AG30" s="153" t="s">
        <v>219</v>
      </c>
      <c r="AH30" s="7">
        <f>MAX(AC18:AJ18)</f>
        <v>4.97</v>
      </c>
      <c r="AI30" s="7"/>
      <c r="AJ30" s="7"/>
      <c r="AK30" s="69" t="s">
        <v>255</v>
      </c>
      <c r="AL30" s="176">
        <f>'환기량 산정'!B1513</f>
        <v>15</v>
      </c>
      <c r="AM30" s="177">
        <f>'환기량 산정'!C1513</f>
        <v>13</v>
      </c>
      <c r="AN30" s="177">
        <f>'환기량 산정'!D1513</f>
        <v>9</v>
      </c>
      <c r="AO30" s="177">
        <f>'환기량 산정'!E1513</f>
        <v>8</v>
      </c>
      <c r="AP30" s="177">
        <f>'환기량 산정'!F1513</f>
        <v>7</v>
      </c>
      <c r="AQ30" s="177">
        <f>'환기량 산정'!G1513</f>
        <v>6</v>
      </c>
      <c r="AR30" s="177">
        <f>'환기량 산정'!H1513</f>
        <v>7</v>
      </c>
      <c r="AS30" s="178">
        <f>'환기량 산정'!I1513</f>
        <v>7</v>
      </c>
      <c r="AT30" s="36" t="s">
        <v>342</v>
      </c>
      <c r="AU30" s="327">
        <f t="shared" ref="AU30:BB30" si="91">ROUND(AU23*AU14*AU21^2*AU20/AU12*(1-AU9/AU21)*AU29,4)</f>
        <v>13.2507</v>
      </c>
      <c r="AV30" s="332">
        <f t="shared" si="91"/>
        <v>13.2507</v>
      </c>
      <c r="AW30" s="332">
        <f t="shared" si="91"/>
        <v>13.2507</v>
      </c>
      <c r="AX30" s="332">
        <f t="shared" si="91"/>
        <v>13.2507</v>
      </c>
      <c r="AY30" s="332">
        <f t="shared" si="91"/>
        <v>13.2507</v>
      </c>
      <c r="AZ30" s="332">
        <f t="shared" si="91"/>
        <v>13.2507</v>
      </c>
      <c r="BA30" s="332">
        <f t="shared" si="91"/>
        <v>13.2507</v>
      </c>
      <c r="BB30" s="338">
        <f t="shared" si="91"/>
        <v>13.2507</v>
      </c>
      <c r="BC30" s="36" t="s">
        <v>342</v>
      </c>
      <c r="BD30" s="327">
        <f t="shared" ref="BD30:BK30" si="92">ROUND(BD23*BD14*BD21^2*BD20/BD12*(1-BD9/BD21)*BD29,4)</f>
        <v>13.6425</v>
      </c>
      <c r="BE30" s="332">
        <f t="shared" si="92"/>
        <v>13.6425</v>
      </c>
      <c r="BF30" s="332">
        <f t="shared" si="92"/>
        <v>13.6425</v>
      </c>
      <c r="BG30" s="332">
        <f t="shared" si="92"/>
        <v>13.6425</v>
      </c>
      <c r="BH30" s="332">
        <f t="shared" si="92"/>
        <v>13.6425</v>
      </c>
      <c r="BI30" s="332">
        <f t="shared" si="92"/>
        <v>13.6425</v>
      </c>
      <c r="BJ30" s="332">
        <f t="shared" si="92"/>
        <v>13.6425</v>
      </c>
      <c r="BK30" s="338">
        <f t="shared" si="92"/>
        <v>13.6425</v>
      </c>
    </row>
    <row r="31" spans="1:63" ht="14.25" thickBot="1">
      <c r="A31" s="36" t="s">
        <v>172</v>
      </c>
      <c r="B31" s="44">
        <f t="shared" ref="B31:I31" si="93">ROUND(B28/B30,2)</f>
        <v>0.67</v>
      </c>
      <c r="C31" s="38">
        <f t="shared" si="93"/>
        <v>-0.48</v>
      </c>
      <c r="D31" s="38">
        <f t="shared" si="93"/>
        <v>-1.83</v>
      </c>
      <c r="E31" s="38">
        <f t="shared" si="93"/>
        <v>-3.07</v>
      </c>
      <c r="F31" s="38">
        <f t="shared" si="93"/>
        <v>-4.34</v>
      </c>
      <c r="G31" s="38">
        <f t="shared" si="93"/>
        <v>-5.4</v>
      </c>
      <c r="H31" s="63">
        <f t="shared" si="93"/>
        <v>-6.7</v>
      </c>
      <c r="I31" s="39">
        <f t="shared" si="93"/>
        <v>-8.0500000000000007</v>
      </c>
      <c r="J31" s="36" t="s">
        <v>172</v>
      </c>
      <c r="K31" s="62">
        <f t="shared" ref="K31:R31" si="94">ROUND(K28/K30,2)</f>
        <v>0.75</v>
      </c>
      <c r="L31" s="38">
        <f t="shared" si="94"/>
        <v>-0.43</v>
      </c>
      <c r="M31" s="38">
        <f t="shared" si="94"/>
        <v>-1.83</v>
      </c>
      <c r="N31" s="38">
        <f t="shared" si="94"/>
        <v>-3.1</v>
      </c>
      <c r="O31" s="38">
        <f t="shared" si="94"/>
        <v>-4.43</v>
      </c>
      <c r="P31" s="38">
        <f t="shared" si="94"/>
        <v>-5.49</v>
      </c>
      <c r="Q31" s="38">
        <f t="shared" si="94"/>
        <v>-6.78</v>
      </c>
      <c r="R31" s="39">
        <f t="shared" si="94"/>
        <v>-8.1300000000000008</v>
      </c>
      <c r="S31" s="181" t="s">
        <v>172</v>
      </c>
      <c r="T31" s="44">
        <f t="shared" ref="T31:AA31" si="95">ROUND(T28/T30,2)</f>
        <v>0.64</v>
      </c>
      <c r="U31" s="38">
        <f t="shared" si="95"/>
        <v>-0.56000000000000005</v>
      </c>
      <c r="V31" s="38">
        <f t="shared" si="95"/>
        <v>-1.92</v>
      </c>
      <c r="W31" s="38">
        <f t="shared" si="95"/>
        <v>-3.17</v>
      </c>
      <c r="X31" s="38">
        <f t="shared" si="95"/>
        <v>-4.5</v>
      </c>
      <c r="Y31" s="38">
        <f t="shared" si="95"/>
        <v>-5.55</v>
      </c>
      <c r="Z31" s="38">
        <f t="shared" si="95"/>
        <v>-6.84</v>
      </c>
      <c r="AA31" s="39">
        <f t="shared" si="95"/>
        <v>-8.19</v>
      </c>
      <c r="AB31" s="7"/>
      <c r="AC31" s="154" t="s">
        <v>410</v>
      </c>
      <c r="AD31" s="155">
        <f>MAX(AD26:AD30)</f>
        <v>7</v>
      </c>
      <c r="AE31" s="156" t="s">
        <v>213</v>
      </c>
      <c r="AF31" s="157" t="str">
        <f>IF(AD31=AD30,IF(AD31=MAX(AD26:AD29),"환기 방재","방재"),"환기")</f>
        <v>방재</v>
      </c>
      <c r="AG31" s="158"/>
      <c r="AH31" s="7"/>
      <c r="AI31" s="7"/>
      <c r="AJ31" s="7"/>
      <c r="AK31" s="69" t="s">
        <v>256</v>
      </c>
      <c r="AL31" s="62">
        <f>'환기량 산정'!B1515</f>
        <v>3</v>
      </c>
      <c r="AM31" s="63">
        <f>'환기량 산정'!C1515</f>
        <v>2</v>
      </c>
      <c r="AN31" s="63">
        <f>'환기량 산정'!D1515</f>
        <v>2</v>
      </c>
      <c r="AO31" s="63">
        <f>'환기량 산정'!E1515</f>
        <v>2</v>
      </c>
      <c r="AP31" s="63">
        <f>'환기량 산정'!F1515</f>
        <v>1</v>
      </c>
      <c r="AQ31" s="63">
        <f>'환기량 산정'!G1515</f>
        <v>1</v>
      </c>
      <c r="AR31" s="63">
        <f>'환기량 산정'!H1515</f>
        <v>1</v>
      </c>
      <c r="AS31" s="64">
        <f>'환기량 산정'!I1515</f>
        <v>1</v>
      </c>
      <c r="AT31" s="36" t="s">
        <v>172</v>
      </c>
      <c r="AU31" s="327">
        <f t="shared" ref="AU31:BB31" si="96">ROUND(AU28/AU30,2)</f>
        <v>2.5099999999999998</v>
      </c>
      <c r="AV31" s="328">
        <f t="shared" si="96"/>
        <v>1.86</v>
      </c>
      <c r="AW31" s="328">
        <f t="shared" si="96"/>
        <v>0.74</v>
      </c>
      <c r="AX31" s="328">
        <f t="shared" si="96"/>
        <v>-0.48</v>
      </c>
      <c r="AY31" s="328">
        <f t="shared" si="96"/>
        <v>-1.79</v>
      </c>
      <c r="AZ31" s="328">
        <f t="shared" si="96"/>
        <v>-2.93</v>
      </c>
      <c r="BA31" s="328">
        <f t="shared" si="96"/>
        <v>-4.2699999999999996</v>
      </c>
      <c r="BB31" s="329">
        <f t="shared" si="96"/>
        <v>-5.68</v>
      </c>
      <c r="BC31" s="36" t="s">
        <v>172</v>
      </c>
      <c r="BD31" s="327">
        <f t="shared" ref="BD31:BK31" si="97">ROUND(BD28/BD30,2)</f>
        <v>1.66</v>
      </c>
      <c r="BE31" s="328">
        <f t="shared" si="97"/>
        <v>0.78</v>
      </c>
      <c r="BF31" s="328">
        <f t="shared" si="97"/>
        <v>-0.45</v>
      </c>
      <c r="BG31" s="328">
        <f t="shared" si="97"/>
        <v>-1.69</v>
      </c>
      <c r="BH31" s="328">
        <f t="shared" si="97"/>
        <v>-3.02</v>
      </c>
      <c r="BI31" s="328">
        <f t="shared" si="97"/>
        <v>-4.13</v>
      </c>
      <c r="BJ31" s="328">
        <f t="shared" si="97"/>
        <v>-5.46</v>
      </c>
      <c r="BK31" s="329">
        <f t="shared" si="97"/>
        <v>-6.84</v>
      </c>
    </row>
    <row r="32" spans="1:63" ht="14.25" thickBot="1">
      <c r="A32" s="49" t="s">
        <v>173</v>
      </c>
      <c r="B32" s="185">
        <f t="shared" ref="B32:I32" si="98">IF(B31&lt;0,0,IF(B31&gt;0,ROUNDUP(B31,0)))</f>
        <v>1</v>
      </c>
      <c r="C32" s="51">
        <f t="shared" si="98"/>
        <v>0</v>
      </c>
      <c r="D32" s="51">
        <f t="shared" si="98"/>
        <v>0</v>
      </c>
      <c r="E32" s="51">
        <f t="shared" si="98"/>
        <v>0</v>
      </c>
      <c r="F32" s="51">
        <f t="shared" si="98"/>
        <v>0</v>
      </c>
      <c r="G32" s="51">
        <f t="shared" si="98"/>
        <v>0</v>
      </c>
      <c r="H32" s="51">
        <f t="shared" si="98"/>
        <v>0</v>
      </c>
      <c r="I32" s="52">
        <f t="shared" si="98"/>
        <v>0</v>
      </c>
      <c r="J32" s="49" t="s">
        <v>173</v>
      </c>
      <c r="K32" s="185">
        <f t="shared" ref="K32:R32" si="99">IF(K31&lt;0,0,IF(K31&gt;0,ROUNDUP(K31,0)))</f>
        <v>1</v>
      </c>
      <c r="L32" s="51">
        <f t="shared" si="99"/>
        <v>0</v>
      </c>
      <c r="M32" s="51">
        <f t="shared" si="99"/>
        <v>0</v>
      </c>
      <c r="N32" s="51">
        <f t="shared" si="99"/>
        <v>0</v>
      </c>
      <c r="O32" s="51">
        <f t="shared" si="99"/>
        <v>0</v>
      </c>
      <c r="P32" s="51">
        <f t="shared" si="99"/>
        <v>0</v>
      </c>
      <c r="Q32" s="51">
        <f t="shared" si="99"/>
        <v>0</v>
      </c>
      <c r="R32" s="52">
        <f t="shared" si="99"/>
        <v>0</v>
      </c>
      <c r="S32" s="194" t="s">
        <v>173</v>
      </c>
      <c r="T32" s="185">
        <f t="shared" ref="T32:AA32" si="100">IF(T31&lt;0,0,IF(T31&gt;0,ROUNDUP(T31,0)))</f>
        <v>1</v>
      </c>
      <c r="U32" s="51">
        <f t="shared" si="100"/>
        <v>0</v>
      </c>
      <c r="V32" s="51">
        <f t="shared" si="100"/>
        <v>0</v>
      </c>
      <c r="W32" s="51">
        <f t="shared" si="100"/>
        <v>0</v>
      </c>
      <c r="X32" s="51">
        <f t="shared" si="100"/>
        <v>0</v>
      </c>
      <c r="Y32" s="51">
        <f t="shared" si="100"/>
        <v>0</v>
      </c>
      <c r="Z32" s="51">
        <f t="shared" si="100"/>
        <v>0</v>
      </c>
      <c r="AA32" s="52">
        <f t="shared" si="100"/>
        <v>0</v>
      </c>
      <c r="AB32" s="7"/>
      <c r="AC32" s="136"/>
      <c r="AD32" s="7"/>
      <c r="AE32" s="7"/>
      <c r="AF32" s="7"/>
      <c r="AG32" s="7"/>
      <c r="AH32" s="7"/>
      <c r="AI32" s="7"/>
      <c r="AJ32" s="7"/>
      <c r="AK32" s="169" t="s">
        <v>257</v>
      </c>
      <c r="AL32" s="175">
        <f>MAX(AL29:AL31)</f>
        <v>15</v>
      </c>
      <c r="AM32" s="162">
        <f t="shared" ref="AM32:AS32" si="101">MAX(AM29:AM31)</f>
        <v>13</v>
      </c>
      <c r="AN32" s="162">
        <f t="shared" si="101"/>
        <v>9</v>
      </c>
      <c r="AO32" s="162">
        <f t="shared" si="101"/>
        <v>10</v>
      </c>
      <c r="AP32" s="162">
        <f t="shared" si="101"/>
        <v>14</v>
      </c>
      <c r="AQ32" s="162">
        <f t="shared" si="101"/>
        <v>14</v>
      </c>
      <c r="AR32" s="162">
        <f t="shared" si="101"/>
        <v>14</v>
      </c>
      <c r="AS32" s="163">
        <f t="shared" si="101"/>
        <v>14</v>
      </c>
      <c r="AT32" s="49" t="s">
        <v>173</v>
      </c>
      <c r="AU32" s="339">
        <f t="shared" ref="AU32:BB32" si="102">IF(AU31&lt;0,0,IF(AU31&gt;0,ROUNDUP(AU31,0)))</f>
        <v>3</v>
      </c>
      <c r="AV32" s="340">
        <f t="shared" si="102"/>
        <v>2</v>
      </c>
      <c r="AW32" s="340">
        <f t="shared" si="102"/>
        <v>1</v>
      </c>
      <c r="AX32" s="340">
        <f t="shared" si="102"/>
        <v>0</v>
      </c>
      <c r="AY32" s="340">
        <f t="shared" si="102"/>
        <v>0</v>
      </c>
      <c r="AZ32" s="340">
        <f t="shared" si="102"/>
        <v>0</v>
      </c>
      <c r="BA32" s="340">
        <f t="shared" si="102"/>
        <v>0</v>
      </c>
      <c r="BB32" s="341">
        <f t="shared" si="102"/>
        <v>0</v>
      </c>
      <c r="BC32" s="49" t="s">
        <v>173</v>
      </c>
      <c r="BD32" s="339">
        <f t="shared" ref="BD32:BK32" si="103">IF(BD31&lt;0,0,IF(BD31&gt;0,ROUNDUP(BD31,0)))</f>
        <v>2</v>
      </c>
      <c r="BE32" s="340">
        <f t="shared" si="103"/>
        <v>1</v>
      </c>
      <c r="BF32" s="340">
        <f t="shared" si="103"/>
        <v>0</v>
      </c>
      <c r="BG32" s="340">
        <f t="shared" si="103"/>
        <v>0</v>
      </c>
      <c r="BH32" s="340">
        <f t="shared" si="103"/>
        <v>0</v>
      </c>
      <c r="BI32" s="340">
        <f t="shared" si="103"/>
        <v>0</v>
      </c>
      <c r="BJ32" s="340">
        <f t="shared" si="103"/>
        <v>0</v>
      </c>
      <c r="BK32" s="341">
        <f t="shared" si="103"/>
        <v>0</v>
      </c>
    </row>
    <row r="33" spans="1:63" ht="14.25" thickBo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255"/>
      <c r="S33" s="7"/>
      <c r="T33" s="7"/>
      <c r="U33" s="7"/>
      <c r="V33" s="7"/>
      <c r="W33" s="7"/>
      <c r="X33" s="7"/>
      <c r="Y33" s="7"/>
      <c r="Z33" s="7"/>
      <c r="AA33" s="7"/>
      <c r="AB33" s="7"/>
      <c r="AC33" s="144" t="s">
        <v>218</v>
      </c>
      <c r="AD33" s="145" t="str">
        <f>IF(AF33&gt;10,"불가",IF(ROUNDDOWN(('환기량 산정'!C17/F3-1),0)*AC22&gt;=AD31,"가능","불가"))</f>
        <v>가능</v>
      </c>
      <c r="AE33" s="131" t="s">
        <v>222</v>
      </c>
      <c r="AF33" s="354">
        <f>ROUND(MAX(AI26:AI29),2)</f>
        <v>2.34</v>
      </c>
      <c r="AG33" s="160" t="str">
        <f>CONCATENATE(," m/s")</f>
        <v xml:space="preserve"> m/s</v>
      </c>
      <c r="AH33" s="7"/>
      <c r="AI33" s="7"/>
      <c r="AJ33" s="7"/>
      <c r="AL33" s="197" t="str">
        <f>IF(AL14&lt;0,IF(AL17&gt;2.78,"OK","AL13 수식 양수로 변경하세요"),IF(AL17&lt;=2.78,"OK","AL13 수식을 음수로 변경하세요"))</f>
        <v>AL13 수식 양수로 변경하세요</v>
      </c>
      <c r="AM33" s="197"/>
      <c r="AT33" s="7"/>
      <c r="AU33" s="7"/>
      <c r="AV33" s="7"/>
      <c r="AW33" s="7"/>
      <c r="AX33" s="7"/>
      <c r="AY33" s="7"/>
      <c r="AZ33" s="7"/>
      <c r="BA33" s="7"/>
      <c r="BB33" s="255"/>
      <c r="BC33" s="7"/>
      <c r="BD33" s="7"/>
      <c r="BE33" s="7"/>
      <c r="BF33" s="7"/>
      <c r="BG33" s="7"/>
      <c r="BH33" s="7"/>
      <c r="BI33" s="7"/>
      <c r="BJ33" s="7"/>
      <c r="BK33" s="255"/>
    </row>
    <row r="34" spans="1:6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255"/>
      <c r="S34" s="7"/>
      <c r="T34" s="7"/>
      <c r="U34" s="7"/>
      <c r="V34" s="7"/>
      <c r="W34" s="7"/>
      <c r="X34" s="7"/>
      <c r="Y34" s="7"/>
      <c r="Z34" s="7"/>
      <c r="AA34" s="7"/>
      <c r="AB34" s="7"/>
      <c r="AH34" s="7"/>
      <c r="AI34" s="7"/>
      <c r="AJ34" s="7"/>
      <c r="AT34" s="7"/>
      <c r="AU34" s="7"/>
      <c r="AV34" s="7"/>
      <c r="AW34" s="7"/>
      <c r="AX34" s="7"/>
      <c r="AY34" s="7"/>
      <c r="AZ34" s="7"/>
      <c r="BA34" s="7"/>
      <c r="BB34" s="255"/>
      <c r="BC34" s="7"/>
      <c r="BD34" s="7"/>
      <c r="BE34" s="7"/>
      <c r="BF34" s="7"/>
      <c r="BG34" s="7"/>
      <c r="BH34" s="7"/>
      <c r="BI34" s="7"/>
      <c r="BJ34" s="7"/>
      <c r="BK34" s="255"/>
    </row>
    <row r="35" spans="1:63">
      <c r="R35" s="72"/>
      <c r="BB35" s="72"/>
      <c r="BK35" s="72"/>
    </row>
    <row r="36" spans="1:63">
      <c r="R36" s="72"/>
      <c r="BB36" s="72"/>
      <c r="BK36" s="72"/>
    </row>
    <row r="37" spans="1:63">
      <c r="R37" s="72"/>
      <c r="BB37" s="72"/>
      <c r="BK37" s="72"/>
    </row>
    <row r="38" spans="1:63" ht="14.25" thickBot="1">
      <c r="A38" s="4" t="s">
        <v>223</v>
      </c>
      <c r="B38" s="10" t="s">
        <v>160</v>
      </c>
      <c r="C38" s="14">
        <f>C3</f>
        <v>1030</v>
      </c>
      <c r="E38" s="12" t="s">
        <v>177</v>
      </c>
      <c r="F38" s="13">
        <f>F3</f>
        <v>140</v>
      </c>
      <c r="G38" s="3" t="s">
        <v>178</v>
      </c>
      <c r="H38" s="7"/>
      <c r="I38" s="7"/>
      <c r="J38" s="4" t="s">
        <v>174</v>
      </c>
      <c r="K38" s="10" t="s">
        <v>175</v>
      </c>
      <c r="L38" s="14">
        <f>L3</f>
        <v>1030</v>
      </c>
      <c r="M38" s="9"/>
      <c r="N38" s="9"/>
      <c r="O38" s="9"/>
      <c r="P38" s="9"/>
      <c r="Q38" s="7"/>
      <c r="R38" s="255"/>
      <c r="S38" s="4" t="s">
        <v>166</v>
      </c>
      <c r="T38" s="10" t="s">
        <v>175</v>
      </c>
      <c r="U38" s="14">
        <f>C3</f>
        <v>1030</v>
      </c>
      <c r="V38" s="9"/>
      <c r="W38" s="9"/>
      <c r="X38" s="9"/>
      <c r="Y38" s="9"/>
      <c r="Z38" s="7"/>
      <c r="AA38" s="7"/>
      <c r="AB38" s="4"/>
      <c r="AC38" s="54" t="s">
        <v>10</v>
      </c>
      <c r="AD38" s="5">
        <f>$B$1</f>
        <v>2222</v>
      </c>
      <c r="AE38" s="6" t="s">
        <v>148</v>
      </c>
      <c r="AF38" s="8" t="s">
        <v>211</v>
      </c>
      <c r="AG38" s="7"/>
      <c r="AH38" s="7"/>
      <c r="AI38" s="7"/>
      <c r="AJ38" s="7"/>
      <c r="AK38" s="4" t="s">
        <v>227</v>
      </c>
      <c r="AL38" s="10"/>
      <c r="AM38" s="174"/>
      <c r="AO38" s="12"/>
      <c r="AP38" s="13"/>
      <c r="AS38" s="9"/>
      <c r="AT38" s="4" t="s">
        <v>424</v>
      </c>
      <c r="AU38" s="10" t="s">
        <v>175</v>
      </c>
      <c r="AV38" s="14">
        <f>AV3</f>
        <v>1030</v>
      </c>
      <c r="AW38" s="9"/>
      <c r="AX38" s="9"/>
      <c r="AY38" s="9"/>
      <c r="AZ38" s="9"/>
      <c r="BA38" s="7"/>
      <c r="BB38" s="255"/>
      <c r="BC38" s="4" t="s">
        <v>424</v>
      </c>
      <c r="BD38" s="10" t="s">
        <v>175</v>
      </c>
      <c r="BE38" s="14">
        <f>BE3</f>
        <v>1030</v>
      </c>
      <c r="BF38" s="9"/>
      <c r="BG38" s="9"/>
      <c r="BH38" s="9"/>
      <c r="BI38" s="9"/>
      <c r="BJ38" s="7"/>
      <c r="BK38" s="255"/>
    </row>
    <row r="39" spans="1:63">
      <c r="A39" s="1523" t="s">
        <v>167</v>
      </c>
      <c r="B39" s="16"/>
      <c r="C39" s="17"/>
      <c r="D39" s="18" t="str">
        <f>'환기량 산정'!G6</f>
        <v>진주</v>
      </c>
      <c r="E39" s="19" t="str">
        <f>'환기량 산정'!I6</f>
        <v>⇒</v>
      </c>
      <c r="F39" s="18" t="str">
        <f>'환기량 산정'!J6</f>
        <v>마산</v>
      </c>
      <c r="G39" s="19" t="s">
        <v>9</v>
      </c>
      <c r="H39" s="17"/>
      <c r="I39" s="20"/>
      <c r="J39" s="1211" t="s">
        <v>167</v>
      </c>
      <c r="K39" s="16"/>
      <c r="L39" s="17"/>
      <c r="M39" s="18" t="str">
        <f>D39</f>
        <v>진주</v>
      </c>
      <c r="N39" s="19" t="str">
        <f>E39</f>
        <v>⇒</v>
      </c>
      <c r="O39" s="18" t="str">
        <f>F39</f>
        <v>마산</v>
      </c>
      <c r="P39" s="19" t="s">
        <v>9</v>
      </c>
      <c r="Q39" s="17"/>
      <c r="R39" s="20"/>
      <c r="S39" s="191" t="s">
        <v>167</v>
      </c>
      <c r="T39" s="16"/>
      <c r="U39" s="17"/>
      <c r="V39" s="18" t="str">
        <f>M39</f>
        <v>진주</v>
      </c>
      <c r="W39" s="19" t="str">
        <f>N39</f>
        <v>⇒</v>
      </c>
      <c r="X39" s="18" t="str">
        <f>O39</f>
        <v>마산</v>
      </c>
      <c r="Y39" s="19" t="s">
        <v>9</v>
      </c>
      <c r="Z39" s="17"/>
      <c r="AA39" s="20"/>
      <c r="AB39" s="191" t="s">
        <v>167</v>
      </c>
      <c r="AC39" s="55"/>
      <c r="AD39" s="19"/>
      <c r="AE39" s="18" t="str">
        <f>D39</f>
        <v>진주</v>
      </c>
      <c r="AF39" s="19" t="str">
        <f>E39</f>
        <v>⇒</v>
      </c>
      <c r="AG39" s="18" t="str">
        <f>F39</f>
        <v>마산</v>
      </c>
      <c r="AH39" s="19" t="str">
        <f>G39</f>
        <v>구 간</v>
      </c>
      <c r="AI39" s="19"/>
      <c r="AJ39" s="56"/>
      <c r="AK39" s="1523" t="s">
        <v>167</v>
      </c>
      <c r="AL39" s="16"/>
      <c r="AM39" s="17"/>
      <c r="AN39" s="18" t="str">
        <f>D39</f>
        <v>진주</v>
      </c>
      <c r="AO39" s="173" t="str">
        <f>E39</f>
        <v>⇒</v>
      </c>
      <c r="AP39" s="18" t="str">
        <f>F39</f>
        <v>마산</v>
      </c>
      <c r="AQ39" s="19" t="s">
        <v>9</v>
      </c>
      <c r="AR39" s="17"/>
      <c r="AS39" s="20"/>
      <c r="AT39" s="1211" t="s">
        <v>167</v>
      </c>
      <c r="AU39" s="16"/>
      <c r="AV39" s="17"/>
      <c r="AW39" s="18" t="str">
        <f>AN39</f>
        <v>진주</v>
      </c>
      <c r="AX39" s="19" t="str">
        <f>AO39</f>
        <v>⇒</v>
      </c>
      <c r="AY39" s="18" t="str">
        <f>AP39</f>
        <v>마산</v>
      </c>
      <c r="AZ39" s="19" t="s">
        <v>9</v>
      </c>
      <c r="BA39" s="17"/>
      <c r="BB39" s="20"/>
      <c r="BC39" s="1211" t="s">
        <v>167</v>
      </c>
      <c r="BD39" s="16"/>
      <c r="BE39" s="17"/>
      <c r="BF39" s="18" t="str">
        <f>AW39</f>
        <v>진주</v>
      </c>
      <c r="BG39" s="19" t="str">
        <f>AX39</f>
        <v>⇒</v>
      </c>
      <c r="BH39" s="18" t="str">
        <f>AY39</f>
        <v>마산</v>
      </c>
      <c r="BI39" s="19" t="s">
        <v>9</v>
      </c>
      <c r="BJ39" s="17"/>
      <c r="BK39" s="20"/>
    </row>
    <row r="40" spans="1:63">
      <c r="A40" s="1524"/>
      <c r="B40" s="21" t="s">
        <v>168</v>
      </c>
      <c r="C40" s="1213"/>
      <c r="D40" s="1213"/>
      <c r="E40" s="1215" t="s">
        <v>169</v>
      </c>
      <c r="F40" s="25"/>
      <c r="G40" s="1213"/>
      <c r="H40" s="28"/>
      <c r="I40" s="1214"/>
      <c r="J40" s="1212"/>
      <c r="K40" s="21" t="s">
        <v>168</v>
      </c>
      <c r="L40" s="1213"/>
      <c r="M40" s="23"/>
      <c r="N40" s="24" t="str">
        <f>N5</f>
        <v>일산화탄소 (CO)</v>
      </c>
      <c r="O40" s="25"/>
      <c r="P40" s="23"/>
      <c r="Q40" s="25"/>
      <c r="R40" s="26"/>
      <c r="S40" s="192"/>
      <c r="T40" s="21" t="s">
        <v>168</v>
      </c>
      <c r="U40" s="1213"/>
      <c r="V40" s="23"/>
      <c r="W40" s="24" t="str">
        <f>W5</f>
        <v>질소산화물 (NOx)</v>
      </c>
      <c r="Y40" s="23"/>
      <c r="Z40" s="25"/>
      <c r="AA40" s="26"/>
      <c r="AB40" s="192"/>
      <c r="AC40" s="1529" t="str">
        <f>AC5</f>
        <v>방재</v>
      </c>
      <c r="AD40" s="1530"/>
      <c r="AE40" s="1530"/>
      <c r="AF40" s="1530"/>
      <c r="AG40" s="1530"/>
      <c r="AH40" s="1530"/>
      <c r="AI40" s="1530"/>
      <c r="AJ40" s="1531"/>
      <c r="AK40" s="1524"/>
      <c r="AL40" s="21" t="s">
        <v>168</v>
      </c>
      <c r="AM40" s="1213"/>
      <c r="AN40" s="23"/>
      <c r="AO40" s="23"/>
      <c r="AP40" s="24"/>
      <c r="AQ40" s="23"/>
      <c r="AR40" s="25"/>
      <c r="AS40" s="26"/>
      <c r="AT40" s="1212"/>
      <c r="AU40" s="1526" t="s">
        <v>517</v>
      </c>
      <c r="AV40" s="1527"/>
      <c r="AW40" s="1527"/>
      <c r="AX40" s="1527"/>
      <c r="AY40" s="1527"/>
      <c r="AZ40" s="1527"/>
      <c r="BA40" s="1527"/>
      <c r="BB40" s="1528"/>
      <c r="BC40" s="1212"/>
      <c r="BD40" s="1526" t="str">
        <f>BD5</f>
        <v>최소풍속</v>
      </c>
      <c r="BE40" s="1527"/>
      <c r="BF40" s="1527"/>
      <c r="BG40" s="1527"/>
      <c r="BH40" s="1527"/>
      <c r="BI40" s="1527"/>
      <c r="BJ40" s="1527"/>
      <c r="BK40" s="1528"/>
    </row>
    <row r="41" spans="1:63">
      <c r="A41" s="30" t="s">
        <v>106</v>
      </c>
      <c r="B41" s="184">
        <v>10</v>
      </c>
      <c r="C41" s="34">
        <v>20</v>
      </c>
      <c r="D41" s="34">
        <v>30</v>
      </c>
      <c r="E41" s="34">
        <v>40</v>
      </c>
      <c r="F41" s="34">
        <v>50</v>
      </c>
      <c r="G41" s="34">
        <v>60</v>
      </c>
      <c r="H41" s="34">
        <v>70</v>
      </c>
      <c r="I41" s="35">
        <v>80</v>
      </c>
      <c r="J41" s="30" t="s">
        <v>106</v>
      </c>
      <c r="K41" s="186">
        <v>10</v>
      </c>
      <c r="L41" s="32">
        <v>20</v>
      </c>
      <c r="M41" s="32">
        <v>30</v>
      </c>
      <c r="N41" s="32">
        <v>40</v>
      </c>
      <c r="O41" s="32">
        <v>50</v>
      </c>
      <c r="P41" s="32">
        <v>60</v>
      </c>
      <c r="Q41" s="32">
        <v>70</v>
      </c>
      <c r="R41" s="33">
        <v>80</v>
      </c>
      <c r="S41" s="254" t="s">
        <v>106</v>
      </c>
      <c r="T41" s="184">
        <v>10</v>
      </c>
      <c r="U41" s="32">
        <v>20</v>
      </c>
      <c r="V41" s="32">
        <v>30</v>
      </c>
      <c r="W41" s="32">
        <v>40</v>
      </c>
      <c r="X41" s="32">
        <v>50</v>
      </c>
      <c r="Y41" s="32">
        <v>60</v>
      </c>
      <c r="Z41" s="32">
        <v>70</v>
      </c>
      <c r="AA41" s="33">
        <v>80</v>
      </c>
      <c r="AB41" s="193" t="s">
        <v>106</v>
      </c>
      <c r="AC41" s="58">
        <f t="shared" ref="AC41:AJ41" si="104">B$41</f>
        <v>10</v>
      </c>
      <c r="AD41" s="59">
        <f t="shared" si="104"/>
        <v>20</v>
      </c>
      <c r="AE41" s="59">
        <f t="shared" si="104"/>
        <v>30</v>
      </c>
      <c r="AF41" s="59">
        <f t="shared" si="104"/>
        <v>40</v>
      </c>
      <c r="AG41" s="59">
        <f t="shared" si="104"/>
        <v>50</v>
      </c>
      <c r="AH41" s="137">
        <f t="shared" si="104"/>
        <v>60</v>
      </c>
      <c r="AI41" s="59">
        <f t="shared" si="104"/>
        <v>70</v>
      </c>
      <c r="AJ41" s="60">
        <f t="shared" si="104"/>
        <v>80</v>
      </c>
      <c r="AK41" s="30" t="s">
        <v>106</v>
      </c>
      <c r="AL41" s="184">
        <v>10</v>
      </c>
      <c r="AM41" s="32">
        <v>20</v>
      </c>
      <c r="AN41" s="32">
        <v>30</v>
      </c>
      <c r="AO41" s="32">
        <v>40</v>
      </c>
      <c r="AP41" s="32">
        <v>50</v>
      </c>
      <c r="AQ41" s="32">
        <v>60</v>
      </c>
      <c r="AR41" s="32">
        <v>70</v>
      </c>
      <c r="AS41" s="33">
        <v>80</v>
      </c>
      <c r="AT41" s="30" t="s">
        <v>106</v>
      </c>
      <c r="AU41" s="324">
        <v>10</v>
      </c>
      <c r="AV41" s="325">
        <v>20</v>
      </c>
      <c r="AW41" s="325">
        <v>30</v>
      </c>
      <c r="AX41" s="325">
        <v>40</v>
      </c>
      <c r="AY41" s="325">
        <v>50</v>
      </c>
      <c r="AZ41" s="325">
        <v>60</v>
      </c>
      <c r="BA41" s="325">
        <v>70</v>
      </c>
      <c r="BB41" s="326">
        <v>80</v>
      </c>
      <c r="BC41" s="30" t="s">
        <v>106</v>
      </c>
      <c r="BD41" s="324">
        <v>10</v>
      </c>
      <c r="BE41" s="325">
        <v>20</v>
      </c>
      <c r="BF41" s="325">
        <v>30</v>
      </c>
      <c r="BG41" s="325">
        <v>40</v>
      </c>
      <c r="BH41" s="325">
        <v>50</v>
      </c>
      <c r="BI41" s="325">
        <v>60</v>
      </c>
      <c r="BJ41" s="325">
        <v>70</v>
      </c>
      <c r="BK41" s="326">
        <v>80</v>
      </c>
    </row>
    <row r="42" spans="1:63">
      <c r="A42" s="36" t="s">
        <v>107</v>
      </c>
      <c r="B42" s="44">
        <f t="shared" ref="B42:I42" si="105">ROUND(B41/3.6,2)</f>
        <v>2.78</v>
      </c>
      <c r="C42" s="40">
        <f t="shared" si="105"/>
        <v>5.56</v>
      </c>
      <c r="D42" s="40">
        <f t="shared" si="105"/>
        <v>8.33</v>
      </c>
      <c r="E42" s="40">
        <f t="shared" si="105"/>
        <v>11.11</v>
      </c>
      <c r="F42" s="40">
        <f t="shared" si="105"/>
        <v>13.89</v>
      </c>
      <c r="G42" s="139">
        <f t="shared" si="105"/>
        <v>16.670000000000002</v>
      </c>
      <c r="H42" s="40">
        <f t="shared" si="105"/>
        <v>19.440000000000001</v>
      </c>
      <c r="I42" s="41">
        <f t="shared" si="105"/>
        <v>22.22</v>
      </c>
      <c r="J42" s="36" t="s">
        <v>107</v>
      </c>
      <c r="K42" s="62">
        <f t="shared" ref="K42:R42" si="106">ROUND(K41/3.6,2)</f>
        <v>2.78</v>
      </c>
      <c r="L42" s="38">
        <f t="shared" si="106"/>
        <v>5.56</v>
      </c>
      <c r="M42" s="38">
        <f t="shared" si="106"/>
        <v>8.33</v>
      </c>
      <c r="N42" s="38">
        <f t="shared" si="106"/>
        <v>11.11</v>
      </c>
      <c r="O42" s="38">
        <f t="shared" si="106"/>
        <v>13.89</v>
      </c>
      <c r="P42" s="38">
        <f t="shared" si="106"/>
        <v>16.670000000000002</v>
      </c>
      <c r="Q42" s="38">
        <f t="shared" si="106"/>
        <v>19.440000000000001</v>
      </c>
      <c r="R42" s="39">
        <f t="shared" si="106"/>
        <v>22.22</v>
      </c>
      <c r="S42" s="181" t="s">
        <v>107</v>
      </c>
      <c r="T42" s="44">
        <f t="shared" ref="T42:AA42" si="107">ROUND(T41/3.6,2)</f>
        <v>2.78</v>
      </c>
      <c r="U42" s="38">
        <f t="shared" si="107"/>
        <v>5.56</v>
      </c>
      <c r="V42" s="38">
        <f t="shared" si="107"/>
        <v>8.33</v>
      </c>
      <c r="W42" s="38">
        <f t="shared" si="107"/>
        <v>11.11</v>
      </c>
      <c r="X42" s="38">
        <f t="shared" si="107"/>
        <v>13.89</v>
      </c>
      <c r="Y42" s="38">
        <f t="shared" si="107"/>
        <v>16.670000000000002</v>
      </c>
      <c r="Z42" s="38">
        <f t="shared" si="107"/>
        <v>19.440000000000001</v>
      </c>
      <c r="AA42" s="39">
        <f t="shared" si="107"/>
        <v>22.22</v>
      </c>
      <c r="AB42" s="181" t="s">
        <v>121</v>
      </c>
      <c r="AC42" s="893">
        <f>AC7</f>
        <v>2.25</v>
      </c>
      <c r="AD42" s="38">
        <f t="shared" ref="AD42:AJ42" si="108">AC42</f>
        <v>2.25</v>
      </c>
      <c r="AE42" s="38">
        <f t="shared" si="108"/>
        <v>2.25</v>
      </c>
      <c r="AF42" s="38">
        <f t="shared" si="108"/>
        <v>2.25</v>
      </c>
      <c r="AG42" s="38">
        <f t="shared" si="108"/>
        <v>2.25</v>
      </c>
      <c r="AH42" s="63">
        <f t="shared" si="108"/>
        <v>2.25</v>
      </c>
      <c r="AI42" s="38">
        <f t="shared" si="108"/>
        <v>2.25</v>
      </c>
      <c r="AJ42" s="39">
        <f t="shared" si="108"/>
        <v>2.25</v>
      </c>
      <c r="AK42" s="164" t="s">
        <v>246</v>
      </c>
      <c r="AL42" s="40">
        <f t="shared" ref="AL42:AS42" si="109">B67</f>
        <v>1</v>
      </c>
      <c r="AM42" s="40">
        <f t="shared" si="109"/>
        <v>0</v>
      </c>
      <c r="AN42" s="40">
        <f t="shared" si="109"/>
        <v>0</v>
      </c>
      <c r="AO42" s="40">
        <f t="shared" si="109"/>
        <v>0</v>
      </c>
      <c r="AP42" s="40">
        <f t="shared" si="109"/>
        <v>0</v>
      </c>
      <c r="AQ42" s="40">
        <f t="shared" si="109"/>
        <v>0</v>
      </c>
      <c r="AR42" s="139">
        <f t="shared" si="109"/>
        <v>0</v>
      </c>
      <c r="AS42" s="41">
        <f t="shared" si="109"/>
        <v>0</v>
      </c>
      <c r="AT42" s="36" t="s">
        <v>107</v>
      </c>
      <c r="AU42" s="327">
        <f t="shared" ref="AU42:BB42" si="110">ROUND(AU41/3.6,2)</f>
        <v>2.78</v>
      </c>
      <c r="AV42" s="328">
        <f t="shared" si="110"/>
        <v>5.56</v>
      </c>
      <c r="AW42" s="328">
        <f t="shared" si="110"/>
        <v>8.33</v>
      </c>
      <c r="AX42" s="328">
        <f t="shared" si="110"/>
        <v>11.11</v>
      </c>
      <c r="AY42" s="328">
        <f t="shared" si="110"/>
        <v>13.89</v>
      </c>
      <c r="AZ42" s="328">
        <f t="shared" si="110"/>
        <v>16.670000000000002</v>
      </c>
      <c r="BA42" s="328">
        <f t="shared" si="110"/>
        <v>19.440000000000001</v>
      </c>
      <c r="BB42" s="329">
        <f t="shared" si="110"/>
        <v>22.22</v>
      </c>
      <c r="BC42" s="36" t="s">
        <v>107</v>
      </c>
      <c r="BD42" s="327">
        <f t="shared" ref="BD42:BK42" si="111">ROUND(BD41/3.6,2)</f>
        <v>2.78</v>
      </c>
      <c r="BE42" s="328">
        <f t="shared" si="111"/>
        <v>5.56</v>
      </c>
      <c r="BF42" s="328">
        <f t="shared" si="111"/>
        <v>8.33</v>
      </c>
      <c r="BG42" s="328">
        <f t="shared" si="111"/>
        <v>11.11</v>
      </c>
      <c r="BH42" s="328">
        <f t="shared" si="111"/>
        <v>13.89</v>
      </c>
      <c r="BI42" s="328">
        <f t="shared" si="111"/>
        <v>16.670000000000002</v>
      </c>
      <c r="BJ42" s="328">
        <f t="shared" si="111"/>
        <v>19.440000000000001</v>
      </c>
      <c r="BK42" s="329">
        <f t="shared" si="111"/>
        <v>22.22</v>
      </c>
    </row>
    <row r="43" spans="1:63">
      <c r="A43" s="36" t="s">
        <v>108</v>
      </c>
      <c r="B43" s="180">
        <f>'환기량 산정'!B1528</f>
        <v>10</v>
      </c>
      <c r="C43" s="42">
        <f>'환기량 산정'!C1528</f>
        <v>16</v>
      </c>
      <c r="D43" s="42">
        <f>'환기량 산정'!D1528</f>
        <v>17</v>
      </c>
      <c r="E43" s="42">
        <f>'환기량 산정'!E1528</f>
        <v>18</v>
      </c>
      <c r="F43" s="42">
        <f>'환기량 산정'!F1528</f>
        <v>25</v>
      </c>
      <c r="G43" s="61">
        <f>'환기량 산정'!G1528</f>
        <v>25</v>
      </c>
      <c r="H43" s="42">
        <f>'환기량 산정'!H1528</f>
        <v>25</v>
      </c>
      <c r="I43" s="43">
        <f>'환기량 산정'!I1528</f>
        <v>26</v>
      </c>
      <c r="J43" s="36" t="s">
        <v>108</v>
      </c>
      <c r="K43" s="187">
        <f>'환기량 산정'!B1530</f>
        <v>29</v>
      </c>
      <c r="L43" s="42">
        <f>'환기량 산정'!C1530</f>
        <v>28</v>
      </c>
      <c r="M43" s="42">
        <f>'환기량 산정'!D1530</f>
        <v>21</v>
      </c>
      <c r="N43" s="42">
        <f>'환기량 산정'!E1530</f>
        <v>19</v>
      </c>
      <c r="O43" s="42">
        <f>'환기량 산정'!F1530</f>
        <v>18</v>
      </c>
      <c r="P43" s="42">
        <f>'환기량 산정'!G1530</f>
        <v>17</v>
      </c>
      <c r="Q43" s="42">
        <f>'환기량 산정'!H1530</f>
        <v>17</v>
      </c>
      <c r="R43" s="43">
        <f>'환기량 산정'!I1530</f>
        <v>19</v>
      </c>
      <c r="S43" s="181" t="s">
        <v>108</v>
      </c>
      <c r="T43" s="180">
        <f>'환기량 산정'!B1532</f>
        <v>5</v>
      </c>
      <c r="U43" s="42">
        <f>'환기량 산정'!C1532</f>
        <v>4</v>
      </c>
      <c r="V43" s="42">
        <f>'환기량 산정'!D1532</f>
        <v>4</v>
      </c>
      <c r="W43" s="42">
        <f>'환기량 산정'!E1532</f>
        <v>3</v>
      </c>
      <c r="X43" s="42">
        <f>'환기량 산정'!F1532</f>
        <v>3</v>
      </c>
      <c r="Y43" s="42">
        <f>'환기량 산정'!G1532</f>
        <v>3</v>
      </c>
      <c r="Z43" s="42">
        <f>'환기량 산정'!H1532</f>
        <v>4</v>
      </c>
      <c r="AA43" s="43">
        <f>'환기량 산정'!I1532</f>
        <v>4</v>
      </c>
      <c r="AB43" s="181" t="s">
        <v>111</v>
      </c>
      <c r="AC43" s="44">
        <f>'환기량 산정'!B1521</f>
        <v>2119</v>
      </c>
      <c r="AD43" s="38">
        <f>'환기량 산정'!C1521</f>
        <v>3072</v>
      </c>
      <c r="AE43" s="38">
        <f>'환기량 산정'!D1521</f>
        <v>3558</v>
      </c>
      <c r="AF43" s="38">
        <f>'환기량 산정'!E1521</f>
        <v>3733</v>
      </c>
      <c r="AG43" s="38">
        <f>'환기량 산정'!F1521</f>
        <v>3888</v>
      </c>
      <c r="AH43" s="38">
        <f>'환기량 산정'!G1521</f>
        <v>3850</v>
      </c>
      <c r="AI43" s="38">
        <f>'환기량 산정'!H1521</f>
        <v>3811</v>
      </c>
      <c r="AJ43" s="39">
        <f>'환기량 산정'!I1521</f>
        <v>3888</v>
      </c>
      <c r="AK43" s="69" t="s">
        <v>247</v>
      </c>
      <c r="AL43" s="44">
        <f t="shared" ref="AL43:AS43" si="112">K67</f>
        <v>1</v>
      </c>
      <c r="AM43" s="38">
        <f t="shared" si="112"/>
        <v>0</v>
      </c>
      <c r="AN43" s="38">
        <f t="shared" si="112"/>
        <v>0</v>
      </c>
      <c r="AO43" s="38">
        <f t="shared" si="112"/>
        <v>0</v>
      </c>
      <c r="AP43" s="38">
        <f t="shared" si="112"/>
        <v>0</v>
      </c>
      <c r="AQ43" s="38">
        <f t="shared" si="112"/>
        <v>0</v>
      </c>
      <c r="AR43" s="63">
        <f t="shared" si="112"/>
        <v>0</v>
      </c>
      <c r="AS43" s="39">
        <f t="shared" si="112"/>
        <v>0</v>
      </c>
      <c r="AT43" s="36" t="s">
        <v>108</v>
      </c>
      <c r="AU43" s="330">
        <f>'환기량 산정'!H1541</f>
        <v>45</v>
      </c>
      <c r="AV43" s="331">
        <f t="shared" ref="AV43:BB43" si="113">AU43</f>
        <v>45</v>
      </c>
      <c r="AW43" s="331">
        <f t="shared" si="113"/>
        <v>45</v>
      </c>
      <c r="AX43" s="331">
        <f t="shared" si="113"/>
        <v>45</v>
      </c>
      <c r="AY43" s="331">
        <f t="shared" si="113"/>
        <v>45</v>
      </c>
      <c r="AZ43" s="331">
        <f t="shared" si="113"/>
        <v>45</v>
      </c>
      <c r="BA43" s="331">
        <f t="shared" si="113"/>
        <v>45</v>
      </c>
      <c r="BB43" s="343">
        <f t="shared" si="113"/>
        <v>45</v>
      </c>
      <c r="BC43" s="36" t="s">
        <v>108</v>
      </c>
      <c r="BD43" s="330">
        <f>'환기량 산정'!H1546</f>
        <v>0</v>
      </c>
      <c r="BE43" s="331">
        <f t="shared" ref="BE43:BK43" si="114">BD43</f>
        <v>0</v>
      </c>
      <c r="BF43" s="331">
        <f t="shared" si="114"/>
        <v>0</v>
      </c>
      <c r="BG43" s="331">
        <f t="shared" si="114"/>
        <v>0</v>
      </c>
      <c r="BH43" s="331">
        <f t="shared" si="114"/>
        <v>0</v>
      </c>
      <c r="BI43" s="331">
        <f t="shared" si="114"/>
        <v>0</v>
      </c>
      <c r="BJ43" s="331">
        <f t="shared" si="114"/>
        <v>0</v>
      </c>
      <c r="BK43" s="343">
        <f t="shared" si="114"/>
        <v>0</v>
      </c>
    </row>
    <row r="44" spans="1:63">
      <c r="A44" s="36" t="s">
        <v>109</v>
      </c>
      <c r="B44" s="44">
        <f t="shared" ref="B44:I44" si="115">ROUND(B43/B47,4)</f>
        <v>0.1704</v>
      </c>
      <c r="C44" s="38">
        <f t="shared" si="115"/>
        <v>0.2727</v>
      </c>
      <c r="D44" s="38">
        <f t="shared" si="115"/>
        <v>0.28970000000000001</v>
      </c>
      <c r="E44" s="38">
        <f t="shared" si="115"/>
        <v>0.30680000000000002</v>
      </c>
      <c r="F44" s="38">
        <f t="shared" si="115"/>
        <v>0.42609999999999998</v>
      </c>
      <c r="G44" s="63">
        <f t="shared" si="115"/>
        <v>0.42609999999999998</v>
      </c>
      <c r="H44" s="38">
        <f t="shared" si="115"/>
        <v>0.42609999999999998</v>
      </c>
      <c r="I44" s="39">
        <f t="shared" si="115"/>
        <v>0.44309999999999999</v>
      </c>
      <c r="J44" s="36" t="s">
        <v>109</v>
      </c>
      <c r="K44" s="62">
        <f t="shared" ref="K44:R44" si="116">ROUND(K43/K47,4)</f>
        <v>0.49430000000000002</v>
      </c>
      <c r="L44" s="38">
        <f t="shared" si="116"/>
        <v>0.47720000000000001</v>
      </c>
      <c r="M44" s="38">
        <f t="shared" si="116"/>
        <v>0.3579</v>
      </c>
      <c r="N44" s="38">
        <f t="shared" si="116"/>
        <v>0.32379999999999998</v>
      </c>
      <c r="O44" s="38">
        <f t="shared" si="116"/>
        <v>0.30680000000000002</v>
      </c>
      <c r="P44" s="38">
        <f t="shared" si="116"/>
        <v>0.28970000000000001</v>
      </c>
      <c r="Q44" s="38">
        <f t="shared" si="116"/>
        <v>0.28970000000000001</v>
      </c>
      <c r="R44" s="39">
        <f t="shared" si="116"/>
        <v>0.32379999999999998</v>
      </c>
      <c r="S44" s="181" t="s">
        <v>109</v>
      </c>
      <c r="T44" s="44">
        <f t="shared" ref="T44:AA44" si="117">ROUND(T43/T47,4)</f>
        <v>8.5199999999999998E-2</v>
      </c>
      <c r="U44" s="38">
        <f t="shared" si="117"/>
        <v>6.8199999999999997E-2</v>
      </c>
      <c r="V44" s="38">
        <f t="shared" si="117"/>
        <v>6.8199999999999997E-2</v>
      </c>
      <c r="W44" s="38">
        <f t="shared" si="117"/>
        <v>5.11E-2</v>
      </c>
      <c r="X44" s="38">
        <f t="shared" si="117"/>
        <v>5.11E-2</v>
      </c>
      <c r="Y44" s="38">
        <f t="shared" si="117"/>
        <v>5.11E-2</v>
      </c>
      <c r="Z44" s="38">
        <f t="shared" si="117"/>
        <v>6.8199999999999997E-2</v>
      </c>
      <c r="AA44" s="39">
        <f t="shared" si="117"/>
        <v>6.8199999999999997E-2</v>
      </c>
      <c r="AB44" s="36" t="s">
        <v>535</v>
      </c>
      <c r="AC44" s="37">
        <f>차량정체길이산정!B18</f>
        <v>260</v>
      </c>
      <c r="AD44" s="38">
        <f>차량정체길이산정!C18</f>
        <v>260</v>
      </c>
      <c r="AE44" s="38">
        <f>차량정체길이산정!D18</f>
        <v>260</v>
      </c>
      <c r="AF44" s="38">
        <f>차량정체길이산정!E18</f>
        <v>260</v>
      </c>
      <c r="AG44" s="38">
        <f>차량정체길이산정!F18</f>
        <v>260</v>
      </c>
      <c r="AH44" s="63">
        <f>차량정체길이산정!G18</f>
        <v>251</v>
      </c>
      <c r="AI44" s="38">
        <f>차량정체길이산정!H18</f>
        <v>240</v>
      </c>
      <c r="AJ44" s="39">
        <f>차량정체길이산정!I18</f>
        <v>239</v>
      </c>
      <c r="AK44" s="69">
        <f>차량정체길이산정!J18</f>
        <v>0</v>
      </c>
      <c r="AL44" s="44">
        <f>차량정체길이산정!K18</f>
        <v>0</v>
      </c>
      <c r="AM44" s="38">
        <f>차량정체길이산정!L18</f>
        <v>0</v>
      </c>
      <c r="AN44" s="38">
        <f>차량정체길이산정!M18</f>
        <v>0</v>
      </c>
      <c r="AO44" s="38">
        <f>차량정체길이산정!N18</f>
        <v>0</v>
      </c>
      <c r="AP44" s="38">
        <f>차량정체길이산정!O18</f>
        <v>0</v>
      </c>
      <c r="AQ44" s="38">
        <f>차량정체길이산정!P18</f>
        <v>0</v>
      </c>
      <c r="AR44" s="63">
        <f>차량정체길이산정!Q18</f>
        <v>0</v>
      </c>
      <c r="AS44" s="39">
        <f>차량정체길이산정!R18</f>
        <v>0</v>
      </c>
      <c r="AT44" s="36">
        <f>차량정체길이산정!S18</f>
        <v>0</v>
      </c>
      <c r="AU44" s="327">
        <f>차량정체길이산정!T18</f>
        <v>0</v>
      </c>
      <c r="AV44" s="328">
        <f>차량정체길이산정!U18</f>
        <v>0</v>
      </c>
      <c r="AW44" s="328">
        <f>차량정체길이산정!V18</f>
        <v>0</v>
      </c>
      <c r="AX44" s="328">
        <f>차량정체길이산정!W18</f>
        <v>0</v>
      </c>
      <c r="AY44" s="328">
        <f>차량정체길이산정!X18</f>
        <v>0</v>
      </c>
      <c r="AZ44" s="328">
        <f>차량정체길이산정!Y18</f>
        <v>0</v>
      </c>
      <c r="BA44" s="328">
        <f>차량정체길이산정!Z18</f>
        <v>0</v>
      </c>
      <c r="BB44" s="329">
        <f>차량정체길이산정!AA18</f>
        <v>0</v>
      </c>
      <c r="BC44" s="36">
        <f>차량정체길이산정!AB18</f>
        <v>0</v>
      </c>
      <c r="BD44" s="327">
        <f>차량정체길이산정!AC18</f>
        <v>0</v>
      </c>
      <c r="BE44" s="328">
        <f>차량정체길이산정!AD18</f>
        <v>0</v>
      </c>
      <c r="BF44" s="328">
        <f>차량정체길이산정!AE18</f>
        <v>0</v>
      </c>
      <c r="BG44" s="328">
        <f>차량정체길이산정!AF18</f>
        <v>0</v>
      </c>
      <c r="BH44" s="328">
        <f>차량정체길이산정!AG18</f>
        <v>0</v>
      </c>
      <c r="BI44" s="328">
        <f>차량정체길이산정!AH18</f>
        <v>0</v>
      </c>
      <c r="BJ44" s="328">
        <f>차량정체길이산정!AI18</f>
        <v>0</v>
      </c>
      <c r="BK44" s="329">
        <f>차량정체길이산정!AJ18</f>
        <v>0</v>
      </c>
    </row>
    <row r="45" spans="1:63" ht="13.5" customHeight="1">
      <c r="A45" s="36" t="s">
        <v>110</v>
      </c>
      <c r="B45" s="360">
        <f>'환기량 산정'!I1490</f>
        <v>2.5</v>
      </c>
      <c r="C45" s="361">
        <f t="shared" ref="C45:I45" si="118">B45</f>
        <v>2.5</v>
      </c>
      <c r="D45" s="361">
        <f t="shared" si="118"/>
        <v>2.5</v>
      </c>
      <c r="E45" s="361">
        <f t="shared" si="118"/>
        <v>2.5</v>
      </c>
      <c r="F45" s="361">
        <f t="shared" si="118"/>
        <v>2.5</v>
      </c>
      <c r="G45" s="362">
        <f t="shared" si="118"/>
        <v>2.5</v>
      </c>
      <c r="H45" s="361">
        <f t="shared" si="118"/>
        <v>2.5</v>
      </c>
      <c r="I45" s="363">
        <f t="shared" si="118"/>
        <v>2.5</v>
      </c>
      <c r="J45" s="36" t="s">
        <v>110</v>
      </c>
      <c r="K45" s="364">
        <f>K10</f>
        <v>2.5</v>
      </c>
      <c r="L45" s="361">
        <f t="shared" ref="L45:R45" si="119">K45</f>
        <v>2.5</v>
      </c>
      <c r="M45" s="361">
        <f t="shared" si="119"/>
        <v>2.5</v>
      </c>
      <c r="N45" s="361">
        <f t="shared" si="119"/>
        <v>2.5</v>
      </c>
      <c r="O45" s="361">
        <f t="shared" si="119"/>
        <v>2.5</v>
      </c>
      <c r="P45" s="361">
        <f t="shared" si="119"/>
        <v>2.5</v>
      </c>
      <c r="Q45" s="361">
        <f t="shared" si="119"/>
        <v>2.5</v>
      </c>
      <c r="R45" s="363">
        <f t="shared" si="119"/>
        <v>2.5</v>
      </c>
      <c r="S45" s="181" t="s">
        <v>110</v>
      </c>
      <c r="T45" s="360">
        <f>T10</f>
        <v>2.5</v>
      </c>
      <c r="U45" s="361">
        <f t="shared" ref="U45:AA45" si="120">T45</f>
        <v>2.5</v>
      </c>
      <c r="V45" s="361">
        <f t="shared" si="120"/>
        <v>2.5</v>
      </c>
      <c r="W45" s="361">
        <f t="shared" si="120"/>
        <v>2.5</v>
      </c>
      <c r="X45" s="361">
        <f t="shared" si="120"/>
        <v>2.5</v>
      </c>
      <c r="Y45" s="361">
        <f t="shared" si="120"/>
        <v>2.5</v>
      </c>
      <c r="Z45" s="361">
        <f t="shared" si="120"/>
        <v>2.5</v>
      </c>
      <c r="AA45" s="363">
        <f t="shared" si="120"/>
        <v>2.5</v>
      </c>
      <c r="AB45" s="181"/>
      <c r="AC45" s="37"/>
      <c r="AD45" s="38"/>
      <c r="AE45" s="38"/>
      <c r="AF45" s="38"/>
      <c r="AG45" s="38"/>
      <c r="AH45" s="63"/>
      <c r="AI45" s="38"/>
      <c r="AJ45" s="39"/>
      <c r="AK45" s="166" t="s">
        <v>425</v>
      </c>
      <c r="AL45" s="355">
        <f t="shared" ref="AL45:AS45" si="121">AU67</f>
        <v>1</v>
      </c>
      <c r="AM45" s="65">
        <f t="shared" si="121"/>
        <v>0</v>
      </c>
      <c r="AN45" s="65">
        <f t="shared" si="121"/>
        <v>0</v>
      </c>
      <c r="AO45" s="65">
        <f t="shared" si="121"/>
        <v>0</v>
      </c>
      <c r="AP45" s="65">
        <f t="shared" si="121"/>
        <v>0</v>
      </c>
      <c r="AQ45" s="65">
        <f t="shared" si="121"/>
        <v>0</v>
      </c>
      <c r="AR45" s="65">
        <f t="shared" si="121"/>
        <v>0</v>
      </c>
      <c r="AS45" s="66">
        <f t="shared" si="121"/>
        <v>0</v>
      </c>
      <c r="AT45" s="36" t="s">
        <v>110</v>
      </c>
      <c r="AU45" s="357">
        <f>AU10</f>
        <v>2.5</v>
      </c>
      <c r="AV45" s="358">
        <f t="shared" ref="AV45:BB45" si="122">AU45</f>
        <v>2.5</v>
      </c>
      <c r="AW45" s="358">
        <f t="shared" si="122"/>
        <v>2.5</v>
      </c>
      <c r="AX45" s="358">
        <f t="shared" si="122"/>
        <v>2.5</v>
      </c>
      <c r="AY45" s="358">
        <f t="shared" si="122"/>
        <v>2.5</v>
      </c>
      <c r="AZ45" s="358">
        <f t="shared" si="122"/>
        <v>2.5</v>
      </c>
      <c r="BA45" s="358">
        <f t="shared" si="122"/>
        <v>2.5</v>
      </c>
      <c r="BB45" s="359">
        <f t="shared" si="122"/>
        <v>2.5</v>
      </c>
      <c r="BC45" s="36" t="s">
        <v>110</v>
      </c>
      <c r="BD45" s="357">
        <f>BD10</f>
        <v>2.5</v>
      </c>
      <c r="BE45" s="358">
        <f t="shared" ref="BE45:BK45" si="123">BD45</f>
        <v>2.5</v>
      </c>
      <c r="BF45" s="358">
        <f t="shared" si="123"/>
        <v>2.5</v>
      </c>
      <c r="BG45" s="358">
        <f t="shared" si="123"/>
        <v>2.5</v>
      </c>
      <c r="BH45" s="358">
        <f t="shared" si="123"/>
        <v>2.5</v>
      </c>
      <c r="BI45" s="358">
        <f t="shared" si="123"/>
        <v>2.5</v>
      </c>
      <c r="BJ45" s="358">
        <f t="shared" si="123"/>
        <v>2.5</v>
      </c>
      <c r="BK45" s="359">
        <f t="shared" si="123"/>
        <v>2.5</v>
      </c>
    </row>
    <row r="46" spans="1:63" ht="15.75">
      <c r="A46" s="36" t="s">
        <v>111</v>
      </c>
      <c r="B46" s="44">
        <f>'환기량 산정'!B1521</f>
        <v>2119</v>
      </c>
      <c r="C46" s="38">
        <f>'환기량 산정'!C1521</f>
        <v>3072</v>
      </c>
      <c r="D46" s="38">
        <f>'환기량 산정'!D1521</f>
        <v>3558</v>
      </c>
      <c r="E46" s="38">
        <f>'환기량 산정'!E1521</f>
        <v>3733</v>
      </c>
      <c r="F46" s="38">
        <f>'환기량 산정'!F1521</f>
        <v>3888</v>
      </c>
      <c r="G46" s="63">
        <f>'환기량 산정'!G1521</f>
        <v>3850</v>
      </c>
      <c r="H46" s="38">
        <f>'환기량 산정'!H1521</f>
        <v>3811</v>
      </c>
      <c r="I46" s="39">
        <f>'환기량 산정'!I1521</f>
        <v>3888</v>
      </c>
      <c r="J46" s="36" t="s">
        <v>111</v>
      </c>
      <c r="K46" s="62">
        <f t="shared" ref="K46:R46" si="124">B46</f>
        <v>2119</v>
      </c>
      <c r="L46" s="38">
        <f t="shared" si="124"/>
        <v>3072</v>
      </c>
      <c r="M46" s="38">
        <f t="shared" si="124"/>
        <v>3558</v>
      </c>
      <c r="N46" s="38">
        <f t="shared" si="124"/>
        <v>3733</v>
      </c>
      <c r="O46" s="38">
        <f t="shared" si="124"/>
        <v>3888</v>
      </c>
      <c r="P46" s="38">
        <f t="shared" si="124"/>
        <v>3850</v>
      </c>
      <c r="Q46" s="38">
        <f t="shared" si="124"/>
        <v>3811</v>
      </c>
      <c r="R46" s="39">
        <f t="shared" si="124"/>
        <v>3888</v>
      </c>
      <c r="S46" s="181" t="s">
        <v>111</v>
      </c>
      <c r="T46" s="44">
        <f t="shared" ref="T46:AA46" si="125">K46</f>
        <v>2119</v>
      </c>
      <c r="U46" s="38">
        <f t="shared" si="125"/>
        <v>3072</v>
      </c>
      <c r="V46" s="38">
        <f t="shared" si="125"/>
        <v>3558</v>
      </c>
      <c r="W46" s="38">
        <f t="shared" si="125"/>
        <v>3733</v>
      </c>
      <c r="X46" s="38">
        <f t="shared" si="125"/>
        <v>3888</v>
      </c>
      <c r="Y46" s="38">
        <f t="shared" si="125"/>
        <v>3850</v>
      </c>
      <c r="Z46" s="38">
        <f t="shared" si="125"/>
        <v>3811</v>
      </c>
      <c r="AA46" s="39">
        <f t="shared" si="125"/>
        <v>3888</v>
      </c>
      <c r="AB46" s="181" t="s">
        <v>154</v>
      </c>
      <c r="AC46" s="37">
        <f t="shared" ref="AC46:AJ46" si="126">ROUND((1+B51+B52*B48/B53)*B49/2*AC42^2,4)</f>
        <v>13.5604</v>
      </c>
      <c r="AD46" s="38">
        <f t="shared" si="126"/>
        <v>13.5604</v>
      </c>
      <c r="AE46" s="38">
        <f t="shared" si="126"/>
        <v>13.5604</v>
      </c>
      <c r="AF46" s="38">
        <f t="shared" si="126"/>
        <v>13.5604</v>
      </c>
      <c r="AG46" s="38">
        <f t="shared" si="126"/>
        <v>13.5604</v>
      </c>
      <c r="AH46" s="63">
        <f t="shared" si="126"/>
        <v>13.5604</v>
      </c>
      <c r="AI46" s="38">
        <f t="shared" si="126"/>
        <v>13.5604</v>
      </c>
      <c r="AJ46" s="39">
        <f t="shared" si="126"/>
        <v>13.5604</v>
      </c>
      <c r="AK46" s="166" t="s">
        <v>249</v>
      </c>
      <c r="AL46" s="67">
        <f t="shared" ref="AL46:AS46" si="127">AC55</f>
        <v>8</v>
      </c>
      <c r="AM46" s="65">
        <f t="shared" si="127"/>
        <v>8</v>
      </c>
      <c r="AN46" s="65">
        <f t="shared" si="127"/>
        <v>8</v>
      </c>
      <c r="AO46" s="65">
        <f t="shared" si="127"/>
        <v>8</v>
      </c>
      <c r="AP46" s="65">
        <f t="shared" si="127"/>
        <v>8</v>
      </c>
      <c r="AQ46" s="65">
        <f t="shared" si="127"/>
        <v>8</v>
      </c>
      <c r="AR46" s="65">
        <f t="shared" si="127"/>
        <v>8</v>
      </c>
      <c r="AS46" s="66">
        <f t="shared" si="127"/>
        <v>8</v>
      </c>
      <c r="AT46" s="36" t="s">
        <v>111</v>
      </c>
      <c r="AU46" s="327">
        <f t="shared" ref="AU46:BB46" si="128">B46</f>
        <v>2119</v>
      </c>
      <c r="AV46" s="332">
        <f t="shared" si="128"/>
        <v>3072</v>
      </c>
      <c r="AW46" s="332">
        <f t="shared" si="128"/>
        <v>3558</v>
      </c>
      <c r="AX46" s="332">
        <f t="shared" si="128"/>
        <v>3733</v>
      </c>
      <c r="AY46" s="332">
        <f t="shared" si="128"/>
        <v>3888</v>
      </c>
      <c r="AZ46" s="332">
        <f t="shared" si="128"/>
        <v>3850</v>
      </c>
      <c r="BA46" s="332">
        <f t="shared" si="128"/>
        <v>3811</v>
      </c>
      <c r="BB46" s="338">
        <f t="shared" si="128"/>
        <v>3888</v>
      </c>
      <c r="BC46" s="36" t="s">
        <v>111</v>
      </c>
      <c r="BD46" s="327">
        <f t="shared" ref="BD46:BK46" si="129">K46</f>
        <v>2119</v>
      </c>
      <c r="BE46" s="332">
        <f t="shared" si="129"/>
        <v>3072</v>
      </c>
      <c r="BF46" s="332">
        <f t="shared" si="129"/>
        <v>3558</v>
      </c>
      <c r="BG46" s="332">
        <f t="shared" si="129"/>
        <v>3733</v>
      </c>
      <c r="BH46" s="332">
        <f t="shared" si="129"/>
        <v>3888</v>
      </c>
      <c r="BI46" s="332">
        <f t="shared" si="129"/>
        <v>3850</v>
      </c>
      <c r="BJ46" s="332">
        <f t="shared" si="129"/>
        <v>3811</v>
      </c>
      <c r="BK46" s="338">
        <f t="shared" si="129"/>
        <v>3888</v>
      </c>
    </row>
    <row r="47" spans="1:63" ht="15.75">
      <c r="A47" s="36" t="s">
        <v>90</v>
      </c>
      <c r="B47" s="44">
        <f>'환기량 산정'!I1488</f>
        <v>58.672159999999998</v>
      </c>
      <c r="C47" s="38">
        <f t="shared" ref="C47:I47" si="130">B47</f>
        <v>58.672159999999998</v>
      </c>
      <c r="D47" s="38">
        <f t="shared" si="130"/>
        <v>58.672159999999998</v>
      </c>
      <c r="E47" s="38">
        <f t="shared" si="130"/>
        <v>58.672159999999998</v>
      </c>
      <c r="F47" s="38">
        <f t="shared" si="130"/>
        <v>58.672159999999998</v>
      </c>
      <c r="G47" s="63">
        <f t="shared" si="130"/>
        <v>58.672159999999998</v>
      </c>
      <c r="H47" s="38">
        <f t="shared" si="130"/>
        <v>58.672159999999998</v>
      </c>
      <c r="I47" s="39">
        <f t="shared" si="130"/>
        <v>58.672159999999998</v>
      </c>
      <c r="J47" s="36" t="s">
        <v>90</v>
      </c>
      <c r="K47" s="62">
        <f>B47</f>
        <v>58.672159999999998</v>
      </c>
      <c r="L47" s="38">
        <f t="shared" ref="L47:R47" si="131">K47</f>
        <v>58.672159999999998</v>
      </c>
      <c r="M47" s="38">
        <f t="shared" si="131"/>
        <v>58.672159999999998</v>
      </c>
      <c r="N47" s="38">
        <f t="shared" si="131"/>
        <v>58.672159999999998</v>
      </c>
      <c r="O47" s="38">
        <f t="shared" si="131"/>
        <v>58.672159999999998</v>
      </c>
      <c r="P47" s="38">
        <f t="shared" si="131"/>
        <v>58.672159999999998</v>
      </c>
      <c r="Q47" s="38">
        <f t="shared" si="131"/>
        <v>58.672159999999998</v>
      </c>
      <c r="R47" s="39">
        <f t="shared" si="131"/>
        <v>58.672159999999998</v>
      </c>
      <c r="S47" s="181" t="s">
        <v>90</v>
      </c>
      <c r="T47" s="44">
        <f>K47</f>
        <v>58.672159999999998</v>
      </c>
      <c r="U47" s="38">
        <f t="shared" ref="U47:AA47" si="132">T47</f>
        <v>58.672159999999998</v>
      </c>
      <c r="V47" s="38">
        <f t="shared" si="132"/>
        <v>58.672159999999998</v>
      </c>
      <c r="W47" s="38">
        <f t="shared" si="132"/>
        <v>58.672159999999998</v>
      </c>
      <c r="X47" s="38">
        <f t="shared" si="132"/>
        <v>58.672159999999998</v>
      </c>
      <c r="Y47" s="38">
        <f t="shared" si="132"/>
        <v>58.672159999999998</v>
      </c>
      <c r="Z47" s="38">
        <f t="shared" si="132"/>
        <v>58.672159999999998</v>
      </c>
      <c r="AA47" s="39">
        <f t="shared" si="132"/>
        <v>58.672159999999998</v>
      </c>
      <c r="AB47" s="181" t="s">
        <v>155</v>
      </c>
      <c r="AC47" s="37">
        <f t="shared" ref="AC47:AJ47" si="133">B60</f>
        <v>16.741299999999999</v>
      </c>
      <c r="AD47" s="38">
        <f t="shared" si="133"/>
        <v>16.741299999999999</v>
      </c>
      <c r="AE47" s="38">
        <f t="shared" si="133"/>
        <v>16.741299999999999</v>
      </c>
      <c r="AF47" s="38">
        <f t="shared" si="133"/>
        <v>16.741299999999999</v>
      </c>
      <c r="AG47" s="38">
        <f t="shared" si="133"/>
        <v>16.741299999999999</v>
      </c>
      <c r="AH47" s="63">
        <f t="shared" si="133"/>
        <v>16.741299999999999</v>
      </c>
      <c r="AI47" s="38">
        <f t="shared" si="133"/>
        <v>16.741299999999999</v>
      </c>
      <c r="AJ47" s="39">
        <f t="shared" si="133"/>
        <v>16.741299999999999</v>
      </c>
      <c r="AK47" s="356" t="s">
        <v>262</v>
      </c>
      <c r="AL47" s="170">
        <f t="shared" ref="AL47:AS47" si="134">IF(MAX(AL64:AL66)&gt;AU43,MAX(AL42:AL44),AL45)</f>
        <v>1</v>
      </c>
      <c r="AM47" s="171">
        <f t="shared" si="134"/>
        <v>0</v>
      </c>
      <c r="AN47" s="171">
        <f t="shared" si="134"/>
        <v>0</v>
      </c>
      <c r="AO47" s="171">
        <f t="shared" si="134"/>
        <v>0</v>
      </c>
      <c r="AP47" s="171">
        <f t="shared" si="134"/>
        <v>0</v>
      </c>
      <c r="AQ47" s="171">
        <f t="shared" si="134"/>
        <v>0</v>
      </c>
      <c r="AR47" s="171">
        <f t="shared" si="134"/>
        <v>0</v>
      </c>
      <c r="AS47" s="172">
        <f t="shared" si="134"/>
        <v>0</v>
      </c>
      <c r="AT47" s="36" t="s">
        <v>90</v>
      </c>
      <c r="AU47" s="327">
        <f>B47</f>
        <v>58.672159999999998</v>
      </c>
      <c r="AV47" s="328">
        <f t="shared" ref="AV47:BB47" si="135">AU47</f>
        <v>58.672159999999998</v>
      </c>
      <c r="AW47" s="328">
        <f t="shared" si="135"/>
        <v>58.672159999999998</v>
      </c>
      <c r="AX47" s="328">
        <f t="shared" si="135"/>
        <v>58.672159999999998</v>
      </c>
      <c r="AY47" s="328">
        <f t="shared" si="135"/>
        <v>58.672159999999998</v>
      </c>
      <c r="AZ47" s="328">
        <f t="shared" si="135"/>
        <v>58.672159999999998</v>
      </c>
      <c r="BA47" s="328">
        <f t="shared" si="135"/>
        <v>58.672159999999998</v>
      </c>
      <c r="BB47" s="329">
        <f t="shared" si="135"/>
        <v>58.672159999999998</v>
      </c>
      <c r="BC47" s="36" t="s">
        <v>90</v>
      </c>
      <c r="BD47" s="327">
        <f>K47</f>
        <v>58.672159999999998</v>
      </c>
      <c r="BE47" s="328">
        <f t="shared" ref="BE47:BK47" si="136">BD47</f>
        <v>58.672159999999998</v>
      </c>
      <c r="BF47" s="328">
        <f t="shared" si="136"/>
        <v>58.672159999999998</v>
      </c>
      <c r="BG47" s="328">
        <f t="shared" si="136"/>
        <v>58.672159999999998</v>
      </c>
      <c r="BH47" s="328">
        <f t="shared" si="136"/>
        <v>58.672159999999998</v>
      </c>
      <c r="BI47" s="328">
        <f t="shared" si="136"/>
        <v>58.672159999999998</v>
      </c>
      <c r="BJ47" s="328">
        <f t="shared" si="136"/>
        <v>58.672159999999998</v>
      </c>
      <c r="BK47" s="329">
        <f t="shared" si="136"/>
        <v>58.672159999999998</v>
      </c>
    </row>
    <row r="48" spans="1:63">
      <c r="A48" s="36" t="s">
        <v>112</v>
      </c>
      <c r="B48" s="44">
        <f>'환기량 산정'!$I1494</f>
        <v>904.56</v>
      </c>
      <c r="C48" s="38">
        <f>'환기량 산정'!$I1494</f>
        <v>904.56</v>
      </c>
      <c r="D48" s="38">
        <f>'환기량 산정'!$I1494</f>
        <v>904.56</v>
      </c>
      <c r="E48" s="38">
        <f>'환기량 산정'!$I1494</f>
        <v>904.56</v>
      </c>
      <c r="F48" s="38">
        <f>'환기량 산정'!$I1494</f>
        <v>904.56</v>
      </c>
      <c r="G48" s="63">
        <f>'환기량 산정'!$I1494</f>
        <v>904.56</v>
      </c>
      <c r="H48" s="38">
        <f>'환기량 산정'!$I1494</f>
        <v>904.56</v>
      </c>
      <c r="I48" s="39">
        <f>'환기량 산정'!$I1494</f>
        <v>904.56</v>
      </c>
      <c r="J48" s="36" t="s">
        <v>112</v>
      </c>
      <c r="K48" s="62">
        <f>'환기량 산정'!$I1494</f>
        <v>904.56</v>
      </c>
      <c r="L48" s="38">
        <f>'환기량 산정'!$I1494</f>
        <v>904.56</v>
      </c>
      <c r="M48" s="38">
        <f>'환기량 산정'!$I1494</f>
        <v>904.56</v>
      </c>
      <c r="N48" s="38">
        <f>'환기량 산정'!$I1494</f>
        <v>904.56</v>
      </c>
      <c r="O48" s="38">
        <f>'환기량 산정'!$I1494</f>
        <v>904.56</v>
      </c>
      <c r="P48" s="38">
        <f>'환기량 산정'!$I1494</f>
        <v>904.56</v>
      </c>
      <c r="Q48" s="38">
        <f>'환기량 산정'!$I1494</f>
        <v>904.56</v>
      </c>
      <c r="R48" s="39">
        <f>'환기량 산정'!$I1494</f>
        <v>904.56</v>
      </c>
      <c r="S48" s="181" t="s">
        <v>112</v>
      </c>
      <c r="T48" s="44">
        <f>'환기량 산정'!$I1494</f>
        <v>904.56</v>
      </c>
      <c r="U48" s="38">
        <f>'환기량 산정'!$I1494</f>
        <v>904.56</v>
      </c>
      <c r="V48" s="38">
        <f>'환기량 산정'!$I1494</f>
        <v>904.56</v>
      </c>
      <c r="W48" s="38">
        <f>'환기량 산정'!$I1494</f>
        <v>904.56</v>
      </c>
      <c r="X48" s="38">
        <f>'환기량 산정'!$I1494</f>
        <v>904.56</v>
      </c>
      <c r="Y48" s="38">
        <f>'환기량 산정'!$I1494</f>
        <v>904.56</v>
      </c>
      <c r="Z48" s="38">
        <f>'환기량 산정'!$I1494</f>
        <v>904.56</v>
      </c>
      <c r="AA48" s="39">
        <f>'환기량 산정'!$I1494</f>
        <v>904.56</v>
      </c>
      <c r="AB48" s="3" t="s">
        <v>534</v>
      </c>
      <c r="AC48" s="37">
        <f t="shared" ref="AC48:AJ48" si="137">ROUND(0.86*B54,4)</f>
        <v>0.92459999999999998</v>
      </c>
      <c r="AD48" s="38">
        <f t="shared" si="137"/>
        <v>0.92459999999999998</v>
      </c>
      <c r="AE48" s="38">
        <f t="shared" si="137"/>
        <v>0.92459999999999998</v>
      </c>
      <c r="AF48" s="38">
        <f t="shared" si="137"/>
        <v>0.92459999999999998</v>
      </c>
      <c r="AG48" s="38">
        <f t="shared" si="137"/>
        <v>0.92459999999999998</v>
      </c>
      <c r="AH48" s="63">
        <f t="shared" si="137"/>
        <v>0.92459999999999998</v>
      </c>
      <c r="AI48" s="38">
        <f t="shared" si="137"/>
        <v>0.92459999999999998</v>
      </c>
      <c r="AJ48" s="39">
        <f t="shared" si="137"/>
        <v>0.92459999999999998</v>
      </c>
      <c r="AK48" s="69" t="s">
        <v>123</v>
      </c>
      <c r="AL48" s="44">
        <f t="shared" ref="AL48:AS48" si="138">ROUND((1+B51+B52*B48/B53)*B49/2,4)</f>
        <v>2.6785999999999999</v>
      </c>
      <c r="AM48" s="38">
        <f t="shared" si="138"/>
        <v>2.6785999999999999</v>
      </c>
      <c r="AN48" s="38">
        <f t="shared" si="138"/>
        <v>2.6785999999999999</v>
      </c>
      <c r="AO48" s="38">
        <f t="shared" si="138"/>
        <v>2.6785999999999999</v>
      </c>
      <c r="AP48" s="38">
        <f t="shared" si="138"/>
        <v>2.6785999999999999</v>
      </c>
      <c r="AQ48" s="38">
        <f t="shared" si="138"/>
        <v>2.6785999999999999</v>
      </c>
      <c r="AR48" s="38">
        <f t="shared" si="138"/>
        <v>2.6785999999999999</v>
      </c>
      <c r="AS48" s="39">
        <f t="shared" si="138"/>
        <v>2.6785999999999999</v>
      </c>
      <c r="AT48" s="36" t="s">
        <v>112</v>
      </c>
      <c r="AU48" s="327">
        <f>'환기량 산정'!$I1494</f>
        <v>904.56</v>
      </c>
      <c r="AV48" s="328">
        <f>'환기량 산정'!$I1494</f>
        <v>904.56</v>
      </c>
      <c r="AW48" s="328">
        <f>'환기량 산정'!$I1494</f>
        <v>904.56</v>
      </c>
      <c r="AX48" s="328">
        <f>'환기량 산정'!$I1494</f>
        <v>904.56</v>
      </c>
      <c r="AY48" s="328">
        <f>'환기량 산정'!$I1494</f>
        <v>904.56</v>
      </c>
      <c r="AZ48" s="328">
        <f>'환기량 산정'!$I1494</f>
        <v>904.56</v>
      </c>
      <c r="BA48" s="328">
        <f>'환기량 산정'!$I1494</f>
        <v>904.56</v>
      </c>
      <c r="BB48" s="329">
        <f>'환기량 산정'!$I1494</f>
        <v>904.56</v>
      </c>
      <c r="BC48" s="36" t="s">
        <v>112</v>
      </c>
      <c r="BD48" s="327">
        <f>'환기량 산정'!$I1494</f>
        <v>904.56</v>
      </c>
      <c r="BE48" s="328">
        <f>'환기량 산정'!$I1494</f>
        <v>904.56</v>
      </c>
      <c r="BF48" s="328">
        <f>'환기량 산정'!$I1494</f>
        <v>904.56</v>
      </c>
      <c r="BG48" s="328">
        <f>'환기량 산정'!$I1494</f>
        <v>904.56</v>
      </c>
      <c r="BH48" s="328">
        <f>'환기량 산정'!$I1494</f>
        <v>904.56</v>
      </c>
      <c r="BI48" s="328">
        <f>'환기량 산정'!$I1494</f>
        <v>904.56</v>
      </c>
      <c r="BJ48" s="328">
        <f>'환기량 산정'!$I1494</f>
        <v>904.56</v>
      </c>
      <c r="BK48" s="329">
        <f>'환기량 산정'!$I1494</f>
        <v>904.56</v>
      </c>
    </row>
    <row r="49" spans="1:63" ht="15.75">
      <c r="A49" s="36" t="s">
        <v>113</v>
      </c>
      <c r="B49" s="44">
        <f>'환기량 산정'!I1493</f>
        <v>1.2</v>
      </c>
      <c r="C49" s="38">
        <f t="shared" ref="C49:I54" si="139">B49</f>
        <v>1.2</v>
      </c>
      <c r="D49" s="38">
        <f t="shared" si="139"/>
        <v>1.2</v>
      </c>
      <c r="E49" s="38">
        <f t="shared" si="139"/>
        <v>1.2</v>
      </c>
      <c r="F49" s="38">
        <f t="shared" si="139"/>
        <v>1.2</v>
      </c>
      <c r="G49" s="63">
        <f t="shared" si="139"/>
        <v>1.2</v>
      </c>
      <c r="H49" s="38">
        <f t="shared" si="139"/>
        <v>1.2</v>
      </c>
      <c r="I49" s="39">
        <f t="shared" si="139"/>
        <v>1.2</v>
      </c>
      <c r="J49" s="36" t="s">
        <v>113</v>
      </c>
      <c r="K49" s="62">
        <f>B49</f>
        <v>1.2</v>
      </c>
      <c r="L49" s="38">
        <f t="shared" ref="L49:R54" si="140">K49</f>
        <v>1.2</v>
      </c>
      <c r="M49" s="38">
        <f t="shared" si="140"/>
        <v>1.2</v>
      </c>
      <c r="N49" s="38">
        <f t="shared" si="140"/>
        <v>1.2</v>
      </c>
      <c r="O49" s="38">
        <f t="shared" si="140"/>
        <v>1.2</v>
      </c>
      <c r="P49" s="38">
        <f t="shared" si="140"/>
        <v>1.2</v>
      </c>
      <c r="Q49" s="38">
        <f t="shared" si="140"/>
        <v>1.2</v>
      </c>
      <c r="R49" s="39">
        <f t="shared" si="140"/>
        <v>1.2</v>
      </c>
      <c r="S49" s="181" t="s">
        <v>113</v>
      </c>
      <c r="T49" s="44">
        <f>K49</f>
        <v>1.2</v>
      </c>
      <c r="U49" s="38">
        <f t="shared" ref="U49:AA54" si="141">T49</f>
        <v>1.2</v>
      </c>
      <c r="V49" s="38">
        <f t="shared" si="141"/>
        <v>1.2</v>
      </c>
      <c r="W49" s="38">
        <f t="shared" si="141"/>
        <v>1.2</v>
      </c>
      <c r="X49" s="38">
        <f t="shared" si="141"/>
        <v>1.2</v>
      </c>
      <c r="Y49" s="38">
        <f t="shared" si="141"/>
        <v>1.2</v>
      </c>
      <c r="Z49" s="38">
        <f t="shared" si="141"/>
        <v>1.2</v>
      </c>
      <c r="AA49" s="39">
        <f t="shared" si="141"/>
        <v>1.2</v>
      </c>
      <c r="AB49" s="181" t="s">
        <v>159</v>
      </c>
      <c r="AC49" s="1220">
        <f>'한도공 제연팬 산정(열부력미고려)'!AC48*'한도공 제연팬 산정 (중앙부화재)'!$AI$2</f>
        <v>-11.200949999999999</v>
      </c>
      <c r="AD49" s="38">
        <f>'한도공 제연팬 산정(열부력미고려)'!AD48*'한도공 제연팬 산정 (중앙부화재)'!$AI$2</f>
        <v>-11.200949999999999</v>
      </c>
      <c r="AE49" s="38">
        <f>'한도공 제연팬 산정(열부력미고려)'!AE48*'한도공 제연팬 산정 (중앙부화재)'!$AI$2</f>
        <v>-11.200949999999999</v>
      </c>
      <c r="AF49" s="38">
        <f>'한도공 제연팬 산정(열부력미고려)'!AF48*'한도공 제연팬 산정 (중앙부화재)'!$AI$2</f>
        <v>-11.200949999999999</v>
      </c>
      <c r="AG49" s="38">
        <f>'한도공 제연팬 산정(열부력미고려)'!AG48*'한도공 제연팬 산정 (중앙부화재)'!$AI$2</f>
        <v>-11.200949999999999</v>
      </c>
      <c r="AH49" s="63">
        <f>'한도공 제연팬 산정(열부력미고려)'!AH48*'한도공 제연팬 산정 (중앙부화재)'!$AI$2</f>
        <v>-10.813229999999999</v>
      </c>
      <c r="AI49" s="38">
        <f>'한도공 제연팬 산정(열부력미고려)'!AI48*'한도공 제연팬 산정 (중앙부화재)'!$AI$2</f>
        <v>-10.33929</v>
      </c>
      <c r="AJ49" s="39">
        <f>'한도공 제연팬 산정(열부력미고려)'!AJ48*'한도공 제연팬 산정 (중앙부화재)'!$AI$2</f>
        <v>-10.296270000000002</v>
      </c>
      <c r="AK49" s="69" t="s">
        <v>124</v>
      </c>
      <c r="AL49" s="188">
        <f>ROUND(-B49/2*B54/B47*B57,4)</f>
        <v>-2.1109</v>
      </c>
      <c r="AM49" s="38">
        <f t="shared" ref="AM49:AS49" si="142">IF(C42&gt;=C44,ROUND(C49/2*C54/C47*C57,4),IF(C42&lt;C44,ROUND(-C49/2*C54/C47*C57,4)))</f>
        <v>1.5282</v>
      </c>
      <c r="AN49" s="38">
        <f t="shared" si="142"/>
        <v>1.1874</v>
      </c>
      <c r="AO49" s="38">
        <f t="shared" si="142"/>
        <v>0.9345</v>
      </c>
      <c r="AP49" s="38">
        <f t="shared" si="142"/>
        <v>0.78059999999999996</v>
      </c>
      <c r="AQ49" s="38">
        <f t="shared" si="142"/>
        <v>0.63770000000000004</v>
      </c>
      <c r="AR49" s="38">
        <f t="shared" si="142"/>
        <v>0.54969999999999997</v>
      </c>
      <c r="AS49" s="39">
        <f t="shared" si="142"/>
        <v>0.48370000000000002</v>
      </c>
      <c r="AT49" s="36" t="s">
        <v>113</v>
      </c>
      <c r="AU49" s="327">
        <f t="shared" ref="AU49:AU57" si="143">B49</f>
        <v>1.2</v>
      </c>
      <c r="AV49" s="328">
        <f t="shared" ref="AV49:BB54" si="144">AU49</f>
        <v>1.2</v>
      </c>
      <c r="AW49" s="328">
        <f t="shared" si="144"/>
        <v>1.2</v>
      </c>
      <c r="AX49" s="328">
        <f t="shared" si="144"/>
        <v>1.2</v>
      </c>
      <c r="AY49" s="328">
        <f t="shared" si="144"/>
        <v>1.2</v>
      </c>
      <c r="AZ49" s="328">
        <f t="shared" si="144"/>
        <v>1.2</v>
      </c>
      <c r="BA49" s="328">
        <f t="shared" si="144"/>
        <v>1.2</v>
      </c>
      <c r="BB49" s="329">
        <f t="shared" si="144"/>
        <v>1.2</v>
      </c>
      <c r="BC49" s="36" t="s">
        <v>113</v>
      </c>
      <c r="BD49" s="327">
        <f t="shared" ref="BD49:BD57" si="145">K49</f>
        <v>1.2</v>
      </c>
      <c r="BE49" s="328">
        <f t="shared" ref="BE49:BK54" si="146">BD49</f>
        <v>1.2</v>
      </c>
      <c r="BF49" s="328">
        <f t="shared" si="146"/>
        <v>1.2</v>
      </c>
      <c r="BG49" s="328">
        <f t="shared" si="146"/>
        <v>1.2</v>
      </c>
      <c r="BH49" s="328">
        <f t="shared" si="146"/>
        <v>1.2</v>
      </c>
      <c r="BI49" s="328">
        <f t="shared" si="146"/>
        <v>1.2</v>
      </c>
      <c r="BJ49" s="328">
        <f t="shared" si="146"/>
        <v>1.2</v>
      </c>
      <c r="BK49" s="329">
        <f t="shared" si="146"/>
        <v>1.2</v>
      </c>
    </row>
    <row r="50" spans="1:63">
      <c r="A50" s="36"/>
      <c r="B50" s="44"/>
      <c r="C50" s="38"/>
      <c r="D50" s="38"/>
      <c r="E50" s="38"/>
      <c r="F50" s="38"/>
      <c r="G50" s="63"/>
      <c r="H50" s="38"/>
      <c r="I50" s="39"/>
      <c r="J50" s="36"/>
      <c r="K50" s="62"/>
      <c r="L50" s="38"/>
      <c r="M50" s="38"/>
      <c r="N50" s="38"/>
      <c r="O50" s="38"/>
      <c r="P50" s="38"/>
      <c r="Q50" s="38"/>
      <c r="R50" s="39"/>
      <c r="S50" s="181"/>
      <c r="T50" s="44"/>
      <c r="U50" s="38"/>
      <c r="V50" s="38"/>
      <c r="W50" s="38"/>
      <c r="X50" s="38"/>
      <c r="Y50" s="38"/>
      <c r="Z50" s="38"/>
      <c r="AA50" s="39"/>
      <c r="AB50" s="36" t="s">
        <v>810</v>
      </c>
      <c r="AC50" s="1218">
        <f>AC15</f>
        <v>-27.56</v>
      </c>
      <c r="AD50" s="38">
        <f>AC50</f>
        <v>-27.56</v>
      </c>
      <c r="AE50" s="38">
        <f t="shared" ref="AE50:AJ50" si="147">AD50</f>
        <v>-27.56</v>
      </c>
      <c r="AF50" s="38">
        <f t="shared" si="147"/>
        <v>-27.56</v>
      </c>
      <c r="AG50" s="38">
        <f t="shared" si="147"/>
        <v>-27.56</v>
      </c>
      <c r="AH50" s="63">
        <f t="shared" si="147"/>
        <v>-27.56</v>
      </c>
      <c r="AI50" s="38">
        <f t="shared" si="147"/>
        <v>-27.56</v>
      </c>
      <c r="AJ50" s="39">
        <f t="shared" si="147"/>
        <v>-27.56</v>
      </c>
      <c r="AK50" s="69"/>
      <c r="AL50" s="188"/>
      <c r="AM50" s="38"/>
      <c r="AN50" s="38"/>
      <c r="AO50" s="38"/>
      <c r="AP50" s="38"/>
      <c r="AQ50" s="38"/>
      <c r="AR50" s="38"/>
      <c r="AS50" s="39"/>
      <c r="AT50" s="36"/>
      <c r="AU50" s="327"/>
      <c r="AV50" s="328"/>
      <c r="AW50" s="328"/>
      <c r="AX50" s="328"/>
      <c r="AY50" s="328"/>
      <c r="AZ50" s="328"/>
      <c r="BA50" s="328"/>
      <c r="BB50" s="329"/>
      <c r="BC50" s="36"/>
      <c r="BD50" s="327"/>
      <c r="BE50" s="328"/>
      <c r="BF50" s="328"/>
      <c r="BG50" s="328"/>
      <c r="BH50" s="328"/>
      <c r="BI50" s="328"/>
      <c r="BJ50" s="328"/>
      <c r="BK50" s="329"/>
    </row>
    <row r="51" spans="1:63">
      <c r="A51" s="36" t="s">
        <v>114</v>
      </c>
      <c r="B51" s="44">
        <f>'환기량 산정'!I1491</f>
        <v>0.6</v>
      </c>
      <c r="C51" s="38">
        <f t="shared" si="139"/>
        <v>0.6</v>
      </c>
      <c r="D51" s="38">
        <f t="shared" si="139"/>
        <v>0.6</v>
      </c>
      <c r="E51" s="38">
        <f t="shared" si="139"/>
        <v>0.6</v>
      </c>
      <c r="F51" s="38">
        <f t="shared" si="139"/>
        <v>0.6</v>
      </c>
      <c r="G51" s="63">
        <f t="shared" si="139"/>
        <v>0.6</v>
      </c>
      <c r="H51" s="38">
        <f t="shared" si="139"/>
        <v>0.6</v>
      </c>
      <c r="I51" s="39">
        <f t="shared" si="139"/>
        <v>0.6</v>
      </c>
      <c r="J51" s="36" t="s">
        <v>114</v>
      </c>
      <c r="K51" s="62">
        <f>B51</f>
        <v>0.6</v>
      </c>
      <c r="L51" s="38">
        <f t="shared" si="140"/>
        <v>0.6</v>
      </c>
      <c r="M51" s="38">
        <f t="shared" si="140"/>
        <v>0.6</v>
      </c>
      <c r="N51" s="38">
        <f t="shared" si="140"/>
        <v>0.6</v>
      </c>
      <c r="O51" s="38">
        <f t="shared" si="140"/>
        <v>0.6</v>
      </c>
      <c r="P51" s="38">
        <f t="shared" si="140"/>
        <v>0.6</v>
      </c>
      <c r="Q51" s="38">
        <f t="shared" si="140"/>
        <v>0.6</v>
      </c>
      <c r="R51" s="39">
        <f t="shared" si="140"/>
        <v>0.6</v>
      </c>
      <c r="S51" s="181" t="s">
        <v>114</v>
      </c>
      <c r="T51" s="44">
        <f>K51</f>
        <v>0.6</v>
      </c>
      <c r="U51" s="38">
        <f t="shared" si="141"/>
        <v>0.6</v>
      </c>
      <c r="V51" s="38">
        <f t="shared" si="141"/>
        <v>0.6</v>
      </c>
      <c r="W51" s="38">
        <f t="shared" si="141"/>
        <v>0.6</v>
      </c>
      <c r="X51" s="38">
        <f t="shared" si="141"/>
        <v>0.6</v>
      </c>
      <c r="Y51" s="38">
        <f t="shared" si="141"/>
        <v>0.6</v>
      </c>
      <c r="Z51" s="38">
        <f t="shared" si="141"/>
        <v>0.6</v>
      </c>
      <c r="AA51" s="39">
        <f t="shared" si="141"/>
        <v>0.6</v>
      </c>
      <c r="AB51" s="181" t="s">
        <v>157</v>
      </c>
      <c r="AC51" s="1225">
        <f>AC46+AC47-AC49-AC50</f>
        <v>69.062649999999991</v>
      </c>
      <c r="AD51" s="1222">
        <f t="shared" ref="AD51:AJ51" si="148">AD46+AD47-AD49-AD50</f>
        <v>69.062649999999991</v>
      </c>
      <c r="AE51" s="1222">
        <f t="shared" si="148"/>
        <v>69.062649999999991</v>
      </c>
      <c r="AF51" s="1222">
        <f t="shared" si="148"/>
        <v>69.062649999999991</v>
      </c>
      <c r="AG51" s="1222">
        <f t="shared" si="148"/>
        <v>69.062649999999991</v>
      </c>
      <c r="AH51" s="1223">
        <f t="shared" si="148"/>
        <v>68.674929999999989</v>
      </c>
      <c r="AI51" s="1222">
        <f t="shared" si="148"/>
        <v>68.20098999999999</v>
      </c>
      <c r="AJ51" s="1224">
        <f t="shared" si="148"/>
        <v>68.157969999999992</v>
      </c>
      <c r="AK51" s="69" t="s">
        <v>250</v>
      </c>
      <c r="AL51" s="44">
        <f t="shared" ref="AL51:AS51" si="149">ROUND(B49/2*B56*2*B55/B47*B64,4)</f>
        <v>0.48380000000000001</v>
      </c>
      <c r="AM51" s="38">
        <f t="shared" si="149"/>
        <v>0.48380000000000001</v>
      </c>
      <c r="AN51" s="38">
        <f t="shared" si="149"/>
        <v>0.48380000000000001</v>
      </c>
      <c r="AO51" s="38">
        <f t="shared" si="149"/>
        <v>0.48380000000000001</v>
      </c>
      <c r="AP51" s="38">
        <f t="shared" si="149"/>
        <v>0.48380000000000001</v>
      </c>
      <c r="AQ51" s="38">
        <f t="shared" si="149"/>
        <v>0.48380000000000001</v>
      </c>
      <c r="AR51" s="38">
        <f t="shared" si="149"/>
        <v>0.48380000000000001</v>
      </c>
      <c r="AS51" s="39">
        <f t="shared" si="149"/>
        <v>0.48380000000000001</v>
      </c>
      <c r="AT51" s="36" t="s">
        <v>114</v>
      </c>
      <c r="AU51" s="327">
        <f t="shared" si="143"/>
        <v>0.6</v>
      </c>
      <c r="AV51" s="328">
        <f t="shared" si="144"/>
        <v>0.6</v>
      </c>
      <c r="AW51" s="328">
        <f t="shared" si="144"/>
        <v>0.6</v>
      </c>
      <c r="AX51" s="328">
        <f t="shared" si="144"/>
        <v>0.6</v>
      </c>
      <c r="AY51" s="328">
        <f t="shared" si="144"/>
        <v>0.6</v>
      </c>
      <c r="AZ51" s="328">
        <f t="shared" si="144"/>
        <v>0.6</v>
      </c>
      <c r="BA51" s="328">
        <f t="shared" si="144"/>
        <v>0.6</v>
      </c>
      <c r="BB51" s="329">
        <f t="shared" si="144"/>
        <v>0.6</v>
      </c>
      <c r="BC51" s="36" t="s">
        <v>114</v>
      </c>
      <c r="BD51" s="327">
        <f t="shared" si="145"/>
        <v>0.6</v>
      </c>
      <c r="BE51" s="328">
        <f t="shared" si="146"/>
        <v>0.6</v>
      </c>
      <c r="BF51" s="328">
        <f t="shared" si="146"/>
        <v>0.6</v>
      </c>
      <c r="BG51" s="328">
        <f t="shared" si="146"/>
        <v>0.6</v>
      </c>
      <c r="BH51" s="328">
        <f t="shared" si="146"/>
        <v>0.6</v>
      </c>
      <c r="BI51" s="328">
        <f t="shared" si="146"/>
        <v>0.6</v>
      </c>
      <c r="BJ51" s="328">
        <f t="shared" si="146"/>
        <v>0.6</v>
      </c>
      <c r="BK51" s="329">
        <f t="shared" si="146"/>
        <v>0.6</v>
      </c>
    </row>
    <row r="52" spans="1:63" ht="15.75">
      <c r="A52" s="36" t="s">
        <v>115</v>
      </c>
      <c r="B52" s="44">
        <f>'환기량 산정'!I1492</f>
        <v>2.5000000000000001E-2</v>
      </c>
      <c r="C52" s="38">
        <f t="shared" si="139"/>
        <v>2.5000000000000001E-2</v>
      </c>
      <c r="D52" s="38">
        <f t="shared" si="139"/>
        <v>2.5000000000000001E-2</v>
      </c>
      <c r="E52" s="38">
        <f t="shared" si="139"/>
        <v>2.5000000000000001E-2</v>
      </c>
      <c r="F52" s="38">
        <f t="shared" si="139"/>
        <v>2.5000000000000001E-2</v>
      </c>
      <c r="G52" s="63">
        <f t="shared" si="139"/>
        <v>2.5000000000000001E-2</v>
      </c>
      <c r="H52" s="38">
        <f t="shared" si="139"/>
        <v>2.5000000000000001E-2</v>
      </c>
      <c r="I52" s="39">
        <f t="shared" si="139"/>
        <v>2.5000000000000001E-2</v>
      </c>
      <c r="J52" s="36" t="s">
        <v>115</v>
      </c>
      <c r="K52" s="62">
        <f>B52</f>
        <v>2.5000000000000001E-2</v>
      </c>
      <c r="L52" s="38">
        <f t="shared" si="140"/>
        <v>2.5000000000000001E-2</v>
      </c>
      <c r="M52" s="38">
        <f t="shared" si="140"/>
        <v>2.5000000000000001E-2</v>
      </c>
      <c r="N52" s="38">
        <f t="shared" si="140"/>
        <v>2.5000000000000001E-2</v>
      </c>
      <c r="O52" s="38">
        <f t="shared" si="140"/>
        <v>2.5000000000000001E-2</v>
      </c>
      <c r="P52" s="38">
        <f t="shared" si="140"/>
        <v>2.5000000000000001E-2</v>
      </c>
      <c r="Q52" s="38">
        <f t="shared" si="140"/>
        <v>2.5000000000000001E-2</v>
      </c>
      <c r="R52" s="39">
        <f t="shared" si="140"/>
        <v>2.5000000000000001E-2</v>
      </c>
      <c r="S52" s="181" t="s">
        <v>115</v>
      </c>
      <c r="T52" s="44">
        <f>K52</f>
        <v>2.5000000000000001E-2</v>
      </c>
      <c r="U52" s="38">
        <f t="shared" si="141"/>
        <v>2.5000000000000001E-2</v>
      </c>
      <c r="V52" s="38">
        <f t="shared" si="141"/>
        <v>2.5000000000000001E-2</v>
      </c>
      <c r="W52" s="38">
        <f t="shared" si="141"/>
        <v>2.5000000000000001E-2</v>
      </c>
      <c r="X52" s="38">
        <f t="shared" si="141"/>
        <v>2.5000000000000001E-2</v>
      </c>
      <c r="Y52" s="38">
        <f t="shared" si="141"/>
        <v>2.5000000000000001E-2</v>
      </c>
      <c r="Z52" s="38">
        <f t="shared" si="141"/>
        <v>2.5000000000000001E-2</v>
      </c>
      <c r="AA52" s="39">
        <f t="shared" si="141"/>
        <v>2.5000000000000001E-2</v>
      </c>
      <c r="AB52" s="36" t="s">
        <v>342</v>
      </c>
      <c r="AC52" s="44">
        <f t="shared" ref="AC52:AD52" si="150">ROUND(B58*B49*B56^2*B55/B47*(1-AC42/B56)*B64,4)</f>
        <v>13.291399999999999</v>
      </c>
      <c r="AD52" s="38">
        <f t="shared" si="150"/>
        <v>13.291399999999999</v>
      </c>
      <c r="AE52" s="38">
        <f t="shared" ref="AE52:AJ52" si="151">ROUND($B$58*D49*D56^2*D55/D47*(1-AE42/D56)*D64,4)</f>
        <v>13.291399999999999</v>
      </c>
      <c r="AF52" s="38">
        <f t="shared" si="151"/>
        <v>13.291399999999999</v>
      </c>
      <c r="AG52" s="38">
        <f t="shared" si="151"/>
        <v>13.291399999999999</v>
      </c>
      <c r="AH52" s="38">
        <f t="shared" si="151"/>
        <v>13.291399999999999</v>
      </c>
      <c r="AI52" s="38">
        <f t="shared" si="151"/>
        <v>13.291399999999999</v>
      </c>
      <c r="AJ52" s="38">
        <f t="shared" si="151"/>
        <v>13.291399999999999</v>
      </c>
      <c r="AK52" s="165" t="s">
        <v>152</v>
      </c>
      <c r="AL52" s="170" t="b">
        <f t="shared" ref="AL52:AS52" si="152">IF(AL53&gt;0,ROUND((-AL55+SQRT(AL55^2-4*AL54*AL56))/(2*AL54),4))</f>
        <v>0</v>
      </c>
      <c r="AM52" s="171">
        <f t="shared" si="152"/>
        <v>1.6176999999999999</v>
      </c>
      <c r="AN52" s="171">
        <f t="shared" si="152"/>
        <v>2.7490000000000001</v>
      </c>
      <c r="AO52" s="171">
        <f t="shared" si="152"/>
        <v>3.6374</v>
      </c>
      <c r="AP52" s="171">
        <f t="shared" si="152"/>
        <v>4.4442000000000004</v>
      </c>
      <c r="AQ52" s="171">
        <f t="shared" si="152"/>
        <v>5.0750999999999999</v>
      </c>
      <c r="AR52" s="171">
        <f t="shared" si="152"/>
        <v>5.7001999999999997</v>
      </c>
      <c r="AS52" s="172">
        <f t="shared" si="152"/>
        <v>6.2906000000000004</v>
      </c>
      <c r="AT52" s="36" t="s">
        <v>115</v>
      </c>
      <c r="AU52" s="327">
        <f t="shared" si="143"/>
        <v>2.5000000000000001E-2</v>
      </c>
      <c r="AV52" s="328">
        <f t="shared" si="144"/>
        <v>2.5000000000000001E-2</v>
      </c>
      <c r="AW52" s="328">
        <f t="shared" si="144"/>
        <v>2.5000000000000001E-2</v>
      </c>
      <c r="AX52" s="328">
        <f t="shared" si="144"/>
        <v>2.5000000000000001E-2</v>
      </c>
      <c r="AY52" s="328">
        <f t="shared" si="144"/>
        <v>2.5000000000000001E-2</v>
      </c>
      <c r="AZ52" s="328">
        <f t="shared" si="144"/>
        <v>2.5000000000000001E-2</v>
      </c>
      <c r="BA52" s="328">
        <f t="shared" si="144"/>
        <v>2.5000000000000001E-2</v>
      </c>
      <c r="BB52" s="329">
        <f t="shared" si="144"/>
        <v>2.5000000000000001E-2</v>
      </c>
      <c r="BC52" s="36" t="s">
        <v>115</v>
      </c>
      <c r="BD52" s="327">
        <f t="shared" si="145"/>
        <v>2.5000000000000001E-2</v>
      </c>
      <c r="BE52" s="328">
        <f t="shared" si="146"/>
        <v>2.5000000000000001E-2</v>
      </c>
      <c r="BF52" s="328">
        <f t="shared" si="146"/>
        <v>2.5000000000000001E-2</v>
      </c>
      <c r="BG52" s="328">
        <f t="shared" si="146"/>
        <v>2.5000000000000001E-2</v>
      </c>
      <c r="BH52" s="328">
        <f t="shared" si="146"/>
        <v>2.5000000000000001E-2</v>
      </c>
      <c r="BI52" s="328">
        <f t="shared" si="146"/>
        <v>2.5000000000000001E-2</v>
      </c>
      <c r="BJ52" s="328">
        <f t="shared" si="146"/>
        <v>2.5000000000000001E-2</v>
      </c>
      <c r="BK52" s="329">
        <f t="shared" si="146"/>
        <v>2.5000000000000001E-2</v>
      </c>
    </row>
    <row r="53" spans="1:63" ht="15.75">
      <c r="A53" s="36" t="s">
        <v>91</v>
      </c>
      <c r="B53" s="44">
        <f>'환기량 산정'!I1489</f>
        <v>7.8949999999999996</v>
      </c>
      <c r="C53" s="38">
        <f t="shared" si="139"/>
        <v>7.8949999999999996</v>
      </c>
      <c r="D53" s="38">
        <f t="shared" si="139"/>
        <v>7.8949999999999996</v>
      </c>
      <c r="E53" s="38">
        <f t="shared" si="139"/>
        <v>7.8949999999999996</v>
      </c>
      <c r="F53" s="38">
        <f t="shared" si="139"/>
        <v>7.8949999999999996</v>
      </c>
      <c r="G53" s="63">
        <f t="shared" si="139"/>
        <v>7.8949999999999996</v>
      </c>
      <c r="H53" s="38">
        <f t="shared" si="139"/>
        <v>7.8949999999999996</v>
      </c>
      <c r="I53" s="39">
        <f t="shared" si="139"/>
        <v>7.8949999999999996</v>
      </c>
      <c r="J53" s="36" t="s">
        <v>91</v>
      </c>
      <c r="K53" s="62">
        <f>B53</f>
        <v>7.8949999999999996</v>
      </c>
      <c r="L53" s="38">
        <f t="shared" si="140"/>
        <v>7.8949999999999996</v>
      </c>
      <c r="M53" s="38">
        <f t="shared" si="140"/>
        <v>7.8949999999999996</v>
      </c>
      <c r="N53" s="38">
        <f t="shared" si="140"/>
        <v>7.8949999999999996</v>
      </c>
      <c r="O53" s="38">
        <f t="shared" si="140"/>
        <v>7.8949999999999996</v>
      </c>
      <c r="P53" s="38">
        <f t="shared" si="140"/>
        <v>7.8949999999999996</v>
      </c>
      <c r="Q53" s="38">
        <f t="shared" si="140"/>
        <v>7.8949999999999996</v>
      </c>
      <c r="R53" s="39">
        <f t="shared" si="140"/>
        <v>7.8949999999999996</v>
      </c>
      <c r="S53" s="181" t="s">
        <v>91</v>
      </c>
      <c r="T53" s="44">
        <f>K53</f>
        <v>7.8949999999999996</v>
      </c>
      <c r="U53" s="38">
        <f t="shared" si="141"/>
        <v>7.8949999999999996</v>
      </c>
      <c r="V53" s="38">
        <f t="shared" si="141"/>
        <v>7.8949999999999996</v>
      </c>
      <c r="W53" s="38">
        <f t="shared" si="141"/>
        <v>7.8949999999999996</v>
      </c>
      <c r="X53" s="38">
        <f t="shared" si="141"/>
        <v>7.8949999999999996</v>
      </c>
      <c r="Y53" s="38">
        <f t="shared" si="141"/>
        <v>7.8949999999999996</v>
      </c>
      <c r="Z53" s="38">
        <f t="shared" si="141"/>
        <v>7.8949999999999996</v>
      </c>
      <c r="AA53" s="39">
        <f t="shared" si="141"/>
        <v>7.8949999999999996</v>
      </c>
      <c r="AB53" s="181" t="s">
        <v>172</v>
      </c>
      <c r="AC53" s="37">
        <f t="shared" ref="AC53:AJ53" si="153">ROUND(AC51/AC52,2)</f>
        <v>5.2</v>
      </c>
      <c r="AD53" s="38">
        <f t="shared" si="153"/>
        <v>5.2</v>
      </c>
      <c r="AE53" s="38">
        <f t="shared" si="153"/>
        <v>5.2</v>
      </c>
      <c r="AF53" s="38">
        <f t="shared" si="153"/>
        <v>5.2</v>
      </c>
      <c r="AG53" s="38">
        <f t="shared" si="153"/>
        <v>5.2</v>
      </c>
      <c r="AH53" s="63">
        <f t="shared" si="153"/>
        <v>5.17</v>
      </c>
      <c r="AI53" s="38">
        <f t="shared" si="153"/>
        <v>5.13</v>
      </c>
      <c r="AJ53" s="39">
        <f t="shared" si="153"/>
        <v>5.13</v>
      </c>
      <c r="AK53" s="166" t="s">
        <v>153</v>
      </c>
      <c r="AL53" s="44">
        <f t="shared" ref="AL53:AS53" si="154">ROUND(AL55^2-4*AL54*AL56,4)</f>
        <v>-228.5849</v>
      </c>
      <c r="AM53" s="38">
        <f t="shared" si="154"/>
        <v>429.1354</v>
      </c>
      <c r="AN53" s="38">
        <f t="shared" si="154"/>
        <v>782.92719999999997</v>
      </c>
      <c r="AO53" s="38">
        <f t="shared" si="154"/>
        <v>1119.0835</v>
      </c>
      <c r="AP53" s="38">
        <f t="shared" si="154"/>
        <v>1486.5201</v>
      </c>
      <c r="AQ53" s="38">
        <f t="shared" si="154"/>
        <v>1762.0264999999999</v>
      </c>
      <c r="AR53" s="38">
        <f t="shared" si="154"/>
        <v>2083.2368999999999</v>
      </c>
      <c r="AS53" s="39">
        <f t="shared" si="154"/>
        <v>2411.7921999999999</v>
      </c>
      <c r="AT53" s="36" t="s">
        <v>91</v>
      </c>
      <c r="AU53" s="327">
        <f t="shared" si="143"/>
        <v>7.8949999999999996</v>
      </c>
      <c r="AV53" s="328">
        <f t="shared" si="144"/>
        <v>7.8949999999999996</v>
      </c>
      <c r="AW53" s="328">
        <f t="shared" si="144"/>
        <v>7.8949999999999996</v>
      </c>
      <c r="AX53" s="328">
        <f t="shared" si="144"/>
        <v>7.8949999999999996</v>
      </c>
      <c r="AY53" s="328">
        <f t="shared" si="144"/>
        <v>7.8949999999999996</v>
      </c>
      <c r="AZ53" s="328">
        <f t="shared" si="144"/>
        <v>7.8949999999999996</v>
      </c>
      <c r="BA53" s="328">
        <f t="shared" si="144"/>
        <v>7.8949999999999996</v>
      </c>
      <c r="BB53" s="329">
        <f t="shared" si="144"/>
        <v>7.8949999999999996</v>
      </c>
      <c r="BC53" s="36" t="s">
        <v>91</v>
      </c>
      <c r="BD53" s="327">
        <f t="shared" si="145"/>
        <v>7.8949999999999996</v>
      </c>
      <c r="BE53" s="328">
        <f t="shared" si="146"/>
        <v>7.8949999999999996</v>
      </c>
      <c r="BF53" s="328">
        <f t="shared" si="146"/>
        <v>7.8949999999999996</v>
      </c>
      <c r="BG53" s="328">
        <f t="shared" si="146"/>
        <v>7.8949999999999996</v>
      </c>
      <c r="BH53" s="328">
        <f t="shared" si="146"/>
        <v>7.8949999999999996</v>
      </c>
      <c r="BI53" s="328">
        <f t="shared" si="146"/>
        <v>7.8949999999999996</v>
      </c>
      <c r="BJ53" s="328">
        <f t="shared" si="146"/>
        <v>7.8949999999999996</v>
      </c>
      <c r="BK53" s="329">
        <f t="shared" si="146"/>
        <v>7.8949999999999996</v>
      </c>
    </row>
    <row r="54" spans="1:63" ht="14.25" thickBot="1">
      <c r="A54" s="36" t="s">
        <v>116</v>
      </c>
      <c r="B54" s="44">
        <f>'환기량 산정'!I1486</f>
        <v>1.0750999999999999</v>
      </c>
      <c r="C54" s="38">
        <f t="shared" si="139"/>
        <v>1.0750999999999999</v>
      </c>
      <c r="D54" s="38">
        <f t="shared" si="139"/>
        <v>1.0750999999999999</v>
      </c>
      <c r="E54" s="38">
        <f t="shared" si="139"/>
        <v>1.0750999999999999</v>
      </c>
      <c r="F54" s="38">
        <f t="shared" si="139"/>
        <v>1.0750999999999999</v>
      </c>
      <c r="G54" s="63">
        <f t="shared" si="139"/>
        <v>1.0750999999999999</v>
      </c>
      <c r="H54" s="38">
        <f t="shared" si="139"/>
        <v>1.0750999999999999</v>
      </c>
      <c r="I54" s="39">
        <f t="shared" si="139"/>
        <v>1.0750999999999999</v>
      </c>
      <c r="J54" s="36" t="s">
        <v>116</v>
      </c>
      <c r="K54" s="62">
        <f>B54</f>
        <v>1.0750999999999999</v>
      </c>
      <c r="L54" s="38">
        <f t="shared" si="140"/>
        <v>1.0750999999999999</v>
      </c>
      <c r="M54" s="38">
        <f t="shared" si="140"/>
        <v>1.0750999999999999</v>
      </c>
      <c r="N54" s="38">
        <f t="shared" si="140"/>
        <v>1.0750999999999999</v>
      </c>
      <c r="O54" s="38">
        <f t="shared" si="140"/>
        <v>1.0750999999999999</v>
      </c>
      <c r="P54" s="38">
        <f t="shared" si="140"/>
        <v>1.0750999999999999</v>
      </c>
      <c r="Q54" s="38">
        <f t="shared" si="140"/>
        <v>1.0750999999999999</v>
      </c>
      <c r="R54" s="39">
        <f t="shared" si="140"/>
        <v>1.0750999999999999</v>
      </c>
      <c r="S54" s="181" t="s">
        <v>116</v>
      </c>
      <c r="T54" s="44">
        <f>K54</f>
        <v>1.0750999999999999</v>
      </c>
      <c r="U54" s="38">
        <f t="shared" si="141"/>
        <v>1.0750999999999999</v>
      </c>
      <c r="V54" s="38">
        <f t="shared" si="141"/>
        <v>1.0750999999999999</v>
      </c>
      <c r="W54" s="38">
        <f t="shared" si="141"/>
        <v>1.0750999999999999</v>
      </c>
      <c r="X54" s="38">
        <f t="shared" si="141"/>
        <v>1.0750999999999999</v>
      </c>
      <c r="Y54" s="38">
        <f t="shared" si="141"/>
        <v>1.0750999999999999</v>
      </c>
      <c r="Z54" s="38">
        <f t="shared" si="141"/>
        <v>1.0750999999999999</v>
      </c>
      <c r="AA54" s="39">
        <f t="shared" si="141"/>
        <v>1.0750999999999999</v>
      </c>
      <c r="AB54" s="194" t="s">
        <v>173</v>
      </c>
      <c r="AC54" s="50">
        <f t="shared" ref="AC54:AJ54" si="155">IF(AC53&lt;0,0,IF(AC53&gt;0,ROUNDUP(AC53,0)))</f>
        <v>6</v>
      </c>
      <c r="AD54" s="51">
        <f t="shared" si="155"/>
        <v>6</v>
      </c>
      <c r="AE54" s="51">
        <f t="shared" si="155"/>
        <v>6</v>
      </c>
      <c r="AF54" s="51">
        <f t="shared" si="155"/>
        <v>6</v>
      </c>
      <c r="AG54" s="51">
        <f t="shared" si="155"/>
        <v>6</v>
      </c>
      <c r="AH54" s="51">
        <f t="shared" si="155"/>
        <v>6</v>
      </c>
      <c r="AI54" s="51">
        <f t="shared" si="155"/>
        <v>6</v>
      </c>
      <c r="AJ54" s="52">
        <f t="shared" si="155"/>
        <v>6</v>
      </c>
      <c r="AK54" s="166" t="s">
        <v>125</v>
      </c>
      <c r="AL54" s="44">
        <f>ROUND(AL48-AL49,4)</f>
        <v>4.7895000000000003</v>
      </c>
      <c r="AM54" s="38">
        <f t="shared" ref="AM54:AS54" si="156">ROUND(AM48-AM49,4)</f>
        <v>1.1504000000000001</v>
      </c>
      <c r="AN54" s="38">
        <f t="shared" si="156"/>
        <v>1.4912000000000001</v>
      </c>
      <c r="AO54" s="38">
        <f t="shared" si="156"/>
        <v>1.7441</v>
      </c>
      <c r="AP54" s="38">
        <f t="shared" si="156"/>
        <v>1.8979999999999999</v>
      </c>
      <c r="AQ54" s="38">
        <f t="shared" si="156"/>
        <v>2.0409000000000002</v>
      </c>
      <c r="AR54" s="38">
        <f t="shared" si="156"/>
        <v>2.1288999999999998</v>
      </c>
      <c r="AS54" s="39">
        <f t="shared" si="156"/>
        <v>2.1949000000000001</v>
      </c>
      <c r="AT54" s="36" t="s">
        <v>116</v>
      </c>
      <c r="AU54" s="327">
        <f t="shared" si="143"/>
        <v>1.0750999999999999</v>
      </c>
      <c r="AV54" s="328">
        <f t="shared" si="144"/>
        <v>1.0750999999999999</v>
      </c>
      <c r="AW54" s="328">
        <f t="shared" si="144"/>
        <v>1.0750999999999999</v>
      </c>
      <c r="AX54" s="328">
        <f t="shared" si="144"/>
        <v>1.0750999999999999</v>
      </c>
      <c r="AY54" s="328">
        <f t="shared" si="144"/>
        <v>1.0750999999999999</v>
      </c>
      <c r="AZ54" s="328">
        <f t="shared" si="144"/>
        <v>1.0750999999999999</v>
      </c>
      <c r="BA54" s="328">
        <f t="shared" si="144"/>
        <v>1.0750999999999999</v>
      </c>
      <c r="BB54" s="329">
        <f t="shared" si="144"/>
        <v>1.0750999999999999</v>
      </c>
      <c r="BC54" s="36" t="s">
        <v>116</v>
      </c>
      <c r="BD54" s="327">
        <f t="shared" si="145"/>
        <v>1.0750999999999999</v>
      </c>
      <c r="BE54" s="328">
        <f t="shared" si="146"/>
        <v>1.0750999999999999</v>
      </c>
      <c r="BF54" s="328">
        <f t="shared" si="146"/>
        <v>1.0750999999999999</v>
      </c>
      <c r="BG54" s="328">
        <f t="shared" si="146"/>
        <v>1.0750999999999999</v>
      </c>
      <c r="BH54" s="328">
        <f t="shared" si="146"/>
        <v>1.0750999999999999</v>
      </c>
      <c r="BI54" s="328">
        <f t="shared" si="146"/>
        <v>1.0750999999999999</v>
      </c>
      <c r="BJ54" s="328">
        <f t="shared" si="146"/>
        <v>1.0750999999999999</v>
      </c>
      <c r="BK54" s="329">
        <f t="shared" si="146"/>
        <v>1.0750999999999999</v>
      </c>
    </row>
    <row r="55" spans="1:63" ht="14.25" thickBot="1">
      <c r="A55" s="36" t="s">
        <v>117</v>
      </c>
      <c r="B55" s="44">
        <f t="shared" ref="B55:I55" si="157">IF($C$3=630,0.27,IF($C$3=710,0.396,IF($C$3=1030,0.83,IF($C$3=1250,1.227,IF($C$3=1530,1.83)))))</f>
        <v>0.83</v>
      </c>
      <c r="C55" s="38">
        <f t="shared" si="157"/>
        <v>0.83</v>
      </c>
      <c r="D55" s="38">
        <f t="shared" si="157"/>
        <v>0.83</v>
      </c>
      <c r="E55" s="38">
        <f t="shared" si="157"/>
        <v>0.83</v>
      </c>
      <c r="F55" s="38">
        <f t="shared" si="157"/>
        <v>0.83</v>
      </c>
      <c r="G55" s="63">
        <f t="shared" si="157"/>
        <v>0.83</v>
      </c>
      <c r="H55" s="38">
        <f t="shared" si="157"/>
        <v>0.83</v>
      </c>
      <c r="I55" s="39">
        <f t="shared" si="157"/>
        <v>0.83</v>
      </c>
      <c r="J55" s="36" t="s">
        <v>117</v>
      </c>
      <c r="K55" s="62">
        <f t="shared" ref="K55:R55" si="158">IF($C$3=630,0.27,IF($C$3=710,0.396,IF($C$3=1030,0.83,IF($C$3=1250,1.227,IF($C$3=1530,1.83)))))</f>
        <v>0.83</v>
      </c>
      <c r="L55" s="38">
        <f t="shared" si="158"/>
        <v>0.83</v>
      </c>
      <c r="M55" s="38">
        <f t="shared" si="158"/>
        <v>0.83</v>
      </c>
      <c r="N55" s="38">
        <f t="shared" si="158"/>
        <v>0.83</v>
      </c>
      <c r="O55" s="38">
        <f t="shared" si="158"/>
        <v>0.83</v>
      </c>
      <c r="P55" s="38">
        <f t="shared" si="158"/>
        <v>0.83</v>
      </c>
      <c r="Q55" s="38">
        <f t="shared" si="158"/>
        <v>0.83</v>
      </c>
      <c r="R55" s="39">
        <f t="shared" si="158"/>
        <v>0.83</v>
      </c>
      <c r="S55" s="181" t="s">
        <v>117</v>
      </c>
      <c r="T55" s="44">
        <f t="shared" ref="T55:AA55" si="159">IF($C$3=630,0.27,IF($C$3=710,0.396,IF($C$3=1030,0.83,IF($C$3=1250,1.227,IF($C$3=1530,1.83)))))</f>
        <v>0.83</v>
      </c>
      <c r="U55" s="38">
        <f t="shared" si="159"/>
        <v>0.83</v>
      </c>
      <c r="V55" s="38">
        <f t="shared" si="159"/>
        <v>0.83</v>
      </c>
      <c r="W55" s="38">
        <f t="shared" si="159"/>
        <v>0.83</v>
      </c>
      <c r="X55" s="38">
        <f t="shared" si="159"/>
        <v>0.83</v>
      </c>
      <c r="Y55" s="38">
        <f t="shared" si="159"/>
        <v>0.83</v>
      </c>
      <c r="Z55" s="38">
        <f t="shared" si="159"/>
        <v>0.83</v>
      </c>
      <c r="AA55" s="39">
        <f t="shared" si="159"/>
        <v>0.83</v>
      </c>
      <c r="AB55" s="195" t="str">
        <f>CONCATENATE("예비용 ",AC57," 포함")</f>
        <v>예비용 2 포함</v>
      </c>
      <c r="AC55" s="132">
        <f t="shared" ref="AC55:AJ55" si="160">AC54+$AC$57</f>
        <v>8</v>
      </c>
      <c r="AD55" s="133">
        <f t="shared" si="160"/>
        <v>8</v>
      </c>
      <c r="AE55" s="133">
        <f t="shared" si="160"/>
        <v>8</v>
      </c>
      <c r="AF55" s="133">
        <f t="shared" si="160"/>
        <v>8</v>
      </c>
      <c r="AG55" s="133">
        <f t="shared" si="160"/>
        <v>8</v>
      </c>
      <c r="AH55" s="133">
        <f t="shared" si="160"/>
        <v>8</v>
      </c>
      <c r="AI55" s="133">
        <f t="shared" si="160"/>
        <v>8</v>
      </c>
      <c r="AJ55" s="134">
        <f t="shared" si="160"/>
        <v>8</v>
      </c>
      <c r="AK55" s="166" t="s">
        <v>251</v>
      </c>
      <c r="AL55" s="44">
        <f t="shared" ref="AL55:AS55" si="161">ROUND(2*AL49*B42+AL51*AL47,4)</f>
        <v>-11.252800000000001</v>
      </c>
      <c r="AM55" s="38">
        <f t="shared" si="161"/>
        <v>16.993600000000001</v>
      </c>
      <c r="AN55" s="38">
        <f t="shared" si="161"/>
        <v>19.7821</v>
      </c>
      <c r="AO55" s="38">
        <f t="shared" si="161"/>
        <v>20.764600000000002</v>
      </c>
      <c r="AP55" s="38">
        <f t="shared" si="161"/>
        <v>21.685099999999998</v>
      </c>
      <c r="AQ55" s="38">
        <f t="shared" si="161"/>
        <v>21.260899999999999</v>
      </c>
      <c r="AR55" s="38">
        <f t="shared" si="161"/>
        <v>21.372299999999999</v>
      </c>
      <c r="AS55" s="39">
        <f t="shared" si="161"/>
        <v>21.4956</v>
      </c>
      <c r="AT55" s="36" t="s">
        <v>117</v>
      </c>
      <c r="AU55" s="327">
        <f t="shared" si="143"/>
        <v>0.83</v>
      </c>
      <c r="AV55" s="328">
        <f t="shared" ref="AV55:BB55" si="162">IF($C$3=630,0.27,IF($C$3=710,0.396,IF($C$3=1030,0.83,IF($C$3=1250,1.227,IF($C$3=1530,1.83)))))</f>
        <v>0.83</v>
      </c>
      <c r="AW55" s="328">
        <f t="shared" si="162"/>
        <v>0.83</v>
      </c>
      <c r="AX55" s="328">
        <f t="shared" si="162"/>
        <v>0.83</v>
      </c>
      <c r="AY55" s="328">
        <f t="shared" si="162"/>
        <v>0.83</v>
      </c>
      <c r="AZ55" s="328">
        <f t="shared" si="162"/>
        <v>0.83</v>
      </c>
      <c r="BA55" s="328">
        <f t="shared" si="162"/>
        <v>0.83</v>
      </c>
      <c r="BB55" s="329">
        <f t="shared" si="162"/>
        <v>0.83</v>
      </c>
      <c r="BC55" s="36" t="s">
        <v>117</v>
      </c>
      <c r="BD55" s="327">
        <f t="shared" si="145"/>
        <v>0.83</v>
      </c>
      <c r="BE55" s="328">
        <f t="shared" ref="BE55:BK55" si="163">IF($C$3=630,0.27,IF($C$3=710,0.396,IF($C$3=1030,0.83,IF($C$3=1250,1.227,IF($C$3=1530,1.83)))))</f>
        <v>0.83</v>
      </c>
      <c r="BF55" s="328">
        <f t="shared" si="163"/>
        <v>0.83</v>
      </c>
      <c r="BG55" s="328">
        <f t="shared" si="163"/>
        <v>0.83</v>
      </c>
      <c r="BH55" s="328">
        <f t="shared" si="163"/>
        <v>0.83</v>
      </c>
      <c r="BI55" s="328">
        <f t="shared" si="163"/>
        <v>0.83</v>
      </c>
      <c r="BJ55" s="328">
        <f t="shared" si="163"/>
        <v>0.83</v>
      </c>
      <c r="BK55" s="329">
        <f t="shared" si="163"/>
        <v>0.83</v>
      </c>
    </row>
    <row r="56" spans="1:63" ht="15.75">
      <c r="A56" s="36" t="s">
        <v>118</v>
      </c>
      <c r="B56" s="62">
        <f>B21</f>
        <v>30</v>
      </c>
      <c r="C56" s="38">
        <f t="shared" ref="C56:I56" si="164">B56</f>
        <v>30</v>
      </c>
      <c r="D56" s="38">
        <f t="shared" si="164"/>
        <v>30</v>
      </c>
      <c r="E56" s="38">
        <f t="shared" si="164"/>
        <v>30</v>
      </c>
      <c r="F56" s="38">
        <f t="shared" si="164"/>
        <v>30</v>
      </c>
      <c r="G56" s="63">
        <f t="shared" si="164"/>
        <v>30</v>
      </c>
      <c r="H56" s="38">
        <f t="shared" si="164"/>
        <v>30</v>
      </c>
      <c r="I56" s="39">
        <f t="shared" si="164"/>
        <v>30</v>
      </c>
      <c r="J56" s="36" t="s">
        <v>118</v>
      </c>
      <c r="K56" s="62">
        <f>B56</f>
        <v>30</v>
      </c>
      <c r="L56" s="38">
        <f t="shared" ref="L56:R56" si="165">K56</f>
        <v>30</v>
      </c>
      <c r="M56" s="38">
        <f t="shared" si="165"/>
        <v>30</v>
      </c>
      <c r="N56" s="38">
        <f t="shared" si="165"/>
        <v>30</v>
      </c>
      <c r="O56" s="38">
        <f t="shared" si="165"/>
        <v>30</v>
      </c>
      <c r="P56" s="38">
        <f t="shared" si="165"/>
        <v>30</v>
      </c>
      <c r="Q56" s="38">
        <f t="shared" si="165"/>
        <v>30</v>
      </c>
      <c r="R56" s="39">
        <f t="shared" si="165"/>
        <v>30</v>
      </c>
      <c r="S56" s="181" t="s">
        <v>118</v>
      </c>
      <c r="T56" s="62">
        <f>K56</f>
        <v>30</v>
      </c>
      <c r="U56" s="38">
        <f t="shared" ref="U56:AA56" si="166">T56</f>
        <v>30</v>
      </c>
      <c r="V56" s="38">
        <f t="shared" si="166"/>
        <v>30</v>
      </c>
      <c r="W56" s="38">
        <f t="shared" si="166"/>
        <v>30</v>
      </c>
      <c r="X56" s="38">
        <f t="shared" si="166"/>
        <v>30</v>
      </c>
      <c r="Y56" s="38">
        <f t="shared" si="166"/>
        <v>30</v>
      </c>
      <c r="Z56" s="38">
        <f t="shared" si="166"/>
        <v>30</v>
      </c>
      <c r="AA56" s="39">
        <f t="shared" si="166"/>
        <v>30</v>
      </c>
      <c r="AJ56" s="72"/>
      <c r="AK56" s="166" t="s">
        <v>252</v>
      </c>
      <c r="AL56" s="44">
        <f t="shared" ref="AL56:AS56" si="167">ROUND(AL48*B45^2-AL49*B42^2-AL51*B56*AL47,4)</f>
        <v>18.5411</v>
      </c>
      <c r="AM56" s="38">
        <f t="shared" si="167"/>
        <v>-30.500900000000001</v>
      </c>
      <c r="AN56" s="38">
        <f t="shared" si="167"/>
        <v>-65.6511</v>
      </c>
      <c r="AO56" s="38">
        <f t="shared" si="167"/>
        <v>-98.605999999999995</v>
      </c>
      <c r="AP56" s="38">
        <f t="shared" si="167"/>
        <v>-133.86150000000001</v>
      </c>
      <c r="AQ56" s="38">
        <f t="shared" si="167"/>
        <v>-160.46850000000001</v>
      </c>
      <c r="AR56" s="38">
        <f t="shared" si="167"/>
        <v>-190.99789999999999</v>
      </c>
      <c r="AS56" s="39">
        <f t="shared" si="167"/>
        <v>-222.0752</v>
      </c>
      <c r="AT56" s="36" t="s">
        <v>118</v>
      </c>
      <c r="AU56" s="327">
        <f t="shared" si="143"/>
        <v>30</v>
      </c>
      <c r="AV56" s="328">
        <f t="shared" ref="AV56:BB56" si="168">AU56</f>
        <v>30</v>
      </c>
      <c r="AW56" s="328">
        <f t="shared" si="168"/>
        <v>30</v>
      </c>
      <c r="AX56" s="328">
        <f t="shared" si="168"/>
        <v>30</v>
      </c>
      <c r="AY56" s="328">
        <f t="shared" si="168"/>
        <v>30</v>
      </c>
      <c r="AZ56" s="328">
        <f t="shared" si="168"/>
        <v>30</v>
      </c>
      <c r="BA56" s="328">
        <f t="shared" si="168"/>
        <v>30</v>
      </c>
      <c r="BB56" s="329">
        <f t="shared" si="168"/>
        <v>30</v>
      </c>
      <c r="BC56" s="36" t="s">
        <v>118</v>
      </c>
      <c r="BD56" s="327">
        <f t="shared" si="145"/>
        <v>30</v>
      </c>
      <c r="BE56" s="328">
        <f t="shared" ref="BE56:BK56" si="169">BD56</f>
        <v>30</v>
      </c>
      <c r="BF56" s="328">
        <f t="shared" si="169"/>
        <v>30</v>
      </c>
      <c r="BG56" s="328">
        <f t="shared" si="169"/>
        <v>30</v>
      </c>
      <c r="BH56" s="328">
        <f t="shared" si="169"/>
        <v>30</v>
      </c>
      <c r="BI56" s="328">
        <f t="shared" si="169"/>
        <v>30</v>
      </c>
      <c r="BJ56" s="328">
        <f t="shared" si="169"/>
        <v>30</v>
      </c>
      <c r="BK56" s="329">
        <f t="shared" si="169"/>
        <v>30</v>
      </c>
    </row>
    <row r="57" spans="1:63">
      <c r="A57" s="36" t="s">
        <v>119</v>
      </c>
      <c r="B57" s="44">
        <f t="shared" ref="B57:I57" si="170">ROUND(B46*B48/3600/B42+0.4,0)</f>
        <v>192</v>
      </c>
      <c r="C57" s="38">
        <f t="shared" si="170"/>
        <v>139</v>
      </c>
      <c r="D57" s="38">
        <f t="shared" si="170"/>
        <v>108</v>
      </c>
      <c r="E57" s="38">
        <f t="shared" si="170"/>
        <v>85</v>
      </c>
      <c r="F57" s="38">
        <f t="shared" si="170"/>
        <v>71</v>
      </c>
      <c r="G57" s="63">
        <f t="shared" si="170"/>
        <v>58</v>
      </c>
      <c r="H57" s="38">
        <f t="shared" si="170"/>
        <v>50</v>
      </c>
      <c r="I57" s="39">
        <f t="shared" si="170"/>
        <v>44</v>
      </c>
      <c r="J57" s="36" t="s">
        <v>119</v>
      </c>
      <c r="K57" s="62">
        <f t="shared" ref="K57:R57" si="171">ROUND(K46*K48/3600/K42+0.4,0)</f>
        <v>192</v>
      </c>
      <c r="L57" s="38">
        <f t="shared" si="171"/>
        <v>139</v>
      </c>
      <c r="M57" s="38">
        <f t="shared" si="171"/>
        <v>108</v>
      </c>
      <c r="N57" s="38">
        <f t="shared" si="171"/>
        <v>85</v>
      </c>
      <c r="O57" s="38">
        <f t="shared" si="171"/>
        <v>71</v>
      </c>
      <c r="P57" s="38">
        <f t="shared" si="171"/>
        <v>58</v>
      </c>
      <c r="Q57" s="38">
        <f t="shared" si="171"/>
        <v>50</v>
      </c>
      <c r="R57" s="39">
        <f t="shared" si="171"/>
        <v>44</v>
      </c>
      <c r="S57" s="181" t="s">
        <v>119</v>
      </c>
      <c r="T57" s="44">
        <f t="shared" ref="T57:AA57" si="172">ROUND(T46*T48/3600/T42+0.4,0)</f>
        <v>192</v>
      </c>
      <c r="U57" s="38">
        <f t="shared" si="172"/>
        <v>139</v>
      </c>
      <c r="V57" s="38">
        <f t="shared" si="172"/>
        <v>108</v>
      </c>
      <c r="W57" s="38">
        <f t="shared" si="172"/>
        <v>85</v>
      </c>
      <c r="X57" s="38">
        <f t="shared" si="172"/>
        <v>71</v>
      </c>
      <c r="Y57" s="38">
        <f t="shared" si="172"/>
        <v>58</v>
      </c>
      <c r="Z57" s="38">
        <f t="shared" si="172"/>
        <v>50</v>
      </c>
      <c r="AA57" s="39">
        <f t="shared" si="172"/>
        <v>44</v>
      </c>
      <c r="AB57" s="12" t="s">
        <v>221</v>
      </c>
      <c r="AC57" s="135">
        <f>AC22</f>
        <v>2</v>
      </c>
      <c r="AD57" s="3" t="s">
        <v>213</v>
      </c>
      <c r="AE57" s="7"/>
      <c r="AF57" s="7"/>
      <c r="AG57" s="7"/>
      <c r="AH57" s="7"/>
      <c r="AI57" s="7"/>
      <c r="AJ57" s="7"/>
      <c r="AK57" s="167" t="s">
        <v>126</v>
      </c>
      <c r="AL57" s="170">
        <f t="shared" ref="AL57:AS57" si="173">ROUND(AL52*B47,4)</f>
        <v>0</v>
      </c>
      <c r="AM57" s="171">
        <f t="shared" si="173"/>
        <v>94.914000000000001</v>
      </c>
      <c r="AN57" s="171">
        <f t="shared" si="173"/>
        <v>161.28980000000001</v>
      </c>
      <c r="AO57" s="171">
        <f t="shared" si="173"/>
        <v>213.41409999999999</v>
      </c>
      <c r="AP57" s="171">
        <f t="shared" si="173"/>
        <v>260.75080000000003</v>
      </c>
      <c r="AQ57" s="171">
        <f t="shared" si="173"/>
        <v>297.76710000000003</v>
      </c>
      <c r="AR57" s="171">
        <f t="shared" si="173"/>
        <v>334.44299999999998</v>
      </c>
      <c r="AS57" s="172">
        <f t="shared" si="173"/>
        <v>369.0831</v>
      </c>
      <c r="AT57" s="36" t="s">
        <v>119</v>
      </c>
      <c r="AU57" s="327">
        <f t="shared" si="143"/>
        <v>192</v>
      </c>
      <c r="AV57" s="328">
        <f t="shared" ref="AV57:BB57" si="174">ROUND(AV46*AV48/3600/AV42+0.4,0)</f>
        <v>139</v>
      </c>
      <c r="AW57" s="328">
        <f t="shared" si="174"/>
        <v>108</v>
      </c>
      <c r="AX57" s="328">
        <f t="shared" si="174"/>
        <v>85</v>
      </c>
      <c r="AY57" s="328">
        <f t="shared" si="174"/>
        <v>71</v>
      </c>
      <c r="AZ57" s="328">
        <f t="shared" si="174"/>
        <v>58</v>
      </c>
      <c r="BA57" s="328">
        <f t="shared" si="174"/>
        <v>50</v>
      </c>
      <c r="BB57" s="329">
        <f t="shared" si="174"/>
        <v>44</v>
      </c>
      <c r="BC57" s="36" t="s">
        <v>119</v>
      </c>
      <c r="BD57" s="327">
        <f t="shared" si="145"/>
        <v>192</v>
      </c>
      <c r="BE57" s="328">
        <f t="shared" ref="BE57:BK57" si="175">ROUND(BE46*BE48/3600/BE42+0.4,0)</f>
        <v>139</v>
      </c>
      <c r="BF57" s="328">
        <f t="shared" si="175"/>
        <v>108</v>
      </c>
      <c r="BG57" s="328">
        <f t="shared" si="175"/>
        <v>85</v>
      </c>
      <c r="BH57" s="328">
        <f t="shared" si="175"/>
        <v>71</v>
      </c>
      <c r="BI57" s="328">
        <f t="shared" si="175"/>
        <v>58</v>
      </c>
      <c r="BJ57" s="328">
        <f t="shared" si="175"/>
        <v>50</v>
      </c>
      <c r="BK57" s="329">
        <f t="shared" si="175"/>
        <v>44</v>
      </c>
    </row>
    <row r="58" spans="1:63">
      <c r="A58" s="36" t="s">
        <v>343</v>
      </c>
      <c r="B58" s="44">
        <f>IF(B44&lt;4,0.99,IF(B44&lt;8,0.92,0.9))</f>
        <v>0.99</v>
      </c>
      <c r="C58" s="38">
        <f t="shared" ref="C58:I58" si="176">IF(C44&lt;4,0.99,IF(C44&lt;8,0.92,0.9))</f>
        <v>0.99</v>
      </c>
      <c r="D58" s="38">
        <f t="shared" si="176"/>
        <v>0.99</v>
      </c>
      <c r="E58" s="38">
        <f t="shared" si="176"/>
        <v>0.99</v>
      </c>
      <c r="F58" s="38">
        <f t="shared" si="176"/>
        <v>0.99</v>
      </c>
      <c r="G58" s="38">
        <f t="shared" si="176"/>
        <v>0.99</v>
      </c>
      <c r="H58" s="38">
        <f t="shared" si="176"/>
        <v>0.99</v>
      </c>
      <c r="I58" s="39">
        <f t="shared" si="176"/>
        <v>0.99</v>
      </c>
      <c r="J58" s="36" t="s">
        <v>343</v>
      </c>
      <c r="K58" s="44">
        <f>IF(K44&lt;4,0.99,IF(K44&lt;8,0.92,0.9))</f>
        <v>0.99</v>
      </c>
      <c r="L58" s="38">
        <f t="shared" ref="L58:R58" si="177">IF(L44&lt;4,0.99,IF(L44&lt;8,0.92,0.9))</f>
        <v>0.99</v>
      </c>
      <c r="M58" s="38">
        <f t="shared" si="177"/>
        <v>0.99</v>
      </c>
      <c r="N58" s="38">
        <f t="shared" si="177"/>
        <v>0.99</v>
      </c>
      <c r="O58" s="38">
        <f t="shared" si="177"/>
        <v>0.99</v>
      </c>
      <c r="P58" s="38">
        <f t="shared" si="177"/>
        <v>0.99</v>
      </c>
      <c r="Q58" s="38">
        <f t="shared" si="177"/>
        <v>0.99</v>
      </c>
      <c r="R58" s="39">
        <f t="shared" si="177"/>
        <v>0.99</v>
      </c>
      <c r="S58" s="36" t="s">
        <v>343</v>
      </c>
      <c r="T58" s="44">
        <f>IF(T44&lt;4,0.99,IF(T44&lt;8,0.92,0.9))</f>
        <v>0.99</v>
      </c>
      <c r="U58" s="38">
        <f t="shared" ref="U58:AA58" si="178">IF(U44&lt;4,0.99,IF(U44&lt;8,0.92,0.9))</f>
        <v>0.99</v>
      </c>
      <c r="V58" s="38">
        <f t="shared" si="178"/>
        <v>0.99</v>
      </c>
      <c r="W58" s="38">
        <f t="shared" si="178"/>
        <v>0.99</v>
      </c>
      <c r="X58" s="38">
        <f t="shared" si="178"/>
        <v>0.99</v>
      </c>
      <c r="Y58" s="38">
        <f t="shared" si="178"/>
        <v>0.99</v>
      </c>
      <c r="Z58" s="38">
        <f t="shared" si="178"/>
        <v>0.99</v>
      </c>
      <c r="AA58" s="39">
        <f t="shared" si="178"/>
        <v>0.99</v>
      </c>
      <c r="AB58" s="12"/>
      <c r="AC58" s="141"/>
      <c r="AE58" s="13"/>
      <c r="AF58" s="1216"/>
      <c r="AG58" s="141"/>
      <c r="AH58" s="13"/>
      <c r="AK58" s="168" t="s">
        <v>228</v>
      </c>
      <c r="AL58" s="62" t="e">
        <f t="shared" ref="AL58:AS58" si="179">ROUND(B43/AL57,4)</f>
        <v>#DIV/0!</v>
      </c>
      <c r="AM58" s="63">
        <f t="shared" si="179"/>
        <v>0.1686</v>
      </c>
      <c r="AN58" s="63">
        <f t="shared" si="179"/>
        <v>0.10539999999999999</v>
      </c>
      <c r="AO58" s="63">
        <f t="shared" si="179"/>
        <v>8.43E-2</v>
      </c>
      <c r="AP58" s="63">
        <f t="shared" si="179"/>
        <v>9.5899999999999999E-2</v>
      </c>
      <c r="AQ58" s="63">
        <f t="shared" si="179"/>
        <v>8.4000000000000005E-2</v>
      </c>
      <c r="AR58" s="63">
        <f t="shared" si="179"/>
        <v>7.4800000000000005E-2</v>
      </c>
      <c r="AS58" s="64">
        <f t="shared" si="179"/>
        <v>7.0400000000000004E-2</v>
      </c>
      <c r="AT58" s="69" t="s">
        <v>343</v>
      </c>
      <c r="AU58" s="350">
        <f t="shared" ref="AU58:BB58" si="180">IF(AU44&lt;4,0.99,IF(AU44&lt;8,0.92,0.9))</f>
        <v>0.99</v>
      </c>
      <c r="AV58" s="328">
        <f t="shared" si="180"/>
        <v>0.99</v>
      </c>
      <c r="AW58" s="328">
        <f t="shared" si="180"/>
        <v>0.99</v>
      </c>
      <c r="AX58" s="328">
        <f t="shared" si="180"/>
        <v>0.99</v>
      </c>
      <c r="AY58" s="328">
        <f t="shared" si="180"/>
        <v>0.99</v>
      </c>
      <c r="AZ58" s="328">
        <f t="shared" si="180"/>
        <v>0.99</v>
      </c>
      <c r="BA58" s="328">
        <f t="shared" si="180"/>
        <v>0.99</v>
      </c>
      <c r="BB58" s="329">
        <f t="shared" si="180"/>
        <v>0.99</v>
      </c>
      <c r="BC58" s="69" t="s">
        <v>343</v>
      </c>
      <c r="BD58" s="350">
        <f t="shared" ref="BD58:BK58" si="181">IF(BD44&lt;4,0.99,IF(BD44&lt;8,0.92,0.9))</f>
        <v>0.99</v>
      </c>
      <c r="BE58" s="328">
        <f t="shared" si="181"/>
        <v>0.99</v>
      </c>
      <c r="BF58" s="328">
        <f t="shared" si="181"/>
        <v>0.99</v>
      </c>
      <c r="BG58" s="328">
        <f t="shared" si="181"/>
        <v>0.99</v>
      </c>
      <c r="BH58" s="328">
        <f t="shared" si="181"/>
        <v>0.99</v>
      </c>
      <c r="BI58" s="328">
        <f t="shared" si="181"/>
        <v>0.99</v>
      </c>
      <c r="BJ58" s="328">
        <f t="shared" si="181"/>
        <v>0.99</v>
      </c>
      <c r="BK58" s="329">
        <f t="shared" si="181"/>
        <v>0.99</v>
      </c>
    </row>
    <row r="59" spans="1:63" ht="15.75">
      <c r="A59" s="36" t="s">
        <v>154</v>
      </c>
      <c r="B59" s="44">
        <f t="shared" ref="B59:I59" si="182">ROUND((1+B51+B52*B48/B53)*B49/2*B44^2,4)</f>
        <v>7.7799999999999994E-2</v>
      </c>
      <c r="C59" s="38">
        <f t="shared" si="182"/>
        <v>0.19919999999999999</v>
      </c>
      <c r="D59" s="38">
        <f t="shared" si="182"/>
        <v>0.2248</v>
      </c>
      <c r="E59" s="38">
        <f t="shared" si="182"/>
        <v>0.25209999999999999</v>
      </c>
      <c r="F59" s="38">
        <f t="shared" si="182"/>
        <v>0.48630000000000001</v>
      </c>
      <c r="G59" s="63">
        <f t="shared" si="182"/>
        <v>0.48630000000000001</v>
      </c>
      <c r="H59" s="38">
        <f t="shared" si="182"/>
        <v>0.48630000000000001</v>
      </c>
      <c r="I59" s="39">
        <f t="shared" si="182"/>
        <v>0.52590000000000003</v>
      </c>
      <c r="J59" s="36" t="s">
        <v>154</v>
      </c>
      <c r="K59" s="62">
        <f t="shared" ref="K59:R59" si="183">ROUND((1+K51+K52*K48/K53)*K49/2*K44^2,4)</f>
        <v>0.65449999999999997</v>
      </c>
      <c r="L59" s="38">
        <f t="shared" si="183"/>
        <v>0.61</v>
      </c>
      <c r="M59" s="38">
        <f t="shared" si="183"/>
        <v>0.34310000000000002</v>
      </c>
      <c r="N59" s="38">
        <f t="shared" si="183"/>
        <v>0.28079999999999999</v>
      </c>
      <c r="O59" s="38">
        <f t="shared" si="183"/>
        <v>0.25209999999999999</v>
      </c>
      <c r="P59" s="38">
        <f t="shared" si="183"/>
        <v>0.2248</v>
      </c>
      <c r="Q59" s="38">
        <f t="shared" si="183"/>
        <v>0.2248</v>
      </c>
      <c r="R59" s="39">
        <f t="shared" si="183"/>
        <v>0.28079999999999999</v>
      </c>
      <c r="S59" s="181" t="s">
        <v>154</v>
      </c>
      <c r="T59" s="44">
        <f t="shared" ref="T59:AA59" si="184">ROUND((1+T51+T52*T48/T53)*T49/2*T44^2,4)</f>
        <v>1.9400000000000001E-2</v>
      </c>
      <c r="U59" s="38">
        <f t="shared" si="184"/>
        <v>1.2500000000000001E-2</v>
      </c>
      <c r="V59" s="38">
        <f t="shared" si="184"/>
        <v>1.2500000000000001E-2</v>
      </c>
      <c r="W59" s="38">
        <f t="shared" si="184"/>
        <v>7.0000000000000001E-3</v>
      </c>
      <c r="X59" s="38">
        <f t="shared" si="184"/>
        <v>7.0000000000000001E-3</v>
      </c>
      <c r="Y59" s="38">
        <f t="shared" si="184"/>
        <v>7.0000000000000001E-3</v>
      </c>
      <c r="Z59" s="38">
        <f t="shared" si="184"/>
        <v>1.2500000000000001E-2</v>
      </c>
      <c r="AA59" s="39">
        <f t="shared" si="184"/>
        <v>1.2500000000000001E-2</v>
      </c>
      <c r="AI59" s="13"/>
      <c r="AK59" s="69" t="s">
        <v>229</v>
      </c>
      <c r="AL59" s="179" t="e">
        <f t="shared" ref="AL59:AS59" si="185">ROUND(K43/AL57,4)</f>
        <v>#DIV/0!</v>
      </c>
      <c r="AM59" s="63">
        <f t="shared" si="185"/>
        <v>0.29499999999999998</v>
      </c>
      <c r="AN59" s="63">
        <f t="shared" si="185"/>
        <v>0.13020000000000001</v>
      </c>
      <c r="AO59" s="63">
        <f t="shared" si="185"/>
        <v>8.8999999999999996E-2</v>
      </c>
      <c r="AP59" s="63">
        <f t="shared" si="185"/>
        <v>6.9000000000000006E-2</v>
      </c>
      <c r="AQ59" s="63">
        <f t="shared" si="185"/>
        <v>5.7099999999999998E-2</v>
      </c>
      <c r="AR59" s="63">
        <f t="shared" si="185"/>
        <v>5.0799999999999998E-2</v>
      </c>
      <c r="AS59" s="64">
        <f t="shared" si="185"/>
        <v>5.1499999999999997E-2</v>
      </c>
      <c r="AT59" s="36" t="s">
        <v>154</v>
      </c>
      <c r="AU59" s="327">
        <f t="shared" ref="AU59:BB59" si="186">ROUND((1+AU51+AU52*AU48/AU53)*AU49/2*AU44^2,4)</f>
        <v>0</v>
      </c>
      <c r="AV59" s="328">
        <f t="shared" si="186"/>
        <v>0</v>
      </c>
      <c r="AW59" s="328">
        <f t="shared" si="186"/>
        <v>0</v>
      </c>
      <c r="AX59" s="328">
        <f t="shared" si="186"/>
        <v>0</v>
      </c>
      <c r="AY59" s="328">
        <f t="shared" si="186"/>
        <v>0</v>
      </c>
      <c r="AZ59" s="328">
        <f t="shared" si="186"/>
        <v>0</v>
      </c>
      <c r="BA59" s="328">
        <f t="shared" si="186"/>
        <v>0</v>
      </c>
      <c r="BB59" s="329">
        <f t="shared" si="186"/>
        <v>0</v>
      </c>
      <c r="BC59" s="36" t="s">
        <v>154</v>
      </c>
      <c r="BD59" s="327">
        <f t="shared" ref="BD59:BK59" si="187">ROUND((1+BD51+BD52*BD48/BD53)*BD49/2*BD44^2,4)</f>
        <v>0</v>
      </c>
      <c r="BE59" s="328">
        <f t="shared" si="187"/>
        <v>0</v>
      </c>
      <c r="BF59" s="328">
        <f t="shared" si="187"/>
        <v>0</v>
      </c>
      <c r="BG59" s="328">
        <f t="shared" si="187"/>
        <v>0</v>
      </c>
      <c r="BH59" s="328">
        <f t="shared" si="187"/>
        <v>0</v>
      </c>
      <c r="BI59" s="328">
        <f t="shared" si="187"/>
        <v>0</v>
      </c>
      <c r="BJ59" s="328">
        <f t="shared" si="187"/>
        <v>0</v>
      </c>
      <c r="BK59" s="329">
        <f t="shared" si="187"/>
        <v>0</v>
      </c>
    </row>
    <row r="60" spans="1:63" ht="16.5" thickBot="1">
      <c r="A60" s="36" t="s">
        <v>155</v>
      </c>
      <c r="B60" s="44">
        <f t="shared" ref="B60:I60" si="188">ROUND((1+B51+B52*B48/B53)*B49/2*B45^2,4)</f>
        <v>16.741299999999999</v>
      </c>
      <c r="C60" s="38">
        <f t="shared" si="188"/>
        <v>16.741299999999999</v>
      </c>
      <c r="D60" s="38">
        <f t="shared" si="188"/>
        <v>16.741299999999999</v>
      </c>
      <c r="E60" s="38">
        <f t="shared" si="188"/>
        <v>16.741299999999999</v>
      </c>
      <c r="F60" s="38">
        <f t="shared" si="188"/>
        <v>16.741299999999999</v>
      </c>
      <c r="G60" s="63">
        <f t="shared" si="188"/>
        <v>16.741299999999999</v>
      </c>
      <c r="H60" s="38">
        <f t="shared" si="188"/>
        <v>16.741299999999999</v>
      </c>
      <c r="I60" s="39">
        <f t="shared" si="188"/>
        <v>16.741299999999999</v>
      </c>
      <c r="J60" s="36" t="s">
        <v>155</v>
      </c>
      <c r="K60" s="62">
        <f t="shared" ref="K60:R60" si="189">ROUND((1+K51+K52*K48/K53)*K49/2*K45^2,4)</f>
        <v>16.741299999999999</v>
      </c>
      <c r="L60" s="38">
        <f t="shared" si="189"/>
        <v>16.741299999999999</v>
      </c>
      <c r="M60" s="38">
        <f t="shared" si="189"/>
        <v>16.741299999999999</v>
      </c>
      <c r="N60" s="38">
        <f t="shared" si="189"/>
        <v>16.741299999999999</v>
      </c>
      <c r="O60" s="38">
        <f t="shared" si="189"/>
        <v>16.741299999999999</v>
      </c>
      <c r="P60" s="38">
        <f t="shared" si="189"/>
        <v>16.741299999999999</v>
      </c>
      <c r="Q60" s="38">
        <f t="shared" si="189"/>
        <v>16.741299999999999</v>
      </c>
      <c r="R60" s="39">
        <f t="shared" si="189"/>
        <v>16.741299999999999</v>
      </c>
      <c r="S60" s="181" t="s">
        <v>155</v>
      </c>
      <c r="T60" s="44">
        <f t="shared" ref="T60:AA60" si="190">ROUND((1+T51+T52*T48/T53)*T49/2*T45^2,4)</f>
        <v>16.741299999999999</v>
      </c>
      <c r="U60" s="38">
        <f t="shared" si="190"/>
        <v>16.741299999999999</v>
      </c>
      <c r="V60" s="38">
        <f t="shared" si="190"/>
        <v>16.741299999999999</v>
      </c>
      <c r="W60" s="38">
        <f t="shared" si="190"/>
        <v>16.741299999999999</v>
      </c>
      <c r="X60" s="38">
        <f t="shared" si="190"/>
        <v>16.741299999999999</v>
      </c>
      <c r="Y60" s="38">
        <f t="shared" si="190"/>
        <v>16.741299999999999</v>
      </c>
      <c r="Z60" s="38">
        <f t="shared" si="190"/>
        <v>16.741299999999999</v>
      </c>
      <c r="AA60" s="39">
        <f t="shared" si="190"/>
        <v>16.741299999999999</v>
      </c>
      <c r="AC60" s="136" t="s">
        <v>220</v>
      </c>
      <c r="AD60" s="141">
        <f>C38</f>
        <v>1030</v>
      </c>
      <c r="AH60" s="12" t="s">
        <v>519</v>
      </c>
      <c r="AI60" s="12" t="s">
        <v>423</v>
      </c>
      <c r="AK60" s="69" t="s">
        <v>230</v>
      </c>
      <c r="AL60" s="62" t="e">
        <f t="shared" ref="AL60:AS60" si="191">ROUND(T43/AL57,4)</f>
        <v>#DIV/0!</v>
      </c>
      <c r="AM60" s="63">
        <f t="shared" si="191"/>
        <v>4.2099999999999999E-2</v>
      </c>
      <c r="AN60" s="63">
        <f t="shared" si="191"/>
        <v>2.4799999999999999E-2</v>
      </c>
      <c r="AO60" s="63">
        <f t="shared" si="191"/>
        <v>1.41E-2</v>
      </c>
      <c r="AP60" s="63">
        <f t="shared" si="191"/>
        <v>1.15E-2</v>
      </c>
      <c r="AQ60" s="63">
        <f t="shared" si="191"/>
        <v>1.01E-2</v>
      </c>
      <c r="AR60" s="63">
        <f t="shared" si="191"/>
        <v>1.2E-2</v>
      </c>
      <c r="AS60" s="64">
        <f t="shared" si="191"/>
        <v>1.0800000000000001E-2</v>
      </c>
      <c r="AT60" s="36" t="s">
        <v>155</v>
      </c>
      <c r="AU60" s="327">
        <f t="shared" ref="AU60:BB60" si="192">ROUND((1+AU51+AU52*AU48/AU53)*AU49/2*AU45^2,4)</f>
        <v>16.741299999999999</v>
      </c>
      <c r="AV60" s="328">
        <f t="shared" si="192"/>
        <v>16.741299999999999</v>
      </c>
      <c r="AW60" s="328">
        <f t="shared" si="192"/>
        <v>16.741299999999999</v>
      </c>
      <c r="AX60" s="328">
        <f t="shared" si="192"/>
        <v>16.741299999999999</v>
      </c>
      <c r="AY60" s="328">
        <f t="shared" si="192"/>
        <v>16.741299999999999</v>
      </c>
      <c r="AZ60" s="328">
        <f t="shared" si="192"/>
        <v>16.741299999999999</v>
      </c>
      <c r="BA60" s="328">
        <f t="shared" si="192"/>
        <v>16.741299999999999</v>
      </c>
      <c r="BB60" s="329">
        <f t="shared" si="192"/>
        <v>16.741299999999999</v>
      </c>
      <c r="BC60" s="36" t="s">
        <v>155</v>
      </c>
      <c r="BD60" s="327">
        <f t="shared" ref="BD60:BK60" si="193">ROUND((1+BD51+BD52*BD48/BD53)*BD49/2*BD45^2,4)</f>
        <v>16.741299999999999</v>
      </c>
      <c r="BE60" s="328">
        <f t="shared" si="193"/>
        <v>16.741299999999999</v>
      </c>
      <c r="BF60" s="328">
        <f t="shared" si="193"/>
        <v>16.741299999999999</v>
      </c>
      <c r="BG60" s="328">
        <f t="shared" si="193"/>
        <v>16.741299999999999</v>
      </c>
      <c r="BH60" s="328">
        <f t="shared" si="193"/>
        <v>16.741299999999999</v>
      </c>
      <c r="BI60" s="328">
        <f t="shared" si="193"/>
        <v>16.741299999999999</v>
      </c>
      <c r="BJ60" s="328">
        <f t="shared" si="193"/>
        <v>16.741299999999999</v>
      </c>
      <c r="BK60" s="329">
        <f t="shared" si="193"/>
        <v>16.741299999999999</v>
      </c>
    </row>
    <row r="61" spans="1:63" ht="15.75">
      <c r="A61" s="36" t="s">
        <v>156</v>
      </c>
      <c r="B61" s="44">
        <f t="shared" ref="B61:I61" si="194">IF(B42&gt;B44,ROUND(B49/2*B54/B47*(B42-B44)^2*B57,4),IF(B42&lt;B44,ROUND(-B49/2*B54/B47*(B44-B42)^2*B57,4)))</f>
        <v>14.375299999999999</v>
      </c>
      <c r="C61" s="38">
        <f t="shared" si="194"/>
        <v>42.721899999999998</v>
      </c>
      <c r="D61" s="38">
        <f t="shared" si="194"/>
        <v>76.760199999999998</v>
      </c>
      <c r="E61" s="38">
        <f t="shared" si="194"/>
        <v>109.06659999999999</v>
      </c>
      <c r="F61" s="38">
        <f t="shared" si="194"/>
        <v>141.50380000000001</v>
      </c>
      <c r="G61" s="63">
        <f t="shared" si="194"/>
        <v>168.25839999999999</v>
      </c>
      <c r="H61" s="38">
        <f t="shared" si="194"/>
        <v>198.73779999999999</v>
      </c>
      <c r="I61" s="39">
        <f t="shared" si="194"/>
        <v>229.41030000000001</v>
      </c>
      <c r="J61" s="36" t="s">
        <v>156</v>
      </c>
      <c r="K61" s="62">
        <f>IF('환기량 산정'!K1526=1,IF(K42&gt;K44,ROUND(K49/2*K54/K47*(K42-K44)^2*K57,4),IF(K42&lt;K44,ROUND(-K49/2*K54/K47*(K44-K42)^2*K57,4))),ROUND(K49/2*K54/K47*(K42+K44)^2*K57,4))</f>
        <v>11.0283</v>
      </c>
      <c r="L61" s="38">
        <f t="shared" ref="L61:R61" si="195">IF(L42&gt;L44,ROUND(L49/2*L54/L47*(L42-L44)^2*L57,4),IF(L42&lt;L44,ROUND(-L49/2*L54/L47*(L44-L42)^2*L57,4)))</f>
        <v>39.481099999999998</v>
      </c>
      <c r="M61" s="38">
        <f t="shared" si="195"/>
        <v>75.4636</v>
      </c>
      <c r="N61" s="38">
        <f t="shared" si="195"/>
        <v>108.7236</v>
      </c>
      <c r="O61" s="38">
        <f t="shared" si="195"/>
        <v>144.02260000000001</v>
      </c>
      <c r="P61" s="38">
        <f t="shared" si="195"/>
        <v>171.096</v>
      </c>
      <c r="Q61" s="38">
        <f t="shared" si="195"/>
        <v>201.5994</v>
      </c>
      <c r="R61" s="39">
        <f t="shared" si="195"/>
        <v>231.9307</v>
      </c>
      <c r="S61" s="181" t="s">
        <v>156</v>
      </c>
      <c r="T61" s="44">
        <f>IF('환기량 산정'!K1526=1,IF(T42&gt;T44,ROUND(T49/2*T54/T47*(T42-T44)^2*T57,4),IF(T42&lt;T44,ROUND(-T49/2*T54/T47*(T44-T42)^2*T57,4))),ROUND(T49/2*T54/T47*(T42+T44)^2*T57,4))</f>
        <v>15.3293</v>
      </c>
      <c r="U61" s="38">
        <f t="shared" ref="U61:AA61" si="196">IF(U42&gt;U44,ROUND(U49/2*U54/U47*(U42-U44)^2*U57,4),IF(U42&lt;U44,ROUND(-U49/2*U54/U47*(U44-U42)^2*U57,4)))</f>
        <v>46.090600000000002</v>
      </c>
      <c r="V61" s="38">
        <f t="shared" si="196"/>
        <v>81.047799999999995</v>
      </c>
      <c r="W61" s="38">
        <f t="shared" si="196"/>
        <v>114.2907</v>
      </c>
      <c r="X61" s="38">
        <f t="shared" si="196"/>
        <v>149.49600000000001</v>
      </c>
      <c r="Y61" s="38">
        <f t="shared" si="196"/>
        <v>176.11670000000001</v>
      </c>
      <c r="Z61" s="38">
        <f t="shared" si="196"/>
        <v>206.28989999999999</v>
      </c>
      <c r="AA61" s="39">
        <f t="shared" si="196"/>
        <v>237.37710000000001</v>
      </c>
      <c r="AC61" s="146" t="s">
        <v>214</v>
      </c>
      <c r="AD61" s="147">
        <f>MAX(B67:I67)</f>
        <v>1</v>
      </c>
      <c r="AE61" s="148" t="s">
        <v>213</v>
      </c>
      <c r="AF61" s="147">
        <f>IF($AH$61=I66,I41,IF($AH$61=H66,H41,IF($AH$61=G66,G41,IF($AH$61=F66,F41,IF($AH$61=E66,E41,IF($AH$61=D66,D41,IF($AH$61=C66,C41,IF($AH$61=B66,B41))))))))</f>
        <v>10</v>
      </c>
      <c r="AG61" s="149" t="s">
        <v>219</v>
      </c>
      <c r="AH61" s="3">
        <f>MAX(B66:I66)</f>
        <v>0.17</v>
      </c>
      <c r="AI61" s="3">
        <f>MAX(B44:I44)</f>
        <v>0.44309999999999999</v>
      </c>
      <c r="AK61" s="69" t="s">
        <v>253</v>
      </c>
      <c r="AL61" s="62" t="e">
        <f>ROUND('환기량 산정'!C683/6.25*AL58*AL57,4)</f>
        <v>#DIV/0!</v>
      </c>
      <c r="AM61" s="63">
        <f>ROUND('환기량 산정'!D683/6.25*AM58*AM57,4)</f>
        <v>1.7899999999999999E-2</v>
      </c>
      <c r="AN61" s="63">
        <f>ROUND('환기량 산정'!E683/6.25*AN58*AN57,4)</f>
        <v>1.9E-2</v>
      </c>
      <c r="AO61" s="63">
        <f>ROUND('환기량 산정'!F683/6.25*AO58*AO57,4)</f>
        <v>2.01E-2</v>
      </c>
      <c r="AP61" s="63">
        <f>ROUND('환기량 산정'!G683/6.25*AP58*AP57,4)</f>
        <v>0.02</v>
      </c>
      <c r="AQ61" s="63">
        <f>ROUND('환기량 산정'!H683/6.25*AQ58*AQ57,4)</f>
        <v>0.02</v>
      </c>
      <c r="AR61" s="63">
        <f>ROUND('환기량 산정'!I683/6.25*AR58*AR57,4)</f>
        <v>0.02</v>
      </c>
      <c r="AS61" s="64">
        <f>ROUND('환기량 산정'!J683/6.25*AS58*AS57,4)</f>
        <v>2.0799999999999999E-2</v>
      </c>
      <c r="AT61" s="36" t="s">
        <v>156</v>
      </c>
      <c r="AU61" s="327">
        <f>IF('환기량 산정'!$K$1526=1,IF(AU42&gt;AU44,ROUND(AU49/2*AU54/AU47*(AU42-AU44)^2*AU57,4),IF(AU42&lt;AU44,ROUND(-AU49/2*AU54/AU47*(AU44-AU42)^2*AU57,4))),ROUND(AU49/2*AU54/AU47*(AU42+AU44)^2*AU57,4))</f>
        <v>16.3139</v>
      </c>
      <c r="AV61" s="328">
        <f t="shared" ref="AV61:BB61" si="197">IF(AV42&gt;AV44,ROUND(AV49/2*AV54/AV47*(AV42-AV44)^2*AV57,4),IF(AV42&lt;AV44,ROUND(-AV49/2*AV54/AV47*(AV44-AV42)^2*AV57,4)))</f>
        <v>47.2425</v>
      </c>
      <c r="AW61" s="328">
        <f t="shared" si="197"/>
        <v>82.391400000000004</v>
      </c>
      <c r="AX61" s="328">
        <f t="shared" si="197"/>
        <v>115.3493</v>
      </c>
      <c r="AY61" s="328">
        <f t="shared" si="197"/>
        <v>150.602</v>
      </c>
      <c r="AZ61" s="328">
        <f t="shared" si="197"/>
        <v>177.20140000000001</v>
      </c>
      <c r="BA61" s="328">
        <f t="shared" si="197"/>
        <v>207.745</v>
      </c>
      <c r="BB61" s="329">
        <f t="shared" si="197"/>
        <v>238.84100000000001</v>
      </c>
      <c r="BC61" s="36" t="s">
        <v>156</v>
      </c>
      <c r="BD61" s="327">
        <f>IF('환기량 산정'!$K$1526=1,IF(BD42&gt;BD44,ROUND(BD49/2*BD54/BD47*(BD42-BD44)^2*BD57,4),IF(BD42&lt;BD44,ROUND(-BD49/2*BD54/BD47*(BD44-BD42)^2*BD57,4))),ROUND(BD49/2*BD54/BD47*(BD42+BD44)^2*BD57,4))</f>
        <v>16.3139</v>
      </c>
      <c r="BE61" s="328">
        <f t="shared" ref="BE61:BK61" si="198">IF(BE42&gt;BE44,ROUND(BE49/2*BE54/BE47*(BE42-BE44)^2*BE57,4),IF(BE42&lt;BE44,ROUND(-BE49/2*BE54/BE47*(BE44-BE42)^2*BE57,4)))</f>
        <v>47.2425</v>
      </c>
      <c r="BF61" s="328">
        <f t="shared" si="198"/>
        <v>82.391400000000004</v>
      </c>
      <c r="BG61" s="328">
        <f t="shared" si="198"/>
        <v>115.3493</v>
      </c>
      <c r="BH61" s="328">
        <f t="shared" si="198"/>
        <v>150.602</v>
      </c>
      <c r="BI61" s="328">
        <f t="shared" si="198"/>
        <v>177.20140000000001</v>
      </c>
      <c r="BJ61" s="328">
        <f t="shared" si="198"/>
        <v>207.745</v>
      </c>
      <c r="BK61" s="329">
        <f t="shared" si="198"/>
        <v>238.84100000000001</v>
      </c>
    </row>
    <row r="62" spans="1:63" ht="15.75">
      <c r="A62" s="36" t="s">
        <v>158</v>
      </c>
      <c r="B62" s="44"/>
      <c r="C62" s="38"/>
      <c r="D62" s="38"/>
      <c r="E62" s="38"/>
      <c r="F62" s="38"/>
      <c r="G62" s="63"/>
      <c r="H62" s="38"/>
      <c r="I62" s="39"/>
      <c r="J62" s="36" t="s">
        <v>158</v>
      </c>
      <c r="K62" s="62"/>
      <c r="L62" s="38"/>
      <c r="M62" s="38"/>
      <c r="N62" s="38"/>
      <c r="O62" s="38"/>
      <c r="P62" s="38"/>
      <c r="Q62" s="38"/>
      <c r="R62" s="39"/>
      <c r="S62" s="181" t="s">
        <v>158</v>
      </c>
      <c r="T62" s="44"/>
      <c r="U62" s="38"/>
      <c r="V62" s="38"/>
      <c r="W62" s="38"/>
      <c r="X62" s="38"/>
      <c r="Y62" s="38"/>
      <c r="Z62" s="38"/>
      <c r="AA62" s="39"/>
      <c r="AC62" s="150" t="s">
        <v>215</v>
      </c>
      <c r="AD62" s="151">
        <f>MAX(K67:R67)</f>
        <v>1</v>
      </c>
      <c r="AE62" s="152" t="s">
        <v>213</v>
      </c>
      <c r="AF62" s="151">
        <f>IF($AH$62=R66,R41,IF($AH$62=Q66,Q41,IF($AH$62=P66,P41,IF($AH$62=O66,O41,IF($AH$62=N66,N41,IF($AH$62=M66,M41,IF($AH$62=L66,L41,IF($AH$62=K66,K41))))))))</f>
        <v>10</v>
      </c>
      <c r="AG62" s="153" t="s">
        <v>219</v>
      </c>
      <c r="AH62" s="3">
        <f>MAX(K66:R66)</f>
        <v>0.45</v>
      </c>
      <c r="AI62" s="3">
        <f>MAX(K44:R44)</f>
        <v>0.49430000000000002</v>
      </c>
      <c r="AK62" s="69" t="s">
        <v>254</v>
      </c>
      <c r="AL62" s="62" t="e">
        <f>ROUND(AL59*AL57*'환기량 산정'!C1057*10^-6*1.25*1000,4)</f>
        <v>#DIV/0!</v>
      </c>
      <c r="AM62" s="63">
        <f>ROUND(AM59*AM57*'환기량 산정'!D1057*10^-6*1.25*1000,4)</f>
        <v>2.4500000000000002</v>
      </c>
      <c r="AN62" s="63">
        <f>ROUND(AN59*AN57*'환기량 산정'!E1057*10^-6*1.25*1000,4)</f>
        <v>1.8374999999999999</v>
      </c>
      <c r="AO62" s="63">
        <f>ROUND(AO59*AO57*'환기량 산정'!F1057*10^-6*1.25*1000,4)</f>
        <v>1.6619999999999999</v>
      </c>
      <c r="AP62" s="63">
        <f>ROUND(AP59*AP57*'환기량 산정'!G1057*10^-6*1.25*1000,4)</f>
        <v>1.5743</v>
      </c>
      <c r="AQ62" s="63">
        <f>ROUND(AQ59*AQ57*'환기량 산정'!H1057*10^-6*1.25*1000,4)</f>
        <v>1.4877</v>
      </c>
      <c r="AR62" s="63">
        <f>ROUND(AR59*AR57*'환기량 산정'!I1057*10^-6*1.25*1000,4)</f>
        <v>1.4865999999999999</v>
      </c>
      <c r="AS62" s="64">
        <f>ROUND(AS59*AS57*'환기량 산정'!J1057*10^-6*1.25*1000,4)</f>
        <v>1.6632</v>
      </c>
      <c r="AT62" s="36" t="s">
        <v>158</v>
      </c>
      <c r="AU62" s="327"/>
      <c r="AV62" s="328"/>
      <c r="AW62" s="328"/>
      <c r="AX62" s="328"/>
      <c r="AY62" s="328"/>
      <c r="AZ62" s="328"/>
      <c r="BA62" s="328"/>
      <c r="BB62" s="329"/>
      <c r="BC62" s="36" t="s">
        <v>158</v>
      </c>
      <c r="BD62" s="327"/>
      <c r="BE62" s="328"/>
      <c r="BF62" s="328"/>
      <c r="BG62" s="328"/>
      <c r="BH62" s="328"/>
      <c r="BI62" s="328"/>
      <c r="BJ62" s="328"/>
      <c r="BK62" s="329"/>
    </row>
    <row r="63" spans="1:63">
      <c r="A63" s="36" t="s">
        <v>157</v>
      </c>
      <c r="B63" s="183">
        <f t="shared" ref="B63:I63" si="199">B59+B60-B61</f>
        <v>2.4437999999999995</v>
      </c>
      <c r="C63" s="45">
        <f t="shared" si="199"/>
        <v>-25.781399999999998</v>
      </c>
      <c r="D63" s="45">
        <f t="shared" si="199"/>
        <v>-59.7941</v>
      </c>
      <c r="E63" s="45">
        <f t="shared" si="199"/>
        <v>-92.0732</v>
      </c>
      <c r="F63" s="45">
        <f t="shared" si="199"/>
        <v>-124.27620000000002</v>
      </c>
      <c r="G63" s="138">
        <f t="shared" si="199"/>
        <v>-151.0308</v>
      </c>
      <c r="H63" s="45">
        <f t="shared" si="199"/>
        <v>-181.5102</v>
      </c>
      <c r="I63" s="46">
        <f t="shared" si="199"/>
        <v>-212.1431</v>
      </c>
      <c r="J63" s="36" t="s">
        <v>157</v>
      </c>
      <c r="K63" s="189">
        <f>IF('환기량 산정'!K1526=1,K59+K60-K61,K59+K61-K60)</f>
        <v>6.3674999999999979</v>
      </c>
      <c r="L63" s="45">
        <f t="shared" ref="L63:R63" si="200">L59+L60-L61</f>
        <v>-22.129799999999999</v>
      </c>
      <c r="M63" s="45">
        <f t="shared" si="200"/>
        <v>-58.379199999999997</v>
      </c>
      <c r="N63" s="45">
        <f t="shared" si="200"/>
        <v>-91.70150000000001</v>
      </c>
      <c r="O63" s="45">
        <f t="shared" si="200"/>
        <v>-127.02920000000002</v>
      </c>
      <c r="P63" s="45">
        <f t="shared" si="200"/>
        <v>-154.12990000000002</v>
      </c>
      <c r="Q63" s="45">
        <f t="shared" si="200"/>
        <v>-184.63330000000002</v>
      </c>
      <c r="R63" s="46">
        <f t="shared" si="200"/>
        <v>-214.90860000000001</v>
      </c>
      <c r="S63" s="181" t="s">
        <v>157</v>
      </c>
      <c r="T63" s="183">
        <f>IF('환기량 산정'!K1526=1,T59+T60-T61,T59+T61-T60)</f>
        <v>1.4314</v>
      </c>
      <c r="U63" s="45">
        <f t="shared" ref="U63:AA63" si="201">U59+U60-U61</f>
        <v>-29.336800000000004</v>
      </c>
      <c r="V63" s="45">
        <f t="shared" si="201"/>
        <v>-64.293999999999997</v>
      </c>
      <c r="W63" s="45">
        <f t="shared" si="201"/>
        <v>-97.542400000000001</v>
      </c>
      <c r="X63" s="45">
        <f t="shared" si="201"/>
        <v>-132.74770000000001</v>
      </c>
      <c r="Y63" s="45">
        <f t="shared" si="201"/>
        <v>-159.36840000000001</v>
      </c>
      <c r="Z63" s="45">
        <f t="shared" si="201"/>
        <v>-189.53609999999998</v>
      </c>
      <c r="AA63" s="46">
        <f t="shared" si="201"/>
        <v>-220.62330000000003</v>
      </c>
      <c r="AC63" s="150" t="s">
        <v>216</v>
      </c>
      <c r="AD63" s="151">
        <f>MAX(T67:AA67)</f>
        <v>1</v>
      </c>
      <c r="AE63" s="152" t="s">
        <v>213</v>
      </c>
      <c r="AF63" s="151">
        <f>IF($AH$63=AA66,AA41,IF($AH$63=Z66,Z41,IF($AH$63=Y66,Y41,IF($AH$63=X66,X41,IF($AH$63=W66,W41,IF($AH$63=V66,V41,IF($AH$63=U66,U41,IF($AH$63=T66,T41))))))))</f>
        <v>10</v>
      </c>
      <c r="AG63" s="153" t="s">
        <v>219</v>
      </c>
      <c r="AH63" s="7">
        <f>MAX(T66:AA66)</f>
        <v>0.1</v>
      </c>
      <c r="AI63" s="3">
        <f>MAX(T44:AA44)</f>
        <v>8.5199999999999998E-2</v>
      </c>
      <c r="AK63" s="69" t="s">
        <v>263</v>
      </c>
      <c r="AL63" s="62" t="e">
        <f>ROUND(AL60*AL57*'환기량 산정'!C1432*10^-6*1.554*1000,4)</f>
        <v>#DIV/0!</v>
      </c>
      <c r="AM63" s="63">
        <f>ROUND(AM60*AM57*'환기량 산정'!D1432*10^-6*1.554*1000,4)</f>
        <v>0.1242</v>
      </c>
      <c r="AN63" s="63">
        <f>ROUND(AN60*AN57*'환기량 산정'!E1432*10^-6*1.554*1000,4)</f>
        <v>0.12429999999999999</v>
      </c>
      <c r="AO63" s="63">
        <f>ROUND(AO60*AO57*'환기량 산정'!F1432*10^-6*1.554*1000,4)</f>
        <v>9.35E-2</v>
      </c>
      <c r="AP63" s="63">
        <f>ROUND(AP60*AP57*'환기량 산정'!G1432*10^-6*1.554*1000,4)</f>
        <v>9.3200000000000005E-2</v>
      </c>
      <c r="AQ63" s="63">
        <f>ROUND(AQ60*AQ57*'환기량 산정'!H1432*10^-6*1.554*1000,4)</f>
        <v>9.35E-2</v>
      </c>
      <c r="AR63" s="63">
        <f>ROUND(AR60*AR57*'환기량 산정'!I1432*10^-6*1.554*1000,4)</f>
        <v>0.12470000000000001</v>
      </c>
      <c r="AS63" s="64">
        <f>ROUND(AS60*AS57*'환기량 산정'!J1432*10^-6*1.554*1000,4)</f>
        <v>0.1239</v>
      </c>
      <c r="AT63" s="36" t="s">
        <v>157</v>
      </c>
      <c r="AU63" s="334">
        <f>IF('환기량 산정'!$K$1526=1,AU59+AU60-AU61,AU59+AU61-AU60)</f>
        <v>0.42739999999999867</v>
      </c>
      <c r="AV63" s="346">
        <f t="shared" ref="AV63:BB63" si="202">AV59+AV60-AV61</f>
        <v>-30.501200000000001</v>
      </c>
      <c r="AW63" s="346">
        <f t="shared" si="202"/>
        <v>-65.650100000000009</v>
      </c>
      <c r="AX63" s="346">
        <f t="shared" si="202"/>
        <v>-98.608000000000004</v>
      </c>
      <c r="AY63" s="346">
        <f t="shared" si="202"/>
        <v>-133.86070000000001</v>
      </c>
      <c r="AZ63" s="346">
        <f t="shared" si="202"/>
        <v>-160.46010000000001</v>
      </c>
      <c r="BA63" s="346">
        <f t="shared" si="202"/>
        <v>-191.00370000000001</v>
      </c>
      <c r="BB63" s="347">
        <f t="shared" si="202"/>
        <v>-222.09970000000001</v>
      </c>
      <c r="BC63" s="36" t="s">
        <v>157</v>
      </c>
      <c r="BD63" s="334">
        <f>IF('환기량 산정'!$K$1526=1,BD59+BD60-BD61,BD59+BD61-BD60)</f>
        <v>0.42739999999999867</v>
      </c>
      <c r="BE63" s="346">
        <f t="shared" ref="BE63:BK63" si="203">BE59+BE60-BE61</f>
        <v>-30.501200000000001</v>
      </c>
      <c r="BF63" s="346">
        <f t="shared" si="203"/>
        <v>-65.650100000000009</v>
      </c>
      <c r="BG63" s="346">
        <f t="shared" si="203"/>
        <v>-98.608000000000004</v>
      </c>
      <c r="BH63" s="346">
        <f t="shared" si="203"/>
        <v>-133.86070000000001</v>
      </c>
      <c r="BI63" s="346">
        <f t="shared" si="203"/>
        <v>-160.46010000000001</v>
      </c>
      <c r="BJ63" s="346">
        <f t="shared" si="203"/>
        <v>-191.00370000000001</v>
      </c>
      <c r="BK63" s="347">
        <f t="shared" si="203"/>
        <v>-222.09970000000001</v>
      </c>
    </row>
    <row r="64" spans="1:63">
      <c r="A64" s="36" t="s">
        <v>191</v>
      </c>
      <c r="B64" s="196">
        <f>B29</f>
        <v>0.95</v>
      </c>
      <c r="C64" s="47">
        <f t="shared" ref="C64:I64" si="204">B64</f>
        <v>0.95</v>
      </c>
      <c r="D64" s="47">
        <f t="shared" si="204"/>
        <v>0.95</v>
      </c>
      <c r="E64" s="47">
        <f t="shared" si="204"/>
        <v>0.95</v>
      </c>
      <c r="F64" s="47">
        <f t="shared" si="204"/>
        <v>0.95</v>
      </c>
      <c r="G64" s="140">
        <f t="shared" si="204"/>
        <v>0.95</v>
      </c>
      <c r="H64" s="47">
        <f t="shared" si="204"/>
        <v>0.95</v>
      </c>
      <c r="I64" s="48">
        <f t="shared" si="204"/>
        <v>0.95</v>
      </c>
      <c r="J64" s="36" t="s">
        <v>191</v>
      </c>
      <c r="K64" s="190">
        <f>B64</f>
        <v>0.95</v>
      </c>
      <c r="L64" s="47">
        <f t="shared" ref="L64:R64" si="205">K64</f>
        <v>0.95</v>
      </c>
      <c r="M64" s="47">
        <f t="shared" si="205"/>
        <v>0.95</v>
      </c>
      <c r="N64" s="47">
        <f t="shared" si="205"/>
        <v>0.95</v>
      </c>
      <c r="O64" s="47">
        <f t="shared" si="205"/>
        <v>0.95</v>
      </c>
      <c r="P64" s="47">
        <f t="shared" si="205"/>
        <v>0.95</v>
      </c>
      <c r="Q64" s="47">
        <f t="shared" si="205"/>
        <v>0.95</v>
      </c>
      <c r="R64" s="48">
        <f t="shared" si="205"/>
        <v>0.95</v>
      </c>
      <c r="S64" s="181" t="s">
        <v>191</v>
      </c>
      <c r="T64" s="196">
        <f>B64</f>
        <v>0.95</v>
      </c>
      <c r="U64" s="47">
        <f t="shared" ref="U64:AA64" si="206">T64</f>
        <v>0.95</v>
      </c>
      <c r="V64" s="47">
        <f t="shared" si="206"/>
        <v>0.95</v>
      </c>
      <c r="W64" s="47">
        <f t="shared" si="206"/>
        <v>0.95</v>
      </c>
      <c r="X64" s="47">
        <f t="shared" si="206"/>
        <v>0.95</v>
      </c>
      <c r="Y64" s="47">
        <f t="shared" si="206"/>
        <v>0.95</v>
      </c>
      <c r="Z64" s="47">
        <f t="shared" si="206"/>
        <v>0.95</v>
      </c>
      <c r="AA64" s="48">
        <f t="shared" si="206"/>
        <v>0.95</v>
      </c>
      <c r="AB64" s="7"/>
      <c r="AC64" s="150" t="s">
        <v>422</v>
      </c>
      <c r="AD64" s="351">
        <f>MAX(AU67:BB67)</f>
        <v>1</v>
      </c>
      <c r="AE64" s="152" t="s">
        <v>213</v>
      </c>
      <c r="AF64" s="151">
        <f>IF($AH$64=BB66,BB41,IF($AH$64=BA66,BA41,IF($AH$64=AZ66,AZ41,IF($AH$64=AY66,AY41,IF($AH$64=AX66,AX41,IF($AH$64=AW66,AW41,IF($AH$64=AV66,AV41,IF($AH$64=AU66,AU41))))))))</f>
        <v>10</v>
      </c>
      <c r="AG64" s="153" t="s">
        <v>219</v>
      </c>
      <c r="AH64" s="7">
        <f>MAX(AU66:BB66)</f>
        <v>0.03</v>
      </c>
      <c r="AI64" s="3">
        <f>AU44</f>
        <v>0</v>
      </c>
      <c r="AK64" s="69" t="s">
        <v>264</v>
      </c>
      <c r="AL64" s="177">
        <f>'환기량 산정'!B1528</f>
        <v>10</v>
      </c>
      <c r="AM64" s="177">
        <f>'환기량 산정'!C1528</f>
        <v>16</v>
      </c>
      <c r="AN64" s="177">
        <f>'환기량 산정'!D1528</f>
        <v>17</v>
      </c>
      <c r="AO64" s="177">
        <f>'환기량 산정'!E1528</f>
        <v>18</v>
      </c>
      <c r="AP64" s="177">
        <f>'환기량 산정'!F1528</f>
        <v>25</v>
      </c>
      <c r="AQ64" s="177">
        <f>'환기량 산정'!G1528</f>
        <v>25</v>
      </c>
      <c r="AR64" s="177">
        <f>'환기량 산정'!H1528</f>
        <v>25</v>
      </c>
      <c r="AS64" s="178">
        <f>'환기량 산정'!I1528</f>
        <v>26</v>
      </c>
      <c r="AT64" s="36" t="s">
        <v>191</v>
      </c>
      <c r="AU64" s="336">
        <f>B64</f>
        <v>0.95</v>
      </c>
      <c r="AV64" s="348">
        <f t="shared" ref="AV64:BB64" si="207">AU64</f>
        <v>0.95</v>
      </c>
      <c r="AW64" s="348">
        <f t="shared" si="207"/>
        <v>0.95</v>
      </c>
      <c r="AX64" s="348">
        <f t="shared" si="207"/>
        <v>0.95</v>
      </c>
      <c r="AY64" s="348">
        <f t="shared" si="207"/>
        <v>0.95</v>
      </c>
      <c r="AZ64" s="348">
        <f t="shared" si="207"/>
        <v>0.95</v>
      </c>
      <c r="BA64" s="348">
        <f t="shared" si="207"/>
        <v>0.95</v>
      </c>
      <c r="BB64" s="349">
        <f t="shared" si="207"/>
        <v>0.95</v>
      </c>
      <c r="BC64" s="36" t="s">
        <v>191</v>
      </c>
      <c r="BD64" s="336">
        <f>K64</f>
        <v>0.95</v>
      </c>
      <c r="BE64" s="348">
        <f t="shared" ref="BE64:BK64" si="208">BD64</f>
        <v>0.95</v>
      </c>
      <c r="BF64" s="348">
        <f t="shared" si="208"/>
        <v>0.95</v>
      </c>
      <c r="BG64" s="348">
        <f t="shared" si="208"/>
        <v>0.95</v>
      </c>
      <c r="BH64" s="348">
        <f t="shared" si="208"/>
        <v>0.95</v>
      </c>
      <c r="BI64" s="348">
        <f t="shared" si="208"/>
        <v>0.95</v>
      </c>
      <c r="BJ64" s="348">
        <f t="shared" si="208"/>
        <v>0.95</v>
      </c>
      <c r="BK64" s="349">
        <f t="shared" si="208"/>
        <v>0.95</v>
      </c>
    </row>
    <row r="65" spans="1:63" ht="15.75">
      <c r="A65" s="36" t="s">
        <v>342</v>
      </c>
      <c r="B65" s="44">
        <f>ROUND(B58*B49*B56^2*B55/B47*(1-B44/B56)*B64,4)</f>
        <v>14.2875</v>
      </c>
      <c r="C65" s="38">
        <f t="shared" ref="C65:I65" si="209">ROUND(C58*C49*C56^2*C55/C47*(1-C44/C56)*C64,4)</f>
        <v>14.2385</v>
      </c>
      <c r="D65" s="38">
        <f t="shared" si="209"/>
        <v>14.2303</v>
      </c>
      <c r="E65" s="38">
        <f t="shared" si="209"/>
        <v>14.222099999999999</v>
      </c>
      <c r="F65" s="38">
        <f t="shared" si="209"/>
        <v>14.164999999999999</v>
      </c>
      <c r="G65" s="38">
        <f t="shared" si="209"/>
        <v>14.164999999999999</v>
      </c>
      <c r="H65" s="38">
        <f t="shared" si="209"/>
        <v>14.164999999999999</v>
      </c>
      <c r="I65" s="39">
        <f t="shared" si="209"/>
        <v>14.1568</v>
      </c>
      <c r="J65" s="36" t="s">
        <v>342</v>
      </c>
      <c r="K65" s="62">
        <f>ROUND(K58*K49*K56^2*K55/K47*(1-K44/K56)*K64,4)</f>
        <v>14.132300000000001</v>
      </c>
      <c r="L65" s="63">
        <f t="shared" ref="L65:R65" si="210">ROUND(L58*L49*L56^2*L55/L47*(1-L44/L56)*L64,4)</f>
        <v>14.140499999999999</v>
      </c>
      <c r="M65" s="63">
        <f t="shared" si="210"/>
        <v>14.1976</v>
      </c>
      <c r="N65" s="63">
        <f t="shared" si="210"/>
        <v>14.214</v>
      </c>
      <c r="O65" s="63">
        <f t="shared" si="210"/>
        <v>14.222099999999999</v>
      </c>
      <c r="P65" s="63">
        <f t="shared" si="210"/>
        <v>14.2303</v>
      </c>
      <c r="Q65" s="63">
        <f t="shared" si="210"/>
        <v>14.2303</v>
      </c>
      <c r="R65" s="64">
        <f t="shared" si="210"/>
        <v>14.214</v>
      </c>
      <c r="S65" s="181" t="s">
        <v>342</v>
      </c>
      <c r="T65" s="44">
        <f>ROUND(T58*T49*T56^2*T55/T47*(1-T44/T56)*T64,4)</f>
        <v>14.3283</v>
      </c>
      <c r="U65" s="38">
        <f t="shared" ref="U65:AA65" si="211">ROUND(U58*U49*U56^2*U55/U47*(1-U44/U56)*U64,4)</f>
        <v>14.336399999999999</v>
      </c>
      <c r="V65" s="38">
        <f t="shared" si="211"/>
        <v>14.336399999999999</v>
      </c>
      <c r="W65" s="38">
        <f t="shared" si="211"/>
        <v>14.3446</v>
      </c>
      <c r="X65" s="38">
        <f t="shared" si="211"/>
        <v>14.3446</v>
      </c>
      <c r="Y65" s="38">
        <f t="shared" si="211"/>
        <v>14.3446</v>
      </c>
      <c r="Z65" s="38">
        <f t="shared" si="211"/>
        <v>14.336399999999999</v>
      </c>
      <c r="AA65" s="39">
        <f t="shared" si="211"/>
        <v>14.336399999999999</v>
      </c>
      <c r="AB65" s="7"/>
      <c r="AC65" s="150" t="s">
        <v>217</v>
      </c>
      <c r="AD65" s="151">
        <f>MAX(AC55:AJ55)</f>
        <v>8</v>
      </c>
      <c r="AE65" s="152" t="s">
        <v>213</v>
      </c>
      <c r="AF65" s="151">
        <f>IF($GP$66=AJ53,AJ41,IF($AH$65=AI53,AI41,IF($AH$65=AH53,AH41,IF($AH$65=AG53,AG41,IF($AH$65=AF53,AF41,IF($AH$65=AE53,AE41,IF($AH$65=AD53,AD41,IF($AH$65=AC53,AC41))))))))</f>
        <v>50</v>
      </c>
      <c r="AG65" s="153" t="s">
        <v>219</v>
      </c>
      <c r="AH65" s="7">
        <f>MAX(AC53:AJ53)</f>
        <v>5.2</v>
      </c>
      <c r="AK65" s="69" t="s">
        <v>255</v>
      </c>
      <c r="AL65" s="176">
        <f>'환기량 산정'!B1530</f>
        <v>29</v>
      </c>
      <c r="AM65" s="177">
        <f>'환기량 산정'!C1530</f>
        <v>28</v>
      </c>
      <c r="AN65" s="177">
        <f>'환기량 산정'!D1530</f>
        <v>21</v>
      </c>
      <c r="AO65" s="177">
        <f>'환기량 산정'!E1530</f>
        <v>19</v>
      </c>
      <c r="AP65" s="177">
        <f>'환기량 산정'!F1530</f>
        <v>18</v>
      </c>
      <c r="AQ65" s="177">
        <f>'환기량 산정'!G1530</f>
        <v>17</v>
      </c>
      <c r="AR65" s="177">
        <f>'환기량 산정'!H1530</f>
        <v>17</v>
      </c>
      <c r="AS65" s="178">
        <f>'환기량 산정'!I1530</f>
        <v>19</v>
      </c>
      <c r="AT65" s="36" t="s">
        <v>342</v>
      </c>
      <c r="AU65" s="327">
        <f t="shared" ref="AU65:BB65" si="212">ROUND(AU58*AU49*AU56^2*AU55/AU47*(1-AU44/AU56)*AU64,4)</f>
        <v>14.3691</v>
      </c>
      <c r="AV65" s="332">
        <f t="shared" si="212"/>
        <v>14.3691</v>
      </c>
      <c r="AW65" s="332">
        <f t="shared" si="212"/>
        <v>14.3691</v>
      </c>
      <c r="AX65" s="332">
        <f t="shared" si="212"/>
        <v>14.3691</v>
      </c>
      <c r="AY65" s="332">
        <f t="shared" si="212"/>
        <v>14.3691</v>
      </c>
      <c r="AZ65" s="332">
        <f t="shared" si="212"/>
        <v>14.3691</v>
      </c>
      <c r="BA65" s="332">
        <f t="shared" si="212"/>
        <v>14.3691</v>
      </c>
      <c r="BB65" s="338">
        <f t="shared" si="212"/>
        <v>14.3691</v>
      </c>
      <c r="BC65" s="36" t="s">
        <v>342</v>
      </c>
      <c r="BD65" s="327">
        <f t="shared" ref="BD65:BK65" si="213">ROUND(BD58*BD49*BD56^2*BD55/BD47*(1-BD44/BD56)*BD64,4)</f>
        <v>14.3691</v>
      </c>
      <c r="BE65" s="332">
        <f t="shared" si="213"/>
        <v>14.3691</v>
      </c>
      <c r="BF65" s="332">
        <f t="shared" si="213"/>
        <v>14.3691</v>
      </c>
      <c r="BG65" s="332">
        <f t="shared" si="213"/>
        <v>14.3691</v>
      </c>
      <c r="BH65" s="332">
        <f t="shared" si="213"/>
        <v>14.3691</v>
      </c>
      <c r="BI65" s="332">
        <f t="shared" si="213"/>
        <v>14.3691</v>
      </c>
      <c r="BJ65" s="332">
        <f t="shared" si="213"/>
        <v>14.3691</v>
      </c>
      <c r="BK65" s="338">
        <f t="shared" si="213"/>
        <v>14.3691</v>
      </c>
    </row>
    <row r="66" spans="1:63" ht="14.25" thickBot="1">
      <c r="A66" s="36" t="s">
        <v>172</v>
      </c>
      <c r="B66" s="44">
        <f t="shared" ref="B66:I66" si="214">ROUND(B63/B65,2)</f>
        <v>0.17</v>
      </c>
      <c r="C66" s="38">
        <f t="shared" si="214"/>
        <v>-1.81</v>
      </c>
      <c r="D66" s="38">
        <f t="shared" si="214"/>
        <v>-4.2</v>
      </c>
      <c r="E66" s="38">
        <f t="shared" si="214"/>
        <v>-6.47</v>
      </c>
      <c r="F66" s="38">
        <f t="shared" si="214"/>
        <v>-8.77</v>
      </c>
      <c r="G66" s="63">
        <f t="shared" si="214"/>
        <v>-10.66</v>
      </c>
      <c r="H66" s="38">
        <f t="shared" si="214"/>
        <v>-12.81</v>
      </c>
      <c r="I66" s="39">
        <f t="shared" si="214"/>
        <v>-14.99</v>
      </c>
      <c r="J66" s="36" t="s">
        <v>172</v>
      </c>
      <c r="K66" s="62">
        <f t="shared" ref="K66:R66" si="215">ROUND(K63/K65,2)</f>
        <v>0.45</v>
      </c>
      <c r="L66" s="38">
        <f t="shared" si="215"/>
        <v>-1.56</v>
      </c>
      <c r="M66" s="38">
        <f t="shared" si="215"/>
        <v>-4.1100000000000003</v>
      </c>
      <c r="N66" s="38">
        <f t="shared" si="215"/>
        <v>-6.45</v>
      </c>
      <c r="O66" s="38">
        <f t="shared" si="215"/>
        <v>-8.93</v>
      </c>
      <c r="P66" s="38">
        <f t="shared" si="215"/>
        <v>-10.83</v>
      </c>
      <c r="Q66" s="38">
        <f t="shared" si="215"/>
        <v>-12.97</v>
      </c>
      <c r="R66" s="39">
        <f t="shared" si="215"/>
        <v>-15.12</v>
      </c>
      <c r="S66" s="181" t="s">
        <v>172</v>
      </c>
      <c r="T66" s="44">
        <f t="shared" ref="T66:AA66" si="216">ROUND(T63/T65,2)</f>
        <v>0.1</v>
      </c>
      <c r="U66" s="38">
        <f t="shared" si="216"/>
        <v>-2.0499999999999998</v>
      </c>
      <c r="V66" s="38">
        <f t="shared" si="216"/>
        <v>-4.4800000000000004</v>
      </c>
      <c r="W66" s="38">
        <f t="shared" si="216"/>
        <v>-6.8</v>
      </c>
      <c r="X66" s="38">
        <f t="shared" si="216"/>
        <v>-9.25</v>
      </c>
      <c r="Y66" s="38">
        <f t="shared" si="216"/>
        <v>-11.11</v>
      </c>
      <c r="Z66" s="38">
        <f t="shared" si="216"/>
        <v>-13.22</v>
      </c>
      <c r="AA66" s="39">
        <f t="shared" si="216"/>
        <v>-15.39</v>
      </c>
      <c r="AB66" s="7"/>
      <c r="AC66" s="154" t="s">
        <v>410</v>
      </c>
      <c r="AD66" s="155">
        <f>MAX(AD61:AD65)</f>
        <v>8</v>
      </c>
      <c r="AE66" s="156" t="s">
        <v>213</v>
      </c>
      <c r="AF66" s="157" t="str">
        <f>IF(AD66=AD65,IF(AD66=MAX(AD61:AD63),"환기 방재","방재"),"환기")</f>
        <v>방재</v>
      </c>
      <c r="AG66" s="158"/>
      <c r="AH66" s="7"/>
      <c r="AI66" s="7"/>
      <c r="AK66" s="69" t="s">
        <v>256</v>
      </c>
      <c r="AL66" s="62">
        <f>'환기량 산정'!B1532</f>
        <v>5</v>
      </c>
      <c r="AM66" s="63">
        <f>'환기량 산정'!C1532</f>
        <v>4</v>
      </c>
      <c r="AN66" s="63">
        <f>'환기량 산정'!D1532</f>
        <v>4</v>
      </c>
      <c r="AO66" s="63">
        <f>'환기량 산정'!E1532</f>
        <v>3</v>
      </c>
      <c r="AP66" s="63">
        <f>'환기량 산정'!F1532</f>
        <v>3</v>
      </c>
      <c r="AQ66" s="63">
        <f>'환기량 산정'!G1532</f>
        <v>3</v>
      </c>
      <c r="AR66" s="63">
        <f>'환기량 산정'!H1532</f>
        <v>4</v>
      </c>
      <c r="AS66" s="64">
        <f>'환기량 산정'!I1532</f>
        <v>4</v>
      </c>
      <c r="AT66" s="36" t="s">
        <v>172</v>
      </c>
      <c r="AU66" s="327">
        <f t="shared" ref="AU66:BB66" si="217">ROUND(AU63/AU65,2)</f>
        <v>0.03</v>
      </c>
      <c r="AV66" s="328">
        <f t="shared" si="217"/>
        <v>-2.12</v>
      </c>
      <c r="AW66" s="328">
        <f t="shared" si="217"/>
        <v>-4.57</v>
      </c>
      <c r="AX66" s="328">
        <f t="shared" si="217"/>
        <v>-6.86</v>
      </c>
      <c r="AY66" s="328">
        <f t="shared" si="217"/>
        <v>-9.32</v>
      </c>
      <c r="AZ66" s="328">
        <f t="shared" si="217"/>
        <v>-11.17</v>
      </c>
      <c r="BA66" s="328">
        <f t="shared" si="217"/>
        <v>-13.29</v>
      </c>
      <c r="BB66" s="329">
        <f t="shared" si="217"/>
        <v>-15.46</v>
      </c>
      <c r="BC66" s="36" t="s">
        <v>172</v>
      </c>
      <c r="BD66" s="327">
        <f t="shared" ref="BD66:BK66" si="218">ROUND(BD63/BD65,2)</f>
        <v>0.03</v>
      </c>
      <c r="BE66" s="328">
        <f t="shared" si="218"/>
        <v>-2.12</v>
      </c>
      <c r="BF66" s="328">
        <f t="shared" si="218"/>
        <v>-4.57</v>
      </c>
      <c r="BG66" s="328">
        <f t="shared" si="218"/>
        <v>-6.86</v>
      </c>
      <c r="BH66" s="328">
        <f t="shared" si="218"/>
        <v>-9.32</v>
      </c>
      <c r="BI66" s="328">
        <f t="shared" si="218"/>
        <v>-11.17</v>
      </c>
      <c r="BJ66" s="328">
        <f t="shared" si="218"/>
        <v>-13.29</v>
      </c>
      <c r="BK66" s="329">
        <f t="shared" si="218"/>
        <v>-15.46</v>
      </c>
    </row>
    <row r="67" spans="1:63" ht="14.25" thickBot="1">
      <c r="A67" s="49" t="s">
        <v>173</v>
      </c>
      <c r="B67" s="185">
        <f t="shared" ref="B67:I67" si="219">IF(B66&lt;0,0,IF(B66&gt;0,ROUNDUP(B66,0)))</f>
        <v>1</v>
      </c>
      <c r="C67" s="51">
        <f t="shared" si="219"/>
        <v>0</v>
      </c>
      <c r="D67" s="51">
        <f t="shared" si="219"/>
        <v>0</v>
      </c>
      <c r="E67" s="51">
        <f t="shared" si="219"/>
        <v>0</v>
      </c>
      <c r="F67" s="51">
        <f t="shared" si="219"/>
        <v>0</v>
      </c>
      <c r="G67" s="51">
        <f t="shared" si="219"/>
        <v>0</v>
      </c>
      <c r="H67" s="51">
        <f t="shared" si="219"/>
        <v>0</v>
      </c>
      <c r="I67" s="52">
        <f t="shared" si="219"/>
        <v>0</v>
      </c>
      <c r="J67" s="49" t="s">
        <v>173</v>
      </c>
      <c r="K67" s="185">
        <f t="shared" ref="K67:R67" si="220">IF(K66&lt;0,0,IF(K66&gt;0,ROUNDUP(K66,0)))</f>
        <v>1</v>
      </c>
      <c r="L67" s="51">
        <f t="shared" si="220"/>
        <v>0</v>
      </c>
      <c r="M67" s="51">
        <f t="shared" si="220"/>
        <v>0</v>
      </c>
      <c r="N67" s="51">
        <f t="shared" si="220"/>
        <v>0</v>
      </c>
      <c r="O67" s="51">
        <f t="shared" si="220"/>
        <v>0</v>
      </c>
      <c r="P67" s="51">
        <f t="shared" si="220"/>
        <v>0</v>
      </c>
      <c r="Q67" s="51">
        <f t="shared" si="220"/>
        <v>0</v>
      </c>
      <c r="R67" s="52">
        <f t="shared" si="220"/>
        <v>0</v>
      </c>
      <c r="S67" s="194" t="s">
        <v>173</v>
      </c>
      <c r="T67" s="185">
        <f t="shared" ref="T67:AA67" si="221">IF(T66&lt;0,0,IF(T66&gt;0,ROUNDUP(T66,0)))</f>
        <v>1</v>
      </c>
      <c r="U67" s="51">
        <f t="shared" si="221"/>
        <v>0</v>
      </c>
      <c r="V67" s="51">
        <f t="shared" si="221"/>
        <v>0</v>
      </c>
      <c r="W67" s="51">
        <f t="shared" si="221"/>
        <v>0</v>
      </c>
      <c r="X67" s="51">
        <f t="shared" si="221"/>
        <v>0</v>
      </c>
      <c r="Y67" s="51">
        <f t="shared" si="221"/>
        <v>0</v>
      </c>
      <c r="Z67" s="51">
        <f t="shared" si="221"/>
        <v>0</v>
      </c>
      <c r="AA67" s="52">
        <f t="shared" si="221"/>
        <v>0</v>
      </c>
      <c r="AB67" s="7"/>
      <c r="AC67" s="136"/>
      <c r="AD67" s="7"/>
      <c r="AE67" s="7"/>
      <c r="AF67" s="7"/>
      <c r="AG67" s="7"/>
      <c r="AH67" s="7"/>
      <c r="AI67" s="7"/>
      <c r="AJ67" s="7"/>
      <c r="AK67" s="169" t="s">
        <v>257</v>
      </c>
      <c r="AL67" s="175">
        <f>MAX(AL64:AL66)</f>
        <v>29</v>
      </c>
      <c r="AM67" s="162">
        <f t="shared" ref="AM67:AS67" si="222">MAX(AM64:AM66)</f>
        <v>28</v>
      </c>
      <c r="AN67" s="162">
        <f t="shared" si="222"/>
        <v>21</v>
      </c>
      <c r="AO67" s="162">
        <f t="shared" si="222"/>
        <v>19</v>
      </c>
      <c r="AP67" s="162">
        <f t="shared" si="222"/>
        <v>25</v>
      </c>
      <c r="AQ67" s="162">
        <f t="shared" si="222"/>
        <v>25</v>
      </c>
      <c r="AR67" s="162">
        <f t="shared" si="222"/>
        <v>25</v>
      </c>
      <c r="AS67" s="163">
        <f t="shared" si="222"/>
        <v>26</v>
      </c>
      <c r="AT67" s="49" t="s">
        <v>173</v>
      </c>
      <c r="AU67" s="339">
        <f t="shared" ref="AU67:BB67" si="223">IF(AU66&lt;0,0,IF(AU66&gt;0,ROUNDUP(AU66,0)))</f>
        <v>1</v>
      </c>
      <c r="AV67" s="340">
        <f t="shared" si="223"/>
        <v>0</v>
      </c>
      <c r="AW67" s="340">
        <f t="shared" si="223"/>
        <v>0</v>
      </c>
      <c r="AX67" s="340">
        <f t="shared" si="223"/>
        <v>0</v>
      </c>
      <c r="AY67" s="340">
        <f t="shared" si="223"/>
        <v>0</v>
      </c>
      <c r="AZ67" s="340">
        <f t="shared" si="223"/>
        <v>0</v>
      </c>
      <c r="BA67" s="340">
        <f t="shared" si="223"/>
        <v>0</v>
      </c>
      <c r="BB67" s="341">
        <f t="shared" si="223"/>
        <v>0</v>
      </c>
      <c r="BC67" s="49" t="s">
        <v>173</v>
      </c>
      <c r="BD67" s="339">
        <f t="shared" ref="BD67:BK67" si="224">IF(BD66&lt;0,0,IF(BD66&gt;0,ROUNDUP(BD66,0)))</f>
        <v>1</v>
      </c>
      <c r="BE67" s="340">
        <f t="shared" si="224"/>
        <v>0</v>
      </c>
      <c r="BF67" s="340">
        <f t="shared" si="224"/>
        <v>0</v>
      </c>
      <c r="BG67" s="340">
        <f t="shared" si="224"/>
        <v>0</v>
      </c>
      <c r="BH67" s="340">
        <f t="shared" si="224"/>
        <v>0</v>
      </c>
      <c r="BI67" s="340">
        <f t="shared" si="224"/>
        <v>0</v>
      </c>
      <c r="BJ67" s="340">
        <f t="shared" si="224"/>
        <v>0</v>
      </c>
      <c r="BK67" s="341">
        <f t="shared" si="224"/>
        <v>0</v>
      </c>
    </row>
    <row r="68" spans="1:63" ht="14.25" thickBot="1">
      <c r="J68" s="53"/>
      <c r="K68" s="53"/>
      <c r="L68" s="53"/>
      <c r="M68" s="53"/>
      <c r="N68" s="53"/>
      <c r="O68" s="53"/>
      <c r="P68" s="53"/>
      <c r="Q68" s="53"/>
      <c r="R68" s="53"/>
      <c r="AB68" s="7"/>
      <c r="AC68" s="144" t="s">
        <v>218</v>
      </c>
      <c r="AD68" s="145" t="str">
        <f>IF(AF68&gt;10,"불가",IF(ROUNDDOWN(('환기량 산정'!H17/F38-1),0)*AC57&gt;=AD66,"가능","불가"))</f>
        <v>가능</v>
      </c>
      <c r="AE68" s="131" t="s">
        <v>222</v>
      </c>
      <c r="AF68" s="159">
        <f>ROUND(MAX(AI61:AI64),2)</f>
        <v>0.49</v>
      </c>
      <c r="AG68" s="160" t="str">
        <f>CONCATENATE(," m/s")</f>
        <v xml:space="preserve"> m/s</v>
      </c>
      <c r="AH68" s="7"/>
      <c r="AI68" s="7"/>
      <c r="AJ68" s="7"/>
      <c r="AL68" s="197" t="str">
        <f>IF(AL49&lt;0,IF(AL52&gt;2.78,"OK","AL47 수식 양수로 변경하세요"),IF(AL52&lt;=2.78,"OK","AL47 수식을 음수로 변경하세요"))</f>
        <v>OK</v>
      </c>
      <c r="AM68" s="197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</row>
    <row r="69" spans="1:63">
      <c r="A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BA69" s="7"/>
      <c r="BB69" s="7"/>
      <c r="BJ69" s="7"/>
      <c r="BK69" s="7"/>
    </row>
    <row r="70" spans="1:63"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BA70" s="7"/>
      <c r="BB70" s="7"/>
      <c r="BJ70" s="7"/>
      <c r="BK70" s="7"/>
    </row>
  </sheetData>
  <mergeCells count="11">
    <mergeCell ref="BD5:BK5"/>
    <mergeCell ref="A39:A40"/>
    <mergeCell ref="AK39:AK40"/>
    <mergeCell ref="AC40:AJ40"/>
    <mergeCell ref="AU40:BB40"/>
    <mergeCell ref="BD40:BK40"/>
    <mergeCell ref="AE23:AF23"/>
    <mergeCell ref="A4:A5"/>
    <mergeCell ref="AK4:AK5"/>
    <mergeCell ref="AC5:AJ5"/>
    <mergeCell ref="AU5:BB5"/>
  </mergeCells>
  <phoneticPr fontId="11" type="noConversion"/>
  <printOptions horizontalCentered="1"/>
  <pageMargins left="0.27559055118110237" right="0.19685039370078741" top="0.74803149606299213" bottom="0.55118110236220474" header="0.51181102362204722" footer="0.31496062992125984"/>
  <pageSetup paperSize="9" scale="75" pageOrder="overThenDown" orientation="portrait" r:id="rId1"/>
  <headerFooter alignWithMargins="0">
    <oddHeader>&amp;R&amp;D &amp;T</oddHeader>
    <oddFooter>&amp;L&amp;"Arial,보통"&amp;F&amp;C&amp;P 쪽&amp;R&amp;"Arial,보통"&amp;A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7"/>
  <sheetViews>
    <sheetView view="pageBreakPreview" zoomScale="130" zoomScaleNormal="100" zoomScaleSheetLayoutView="130" workbookViewId="0">
      <selection activeCell="B21" sqref="B21"/>
    </sheetView>
  </sheetViews>
  <sheetFormatPr defaultRowHeight="13.5"/>
  <cols>
    <col min="1" max="1" width="25.77734375" style="927" customWidth="1"/>
    <col min="2" max="16384" width="8.88671875" style="927"/>
  </cols>
  <sheetData>
    <row r="1" spans="1:9" ht="20.100000000000001" customHeight="1">
      <c r="A1" s="937" t="s">
        <v>536</v>
      </c>
    </row>
    <row r="2" spans="1:9" ht="20.100000000000001" customHeight="1">
      <c r="A2" s="142"/>
      <c r="B2" s="142" t="str">
        <f>'환기용량 산정(제트팬식)'!AE4</f>
        <v>마산</v>
      </c>
      <c r="C2" s="930" t="str">
        <f>'환기용량 산정(제트팬식)'!AF4</f>
        <v>⇒</v>
      </c>
      <c r="D2" s="930" t="str">
        <f>'환기용량 산정(제트팬식)'!AG4</f>
        <v>진주</v>
      </c>
      <c r="E2" s="931"/>
      <c r="F2" s="142"/>
      <c r="G2" s="142"/>
      <c r="H2" s="142"/>
      <c r="I2" s="142"/>
    </row>
    <row r="3" spans="1:9" ht="20.100000000000001" customHeight="1">
      <c r="A3" s="929" t="s">
        <v>363</v>
      </c>
      <c r="B3" s="929" t="s">
        <v>526</v>
      </c>
      <c r="C3" s="929" t="s">
        <v>527</v>
      </c>
      <c r="D3" s="929" t="s">
        <v>528</v>
      </c>
      <c r="E3" s="929" t="s">
        <v>529</v>
      </c>
      <c r="F3" s="929" t="s">
        <v>530</v>
      </c>
      <c r="G3" s="929" t="s">
        <v>531</v>
      </c>
      <c r="H3" s="929" t="s">
        <v>532</v>
      </c>
      <c r="I3" s="929" t="s">
        <v>533</v>
      </c>
    </row>
    <row r="4" spans="1:9" ht="20.100000000000001" customHeight="1">
      <c r="A4" s="933" t="s">
        <v>539</v>
      </c>
      <c r="B4" s="928">
        <f>'환기용량 산정(제트팬식)'!AC9</f>
        <v>159</v>
      </c>
      <c r="C4" s="928">
        <f>'환기용량 산정(제트팬식)'!AD9</f>
        <v>154</v>
      </c>
      <c r="D4" s="928">
        <f>'환기용량 산정(제트팬식)'!AE9</f>
        <v>149</v>
      </c>
      <c r="E4" s="928">
        <f>'환기용량 산정(제트팬식)'!AF9</f>
        <v>140</v>
      </c>
      <c r="F4" s="928">
        <f>'환기용량 산정(제트팬식)'!AG9</f>
        <v>136</v>
      </c>
      <c r="G4" s="928">
        <f>'환기용량 산정(제트팬식)'!AH9</f>
        <v>129</v>
      </c>
      <c r="H4" s="928">
        <f>'환기용량 산정(제트팬식)'!AI9</f>
        <v>123</v>
      </c>
      <c r="I4" s="928">
        <f>'환기용량 산정(제트팬식)'!AJ9</f>
        <v>122</v>
      </c>
    </row>
    <row r="5" spans="1:9" ht="20.100000000000001" customHeight="1">
      <c r="A5" s="933" t="s">
        <v>540</v>
      </c>
      <c r="B5" s="928">
        <f>'환기용량 산정(제트팬식)'!B13</f>
        <v>1000</v>
      </c>
      <c r="C5" s="928">
        <f>'환기용량 산정(제트팬식)'!C13</f>
        <v>1000</v>
      </c>
      <c r="D5" s="928">
        <f>'환기용량 산정(제트팬식)'!D13</f>
        <v>1000</v>
      </c>
      <c r="E5" s="928">
        <f>'환기용량 산정(제트팬식)'!E13</f>
        <v>1000</v>
      </c>
      <c r="F5" s="928">
        <f>'환기용량 산정(제트팬식)'!F13</f>
        <v>1000</v>
      </c>
      <c r="G5" s="928">
        <f>'환기용량 산정(제트팬식)'!G13</f>
        <v>1000</v>
      </c>
      <c r="H5" s="928">
        <f>'환기용량 산정(제트팬식)'!H13</f>
        <v>1000</v>
      </c>
      <c r="I5" s="928">
        <f>'환기용량 산정(제트팬식)'!I13</f>
        <v>1000</v>
      </c>
    </row>
    <row r="6" spans="1:9" ht="20.100000000000001" customHeight="1">
      <c r="A6" s="933" t="s">
        <v>538</v>
      </c>
      <c r="B6" s="928">
        <f>'환기량 산정'!B11</f>
        <v>1</v>
      </c>
      <c r="C6" s="928">
        <f>B6</f>
        <v>1</v>
      </c>
      <c r="D6" s="928">
        <f t="shared" ref="D6:I6" si="0">C6</f>
        <v>1</v>
      </c>
      <c r="E6" s="928">
        <f t="shared" si="0"/>
        <v>1</v>
      </c>
      <c r="F6" s="928">
        <f t="shared" si="0"/>
        <v>1</v>
      </c>
      <c r="G6" s="928">
        <f t="shared" si="0"/>
        <v>1</v>
      </c>
      <c r="H6" s="928">
        <f t="shared" si="0"/>
        <v>1</v>
      </c>
      <c r="I6" s="928">
        <f t="shared" si="0"/>
        <v>1</v>
      </c>
    </row>
    <row r="7" spans="1:9" ht="20.100000000000001" customHeight="1">
      <c r="A7" s="933" t="s">
        <v>520</v>
      </c>
      <c r="B7" s="928">
        <f t="shared" ref="B7:I7" si="1">ROUND(($B$26+$B$27)*B4/2,0)</f>
        <v>553</v>
      </c>
      <c r="C7" s="928">
        <f t="shared" si="1"/>
        <v>536</v>
      </c>
      <c r="D7" s="928">
        <f t="shared" si="1"/>
        <v>519</v>
      </c>
      <c r="E7" s="928">
        <f t="shared" si="1"/>
        <v>487</v>
      </c>
      <c r="F7" s="928">
        <f t="shared" si="1"/>
        <v>473</v>
      </c>
      <c r="G7" s="928">
        <f t="shared" si="1"/>
        <v>449</v>
      </c>
      <c r="H7" s="928">
        <f t="shared" si="1"/>
        <v>428</v>
      </c>
      <c r="I7" s="928">
        <f t="shared" si="1"/>
        <v>425</v>
      </c>
    </row>
    <row r="8" spans="1:9" ht="20.100000000000001" customHeight="1">
      <c r="A8" s="933" t="s">
        <v>541</v>
      </c>
      <c r="B8" s="936">
        <f>ROUND((B5/(($B$26+$B$27)/B6)),0)</f>
        <v>144</v>
      </c>
      <c r="C8" s="936">
        <f t="shared" ref="C8:I8" si="2">ROUND((C5/(($B$26+$B$27)/C6)),0)</f>
        <v>144</v>
      </c>
      <c r="D8" s="936">
        <f t="shared" si="2"/>
        <v>144</v>
      </c>
      <c r="E8" s="936">
        <f t="shared" si="2"/>
        <v>144</v>
      </c>
      <c r="F8" s="936">
        <f t="shared" si="2"/>
        <v>144</v>
      </c>
      <c r="G8" s="936">
        <f t="shared" si="2"/>
        <v>144</v>
      </c>
      <c r="H8" s="936">
        <f t="shared" si="2"/>
        <v>144</v>
      </c>
      <c r="I8" s="936">
        <f t="shared" si="2"/>
        <v>144</v>
      </c>
    </row>
    <row r="9" spans="1:9" ht="20.100000000000001" customHeight="1">
      <c r="A9" s="933" t="s">
        <v>542</v>
      </c>
      <c r="B9" s="935">
        <f>MIN(B4,B8)</f>
        <v>144</v>
      </c>
      <c r="C9" s="935">
        <f t="shared" ref="C9:I9" si="3">MIN(C4,C8)</f>
        <v>144</v>
      </c>
      <c r="D9" s="935">
        <f t="shared" si="3"/>
        <v>144</v>
      </c>
      <c r="E9" s="935">
        <f t="shared" si="3"/>
        <v>140</v>
      </c>
      <c r="F9" s="935">
        <f t="shared" si="3"/>
        <v>136</v>
      </c>
      <c r="G9" s="935">
        <f t="shared" si="3"/>
        <v>129</v>
      </c>
      <c r="H9" s="935">
        <f t="shared" si="3"/>
        <v>123</v>
      </c>
      <c r="I9" s="935">
        <f t="shared" si="3"/>
        <v>122</v>
      </c>
    </row>
    <row r="10" spans="1:9" ht="20.100000000000001" customHeight="1"/>
    <row r="11" spans="1:9" ht="20.100000000000001" customHeight="1">
      <c r="A11" s="142"/>
      <c r="B11" s="142" t="str">
        <f>'환기용량 산정(제트팬식)'!D38</f>
        <v>진주</v>
      </c>
      <c r="C11" s="930" t="str">
        <f>'환기용량 산정(제트팬식)'!E38</f>
        <v>⇒</v>
      </c>
      <c r="D11" s="930" t="str">
        <f>'환기용량 산정(제트팬식)'!F38</f>
        <v>마산</v>
      </c>
      <c r="E11" s="931"/>
      <c r="F11" s="142"/>
      <c r="G11" s="142"/>
      <c r="H11" s="142"/>
      <c r="I11" s="142"/>
    </row>
    <row r="12" spans="1:9" ht="20.100000000000001" customHeight="1">
      <c r="A12" s="929" t="s">
        <v>363</v>
      </c>
      <c r="B12" s="929" t="s">
        <v>526</v>
      </c>
      <c r="C12" s="929" t="s">
        <v>527</v>
      </c>
      <c r="D12" s="929" t="s">
        <v>528</v>
      </c>
      <c r="E12" s="929" t="s">
        <v>529</v>
      </c>
      <c r="F12" s="929" t="s">
        <v>530</v>
      </c>
      <c r="G12" s="929" t="s">
        <v>531</v>
      </c>
      <c r="H12" s="929" t="s">
        <v>532</v>
      </c>
      <c r="I12" s="929" t="s">
        <v>533</v>
      </c>
    </row>
    <row r="13" spans="1:9" ht="20.100000000000001" customHeight="1">
      <c r="A13" s="933" t="s">
        <v>539</v>
      </c>
      <c r="B13" s="928">
        <f>'환기용량 산정(제트팬식)'!AC43</f>
        <v>298</v>
      </c>
      <c r="C13" s="928">
        <f>'환기용량 산정(제트팬식)'!AD43</f>
        <v>293</v>
      </c>
      <c r="D13" s="928">
        <f>'환기용량 산정(제트팬식)'!AE43</f>
        <v>286</v>
      </c>
      <c r="E13" s="928">
        <f>'환기용량 산정(제트팬식)'!AF43</f>
        <v>271</v>
      </c>
      <c r="F13" s="928">
        <f>'환기용량 산정(제트팬식)'!AG43</f>
        <v>265</v>
      </c>
      <c r="G13" s="928">
        <f>'환기용량 산정(제트팬식)'!AH43</f>
        <v>251</v>
      </c>
      <c r="H13" s="928">
        <f>'환기용량 산정(제트팬식)'!AI43</f>
        <v>240</v>
      </c>
      <c r="I13" s="928">
        <f>'환기용량 산정(제트팬식)'!AJ43</f>
        <v>239</v>
      </c>
    </row>
    <row r="14" spans="1:9" ht="20.100000000000001" customHeight="1">
      <c r="A14" s="933" t="s">
        <v>540</v>
      </c>
      <c r="B14" s="928">
        <f>'환기용량 산정(제트팬식)'!B47</f>
        <v>904.56</v>
      </c>
      <c r="C14" s="928">
        <f>'환기용량 산정(제트팬식)'!C47</f>
        <v>904.56</v>
      </c>
      <c r="D14" s="928">
        <f>'환기용량 산정(제트팬식)'!D47</f>
        <v>904.56</v>
      </c>
      <c r="E14" s="928">
        <f>'환기용량 산정(제트팬식)'!E47</f>
        <v>904.56</v>
      </c>
      <c r="F14" s="928">
        <f>'환기용량 산정(제트팬식)'!F47</f>
        <v>904.56</v>
      </c>
      <c r="G14" s="928">
        <f>'환기용량 산정(제트팬식)'!G47</f>
        <v>904.56</v>
      </c>
      <c r="H14" s="928">
        <f>'환기용량 산정(제트팬식)'!H47</f>
        <v>904.56</v>
      </c>
      <c r="I14" s="928">
        <f>'환기용량 산정(제트팬식)'!I47</f>
        <v>904.56</v>
      </c>
    </row>
    <row r="15" spans="1:9" ht="20.100000000000001" customHeight="1">
      <c r="A15" s="933" t="s">
        <v>538</v>
      </c>
      <c r="B15" s="928">
        <f>'환기량 산정'!G11</f>
        <v>2</v>
      </c>
      <c r="C15" s="928">
        <f>B15</f>
        <v>2</v>
      </c>
      <c r="D15" s="928">
        <f t="shared" ref="D15:I15" si="4">C15</f>
        <v>2</v>
      </c>
      <c r="E15" s="928">
        <f t="shared" si="4"/>
        <v>2</v>
      </c>
      <c r="F15" s="928">
        <f t="shared" si="4"/>
        <v>2</v>
      </c>
      <c r="G15" s="928">
        <f t="shared" si="4"/>
        <v>2</v>
      </c>
      <c r="H15" s="928">
        <f t="shared" si="4"/>
        <v>2</v>
      </c>
      <c r="I15" s="928">
        <f t="shared" si="4"/>
        <v>2</v>
      </c>
    </row>
    <row r="16" spans="1:9" ht="20.100000000000001" customHeight="1">
      <c r="A16" s="933" t="s">
        <v>520</v>
      </c>
      <c r="B16" s="928">
        <f t="shared" ref="B16:I16" si="5">ROUND(($B$26+$B$27)*B13/2,0)</f>
        <v>1037</v>
      </c>
      <c r="C16" s="928">
        <f t="shared" si="5"/>
        <v>1020</v>
      </c>
      <c r="D16" s="928">
        <f t="shared" si="5"/>
        <v>995</v>
      </c>
      <c r="E16" s="928">
        <f t="shared" si="5"/>
        <v>943</v>
      </c>
      <c r="F16" s="928">
        <f t="shared" si="5"/>
        <v>922</v>
      </c>
      <c r="G16" s="928">
        <f t="shared" si="5"/>
        <v>873</v>
      </c>
      <c r="H16" s="928">
        <f t="shared" si="5"/>
        <v>835</v>
      </c>
      <c r="I16" s="928">
        <f t="shared" si="5"/>
        <v>832</v>
      </c>
    </row>
    <row r="17" spans="1:9" ht="20.100000000000001" customHeight="1">
      <c r="A17" s="933" t="s">
        <v>541</v>
      </c>
      <c r="B17" s="936">
        <f>ROUND((B14/(($B$26+$B$27)/B15)),0)</f>
        <v>260</v>
      </c>
      <c r="C17" s="936">
        <f t="shared" ref="C17:I17" si="6">ROUND((C14/(($B$26+$B$27)/C15)),0)</f>
        <v>260</v>
      </c>
      <c r="D17" s="936">
        <f t="shared" si="6"/>
        <v>260</v>
      </c>
      <c r="E17" s="936">
        <f t="shared" si="6"/>
        <v>260</v>
      </c>
      <c r="F17" s="936">
        <f t="shared" si="6"/>
        <v>260</v>
      </c>
      <c r="G17" s="936">
        <f t="shared" si="6"/>
        <v>260</v>
      </c>
      <c r="H17" s="936">
        <f t="shared" si="6"/>
        <v>260</v>
      </c>
      <c r="I17" s="936">
        <f t="shared" si="6"/>
        <v>260</v>
      </c>
    </row>
    <row r="18" spans="1:9" ht="20.100000000000001" customHeight="1">
      <c r="A18" s="933" t="s">
        <v>542</v>
      </c>
      <c r="B18" s="935">
        <f t="shared" ref="B18:I18" si="7">MIN(B13,B17)</f>
        <v>260</v>
      </c>
      <c r="C18" s="935">
        <f t="shared" si="7"/>
        <v>260</v>
      </c>
      <c r="D18" s="935">
        <f t="shared" si="7"/>
        <v>260</v>
      </c>
      <c r="E18" s="935">
        <f t="shared" si="7"/>
        <v>260</v>
      </c>
      <c r="F18" s="935">
        <f t="shared" si="7"/>
        <v>260</v>
      </c>
      <c r="G18" s="935">
        <f t="shared" si="7"/>
        <v>251</v>
      </c>
      <c r="H18" s="935">
        <f t="shared" si="7"/>
        <v>240</v>
      </c>
      <c r="I18" s="935">
        <f t="shared" si="7"/>
        <v>239</v>
      </c>
    </row>
    <row r="19" spans="1:9" ht="20.100000000000001" customHeight="1"/>
    <row r="20" spans="1:9" ht="20.100000000000001" customHeight="1"/>
    <row r="21" spans="1:9" ht="20.100000000000001" customHeight="1">
      <c r="A21" s="937" t="s">
        <v>537</v>
      </c>
    </row>
    <row r="22" spans="1:9" ht="20.100000000000001" customHeight="1">
      <c r="A22" s="934" t="s">
        <v>363</v>
      </c>
      <c r="B22" s="934" t="str">
        <f>'환기량 산정'!C37</f>
        <v>휘발유</v>
      </c>
      <c r="C22" s="934" t="str">
        <f>'환기량 산정'!D37</f>
        <v>경유</v>
      </c>
      <c r="D22" s="934" t="str">
        <f>'환기량 산정'!E37</f>
        <v>소형</v>
      </c>
      <c r="E22" s="934" t="str">
        <f>'환기량 산정'!F37</f>
        <v>대형</v>
      </c>
      <c r="F22" s="934" t="str">
        <f>'환기량 산정'!G37</f>
        <v>소형</v>
      </c>
      <c r="G22" s="934" t="str">
        <f>'환기량 산정'!H37</f>
        <v>중형</v>
      </c>
      <c r="H22" s="934" t="str">
        <f>'환기량 산정'!I37</f>
        <v>대형</v>
      </c>
      <c r="I22" s="934" t="str">
        <f>'환기량 산정'!J37</f>
        <v>특수</v>
      </c>
    </row>
    <row r="23" spans="1:9" ht="20.100000000000001" customHeight="1">
      <c r="A23" s="932" t="s">
        <v>523</v>
      </c>
      <c r="B23" s="928">
        <f>'환기량 산정'!C39</f>
        <v>48.65</v>
      </c>
      <c r="C23" s="928">
        <f>'환기량 산정'!D39</f>
        <v>32.44</v>
      </c>
      <c r="D23" s="928">
        <f>'환기량 산정'!E39</f>
        <v>0</v>
      </c>
      <c r="E23" s="928">
        <f>'환기량 산정'!F39</f>
        <v>0.8</v>
      </c>
      <c r="F23" s="928">
        <f>'환기량 산정'!G39</f>
        <v>14</v>
      </c>
      <c r="G23" s="928">
        <f>'환기량 산정'!H39</f>
        <v>2.95</v>
      </c>
      <c r="H23" s="928">
        <f>'환기량 산정'!I39</f>
        <v>0.32</v>
      </c>
      <c r="I23" s="928">
        <f>'환기량 산정'!J39</f>
        <v>0.84</v>
      </c>
    </row>
    <row r="24" spans="1:9" ht="20.100000000000001" customHeight="1">
      <c r="A24" s="932" t="s">
        <v>521</v>
      </c>
      <c r="B24" s="928">
        <f>B23/100</f>
        <v>0.48649999999999999</v>
      </c>
      <c r="C24" s="928">
        <f t="shared" ref="C24:I24" si="8">C23/100</f>
        <v>0.32439999999999997</v>
      </c>
      <c r="D24" s="928">
        <f t="shared" si="8"/>
        <v>0</v>
      </c>
      <c r="E24" s="928">
        <f t="shared" si="8"/>
        <v>8.0000000000000002E-3</v>
      </c>
      <c r="F24" s="928">
        <f t="shared" si="8"/>
        <v>0.14000000000000001</v>
      </c>
      <c r="G24" s="928">
        <f t="shared" si="8"/>
        <v>2.9500000000000002E-2</v>
      </c>
      <c r="H24" s="928">
        <f t="shared" si="8"/>
        <v>3.2000000000000002E-3</v>
      </c>
      <c r="I24" s="928">
        <f t="shared" si="8"/>
        <v>8.3999999999999995E-3</v>
      </c>
    </row>
    <row r="25" spans="1:9" ht="20.100000000000001" customHeight="1">
      <c r="A25" s="932" t="s">
        <v>522</v>
      </c>
      <c r="B25" s="928">
        <v>4.34</v>
      </c>
      <c r="C25" s="928">
        <v>4.43</v>
      </c>
      <c r="D25" s="928">
        <v>4.5</v>
      </c>
      <c r="E25" s="928">
        <v>10.77</v>
      </c>
      <c r="F25" s="928">
        <v>4.5199999999999996</v>
      </c>
      <c r="G25" s="928">
        <v>6.1</v>
      </c>
      <c r="H25" s="928">
        <v>8.74</v>
      </c>
      <c r="I25" s="928">
        <v>18.72</v>
      </c>
    </row>
    <row r="26" spans="1:9" ht="20.100000000000001" customHeight="1">
      <c r="A26" s="932" t="s">
        <v>524</v>
      </c>
      <c r="B26" s="935">
        <f>ROUND((B24*B25+C24*C25+D24*D25+E24*E25+F24*F25+G24*G25+H24*H25+I24*I25),2)</f>
        <v>4.63</v>
      </c>
    </row>
    <row r="27" spans="1:9" ht="20.100000000000001" customHeight="1">
      <c r="A27" s="932" t="s">
        <v>525</v>
      </c>
      <c r="B27" s="936">
        <v>2.33</v>
      </c>
    </row>
  </sheetData>
  <phoneticPr fontId="1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0"/>
  <sheetViews>
    <sheetView topLeftCell="A10" zoomScale="85" zoomScaleNormal="85" workbookViewId="0">
      <selection activeCell="M55" sqref="M55"/>
    </sheetView>
  </sheetViews>
  <sheetFormatPr defaultRowHeight="13.5"/>
  <sheetData>
    <row r="1" spans="1:10">
      <c r="D1" s="68" t="str">
        <f>'환기용량 산정(제트팬식)'!AN4</f>
        <v>마산</v>
      </c>
      <c r="E1" s="2" t="str">
        <f>'환기용량 산정(제트팬식)'!AO4</f>
        <v>⇒</v>
      </c>
      <c r="F1" s="68" t="str">
        <f>'환기용량 산정(제트팬식)'!AP4</f>
        <v>진주</v>
      </c>
    </row>
    <row r="2" spans="1:10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</row>
    <row r="4" spans="1:10">
      <c r="A4" t="s">
        <v>231</v>
      </c>
      <c r="B4">
        <f>'환기용량 산정(제트팬식)'!AL28</f>
        <v>6</v>
      </c>
      <c r="C4">
        <f>'환기용량 산정(제트팬식)'!AM28</f>
        <v>9</v>
      </c>
      <c r="D4">
        <f>'환기용량 산정(제트팬식)'!AN28</f>
        <v>9</v>
      </c>
      <c r="E4">
        <f>'환기용량 산정(제트팬식)'!AO28</f>
        <v>10</v>
      </c>
      <c r="F4">
        <f>'환기용량 산정(제트팬식)'!AP28</f>
        <v>14</v>
      </c>
      <c r="G4">
        <f>'환기용량 산정(제트팬식)'!AQ28</f>
        <v>14</v>
      </c>
      <c r="H4">
        <f>'환기용량 산정(제트팬식)'!AR28</f>
        <v>14</v>
      </c>
      <c r="I4">
        <f>'환기용량 산정(제트팬식)'!AS28</f>
        <v>14</v>
      </c>
      <c r="J4">
        <f>MAX(B4:I4)</f>
        <v>14</v>
      </c>
    </row>
    <row r="5" spans="1:10">
      <c r="A5" t="s">
        <v>232</v>
      </c>
      <c r="B5">
        <f>'환기용량 산정(제트팬식)'!AL29</f>
        <v>15</v>
      </c>
      <c r="C5">
        <f>'환기용량 산정(제트팬식)'!AM29</f>
        <v>13</v>
      </c>
      <c r="D5">
        <f>'환기용량 산정(제트팬식)'!AN29</f>
        <v>9</v>
      </c>
      <c r="E5">
        <f>'환기용량 산정(제트팬식)'!AO29</f>
        <v>8</v>
      </c>
      <c r="F5">
        <f>'환기용량 산정(제트팬식)'!AP29</f>
        <v>7</v>
      </c>
      <c r="G5">
        <f>'환기용량 산정(제트팬식)'!AQ29</f>
        <v>6</v>
      </c>
      <c r="H5">
        <f>'환기용량 산정(제트팬식)'!AR29</f>
        <v>7</v>
      </c>
      <c r="I5">
        <f>'환기용량 산정(제트팬식)'!AS29</f>
        <v>7</v>
      </c>
      <c r="J5">
        <f>MAX(B5:I5)</f>
        <v>15</v>
      </c>
    </row>
    <row r="6" spans="1:10">
      <c r="A6" t="s">
        <v>233</v>
      </c>
      <c r="B6">
        <f>'환기용량 산정(제트팬식)'!AL30</f>
        <v>3</v>
      </c>
      <c r="C6">
        <f>'환기용량 산정(제트팬식)'!AM30</f>
        <v>2</v>
      </c>
      <c r="D6">
        <f>'환기용량 산정(제트팬식)'!AN30</f>
        <v>2</v>
      </c>
      <c r="E6">
        <f>'환기용량 산정(제트팬식)'!AO30</f>
        <v>2</v>
      </c>
      <c r="F6">
        <f>'환기용량 산정(제트팬식)'!AP30</f>
        <v>1</v>
      </c>
      <c r="G6">
        <f>'환기용량 산정(제트팬식)'!AQ30</f>
        <v>1</v>
      </c>
      <c r="H6">
        <f>'환기용량 산정(제트팬식)'!AR30</f>
        <v>1</v>
      </c>
      <c r="I6">
        <f>'환기용량 산정(제트팬식)'!AS30</f>
        <v>1</v>
      </c>
      <c r="J6">
        <f>MAX(B6:I6)</f>
        <v>3</v>
      </c>
    </row>
    <row r="7" spans="1:10">
      <c r="A7" t="s">
        <v>234</v>
      </c>
      <c r="B7">
        <f>MAX(B4:B6)</f>
        <v>15</v>
      </c>
      <c r="C7">
        <f t="shared" ref="C7:I7" si="0">MAX(C4:C6)</f>
        <v>13</v>
      </c>
      <c r="D7">
        <f t="shared" si="0"/>
        <v>9</v>
      </c>
      <c r="E7">
        <f t="shared" si="0"/>
        <v>10</v>
      </c>
      <c r="F7">
        <f t="shared" si="0"/>
        <v>14</v>
      </c>
      <c r="G7">
        <f t="shared" si="0"/>
        <v>14</v>
      </c>
      <c r="H7">
        <f t="shared" si="0"/>
        <v>14</v>
      </c>
      <c r="I7">
        <f t="shared" si="0"/>
        <v>14</v>
      </c>
      <c r="J7">
        <f>MAX(B7:I7)</f>
        <v>15</v>
      </c>
    </row>
    <row r="38" spans="1:9">
      <c r="B38">
        <v>10</v>
      </c>
      <c r="C38">
        <v>20</v>
      </c>
      <c r="D38">
        <v>30</v>
      </c>
      <c r="E38">
        <v>40</v>
      </c>
      <c r="F38">
        <v>50</v>
      </c>
      <c r="G38">
        <v>60</v>
      </c>
      <c r="H38">
        <v>70</v>
      </c>
      <c r="I38">
        <v>80</v>
      </c>
    </row>
    <row r="39" spans="1:9">
      <c r="A39" t="s">
        <v>234</v>
      </c>
      <c r="B39" s="938">
        <v>50</v>
      </c>
      <c r="C39" s="939">
        <v>37</v>
      </c>
      <c r="D39" s="939">
        <v>30</v>
      </c>
      <c r="E39" s="939">
        <v>25</v>
      </c>
      <c r="F39" s="939">
        <v>22</v>
      </c>
      <c r="G39" s="939">
        <v>19</v>
      </c>
      <c r="H39" s="939">
        <v>17</v>
      </c>
      <c r="I39" s="940">
        <v>16</v>
      </c>
    </row>
    <row r="40" spans="1:9">
      <c r="A40" t="s">
        <v>362</v>
      </c>
      <c r="B40" s="938">
        <v>18</v>
      </c>
      <c r="C40" s="939">
        <v>112</v>
      </c>
      <c r="D40" s="939">
        <v>181</v>
      </c>
      <c r="E40" s="939">
        <v>238</v>
      </c>
      <c r="F40" s="939">
        <v>290</v>
      </c>
      <c r="G40" s="939">
        <v>332</v>
      </c>
      <c r="H40" s="939">
        <v>372</v>
      </c>
      <c r="I40" s="940">
        <v>413</v>
      </c>
    </row>
  </sheetData>
  <phoneticPr fontId="11" type="noConversion"/>
  <pageMargins left="0.75" right="0.75" top="1" bottom="1" header="0.5" footer="0.5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9"/>
  <sheetViews>
    <sheetView zoomScale="70" zoomScaleNormal="70" workbookViewId="0">
      <selection activeCell="M55" sqref="M55"/>
    </sheetView>
  </sheetViews>
  <sheetFormatPr defaultRowHeight="13.5"/>
  <sheetData>
    <row r="1" spans="1:10">
      <c r="D1" s="68" t="str">
        <f>'환기용량 산정(제트팬식)'!AN38</f>
        <v>진주</v>
      </c>
      <c r="E1" s="2" t="str">
        <f>'환기용량 산정(제트팬식)'!AO4</f>
        <v>⇒</v>
      </c>
      <c r="F1" s="68" t="str">
        <f>'환기용량 산정(제트팬식)'!AP38</f>
        <v>마산</v>
      </c>
    </row>
    <row r="2" spans="1:10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</row>
    <row r="4" spans="1:10">
      <c r="A4" t="s">
        <v>235</v>
      </c>
      <c r="B4">
        <f>'환기용량 산정(제트팬식)'!AL62</f>
        <v>10</v>
      </c>
      <c r="C4">
        <f>'환기용량 산정(제트팬식)'!AM62</f>
        <v>16</v>
      </c>
      <c r="D4">
        <f>'환기용량 산정(제트팬식)'!AN62</f>
        <v>17</v>
      </c>
      <c r="E4">
        <f>'환기용량 산정(제트팬식)'!AO62</f>
        <v>18</v>
      </c>
      <c r="F4">
        <f>'환기용량 산정(제트팬식)'!AP62</f>
        <v>25</v>
      </c>
      <c r="G4">
        <f>'환기용량 산정(제트팬식)'!AQ62</f>
        <v>25</v>
      </c>
      <c r="H4">
        <f>'환기용량 산정(제트팬식)'!AR62</f>
        <v>25</v>
      </c>
      <c r="I4">
        <f>'환기용량 산정(제트팬식)'!AS62</f>
        <v>26</v>
      </c>
      <c r="J4">
        <f>MAX(B4:I4)</f>
        <v>26</v>
      </c>
    </row>
    <row r="5" spans="1:10">
      <c r="A5" t="s">
        <v>236</v>
      </c>
      <c r="B5">
        <f>'환기용량 산정(제트팬식)'!AL63</f>
        <v>29</v>
      </c>
      <c r="C5">
        <f>'환기용량 산정(제트팬식)'!AM63</f>
        <v>28</v>
      </c>
      <c r="D5">
        <f>'환기용량 산정(제트팬식)'!AN63</f>
        <v>21</v>
      </c>
      <c r="E5">
        <f>'환기용량 산정(제트팬식)'!AO63</f>
        <v>19</v>
      </c>
      <c r="F5">
        <f>'환기용량 산정(제트팬식)'!AP63</f>
        <v>18</v>
      </c>
      <c r="G5">
        <f>'환기용량 산정(제트팬식)'!AQ63</f>
        <v>17</v>
      </c>
      <c r="H5">
        <f>'환기용량 산정(제트팬식)'!AR63</f>
        <v>17</v>
      </c>
      <c r="I5">
        <f>'환기용량 산정(제트팬식)'!AS63</f>
        <v>19</v>
      </c>
      <c r="J5">
        <f>MAX(B5:I5)</f>
        <v>29</v>
      </c>
    </row>
    <row r="6" spans="1:10">
      <c r="A6" t="s">
        <v>237</v>
      </c>
      <c r="B6">
        <f>'환기용량 산정(제트팬식)'!AL64</f>
        <v>5</v>
      </c>
      <c r="C6">
        <f>'환기용량 산정(제트팬식)'!AM64</f>
        <v>4</v>
      </c>
      <c r="D6">
        <f>'환기용량 산정(제트팬식)'!AN64</f>
        <v>4</v>
      </c>
      <c r="E6">
        <f>'환기용량 산정(제트팬식)'!AO64</f>
        <v>3</v>
      </c>
      <c r="F6">
        <f>'환기용량 산정(제트팬식)'!AP64</f>
        <v>3</v>
      </c>
      <c r="G6">
        <f>'환기용량 산정(제트팬식)'!AQ64</f>
        <v>3</v>
      </c>
      <c r="H6">
        <f>'환기용량 산정(제트팬식)'!AR64</f>
        <v>4</v>
      </c>
      <c r="I6">
        <f>'환기용량 산정(제트팬식)'!AS64</f>
        <v>4</v>
      </c>
      <c r="J6">
        <f>MAX(B6:I6)</f>
        <v>5</v>
      </c>
    </row>
    <row r="7" spans="1:10">
      <c r="A7" t="s">
        <v>238</v>
      </c>
      <c r="B7">
        <f>MAX(B4:B6)</f>
        <v>29</v>
      </c>
      <c r="C7">
        <f t="shared" ref="C7:I7" si="0">MAX(C4:C6)</f>
        <v>28</v>
      </c>
      <c r="D7">
        <f t="shared" si="0"/>
        <v>21</v>
      </c>
      <c r="E7">
        <f t="shared" si="0"/>
        <v>19</v>
      </c>
      <c r="F7">
        <f t="shared" si="0"/>
        <v>25</v>
      </c>
      <c r="G7">
        <f t="shared" si="0"/>
        <v>25</v>
      </c>
      <c r="H7">
        <f t="shared" si="0"/>
        <v>25</v>
      </c>
      <c r="I7">
        <f t="shared" si="0"/>
        <v>26</v>
      </c>
      <c r="J7">
        <f>MAX(B7:I7)</f>
        <v>29</v>
      </c>
    </row>
    <row r="47" spans="1:9">
      <c r="B47">
        <v>10</v>
      </c>
      <c r="C47">
        <v>20</v>
      </c>
      <c r="D47">
        <v>30</v>
      </c>
      <c r="E47">
        <v>40</v>
      </c>
      <c r="F47">
        <v>50</v>
      </c>
      <c r="G47">
        <v>60</v>
      </c>
      <c r="H47">
        <v>70</v>
      </c>
      <c r="I47">
        <v>80</v>
      </c>
    </row>
    <row r="48" spans="1:9">
      <c r="A48" t="s">
        <v>234</v>
      </c>
      <c r="B48" s="938">
        <v>180</v>
      </c>
      <c r="C48" s="939">
        <v>141</v>
      </c>
      <c r="D48" s="939">
        <v>116</v>
      </c>
      <c r="E48" s="939">
        <v>109</v>
      </c>
      <c r="F48" s="939">
        <v>109</v>
      </c>
      <c r="G48" s="939">
        <v>109</v>
      </c>
      <c r="H48" s="939">
        <v>128</v>
      </c>
      <c r="I48" s="940">
        <v>149</v>
      </c>
    </row>
    <row r="49" spans="1:9">
      <c r="A49" t="s">
        <v>362</v>
      </c>
      <c r="B49" s="938">
        <v>44</v>
      </c>
      <c r="C49" s="939">
        <v>165</v>
      </c>
      <c r="D49" s="939">
        <v>258</v>
      </c>
      <c r="E49" s="939">
        <v>338</v>
      </c>
      <c r="F49" s="939">
        <v>410</v>
      </c>
      <c r="G49" s="939">
        <v>473</v>
      </c>
      <c r="H49" s="939">
        <v>526</v>
      </c>
      <c r="I49" s="940">
        <v>577</v>
      </c>
    </row>
  </sheetData>
  <phoneticPr fontId="11" type="noConversion"/>
  <pageMargins left="0.75" right="0.75" top="1" bottom="1" header="0.5" footer="0.5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349"/>
  <sheetViews>
    <sheetView view="pageBreakPreview" zoomScale="115" zoomScaleNormal="100" zoomScaleSheetLayoutView="115" workbookViewId="0">
      <pane ySplit="4" topLeftCell="A177" activePane="bottomLeft" state="frozenSplit"/>
      <selection activeCell="M55" sqref="M55"/>
      <selection pane="bottomLeft" activeCell="M55" sqref="M55"/>
    </sheetView>
  </sheetViews>
  <sheetFormatPr defaultRowHeight="14.85" customHeight="1"/>
  <cols>
    <col min="1" max="1" width="28.77734375" style="953" customWidth="1"/>
    <col min="2" max="2" width="9.33203125" style="1169" customWidth="1"/>
    <col min="3" max="10" width="9.33203125" style="953" customWidth="1"/>
    <col min="11" max="11" width="28.77734375" style="953" customWidth="1"/>
    <col min="12" max="12" width="9.33203125" style="1169" customWidth="1"/>
    <col min="13" max="20" width="9.33203125" style="953" customWidth="1"/>
    <col min="21" max="256" width="8.88671875" style="953"/>
    <col min="257" max="257" width="28.77734375" style="953" customWidth="1"/>
    <col min="258" max="266" width="9.33203125" style="953" customWidth="1"/>
    <col min="267" max="267" width="28.77734375" style="953" customWidth="1"/>
    <col min="268" max="276" width="9.33203125" style="953" customWidth="1"/>
    <col min="277" max="512" width="8.88671875" style="953"/>
    <col min="513" max="513" width="28.77734375" style="953" customWidth="1"/>
    <col min="514" max="522" width="9.33203125" style="953" customWidth="1"/>
    <col min="523" max="523" width="28.77734375" style="953" customWidth="1"/>
    <col min="524" max="532" width="9.33203125" style="953" customWidth="1"/>
    <col min="533" max="768" width="8.88671875" style="953"/>
    <col min="769" max="769" width="28.77734375" style="953" customWidth="1"/>
    <col min="770" max="778" width="9.33203125" style="953" customWidth="1"/>
    <col min="779" max="779" width="28.77734375" style="953" customWidth="1"/>
    <col min="780" max="788" width="9.33203125" style="953" customWidth="1"/>
    <col min="789" max="1024" width="8.88671875" style="953"/>
    <col min="1025" max="1025" width="28.77734375" style="953" customWidth="1"/>
    <col min="1026" max="1034" width="9.33203125" style="953" customWidth="1"/>
    <col min="1035" max="1035" width="28.77734375" style="953" customWidth="1"/>
    <col min="1036" max="1044" width="9.33203125" style="953" customWidth="1"/>
    <col min="1045" max="1280" width="8.88671875" style="953"/>
    <col min="1281" max="1281" width="28.77734375" style="953" customWidth="1"/>
    <col min="1282" max="1290" width="9.33203125" style="953" customWidth="1"/>
    <col min="1291" max="1291" width="28.77734375" style="953" customWidth="1"/>
    <col min="1292" max="1300" width="9.33203125" style="953" customWidth="1"/>
    <col min="1301" max="1536" width="8.88671875" style="953"/>
    <col min="1537" max="1537" width="28.77734375" style="953" customWidth="1"/>
    <col min="1538" max="1546" width="9.33203125" style="953" customWidth="1"/>
    <col min="1547" max="1547" width="28.77734375" style="953" customWidth="1"/>
    <col min="1548" max="1556" width="9.33203125" style="953" customWidth="1"/>
    <col min="1557" max="1792" width="8.88671875" style="953"/>
    <col min="1793" max="1793" width="28.77734375" style="953" customWidth="1"/>
    <col min="1794" max="1802" width="9.33203125" style="953" customWidth="1"/>
    <col min="1803" max="1803" width="28.77734375" style="953" customWidth="1"/>
    <col min="1804" max="1812" width="9.33203125" style="953" customWidth="1"/>
    <col min="1813" max="2048" width="8.88671875" style="953"/>
    <col min="2049" max="2049" width="28.77734375" style="953" customWidth="1"/>
    <col min="2050" max="2058" width="9.33203125" style="953" customWidth="1"/>
    <col min="2059" max="2059" width="28.77734375" style="953" customWidth="1"/>
    <col min="2060" max="2068" width="9.33203125" style="953" customWidth="1"/>
    <col min="2069" max="2304" width="8.88671875" style="953"/>
    <col min="2305" max="2305" width="28.77734375" style="953" customWidth="1"/>
    <col min="2306" max="2314" width="9.33203125" style="953" customWidth="1"/>
    <col min="2315" max="2315" width="28.77734375" style="953" customWidth="1"/>
    <col min="2316" max="2324" width="9.33203125" style="953" customWidth="1"/>
    <col min="2325" max="2560" width="8.88671875" style="953"/>
    <col min="2561" max="2561" width="28.77734375" style="953" customWidth="1"/>
    <col min="2562" max="2570" width="9.33203125" style="953" customWidth="1"/>
    <col min="2571" max="2571" width="28.77734375" style="953" customWidth="1"/>
    <col min="2572" max="2580" width="9.33203125" style="953" customWidth="1"/>
    <col min="2581" max="2816" width="8.88671875" style="953"/>
    <col min="2817" max="2817" width="28.77734375" style="953" customWidth="1"/>
    <col min="2818" max="2826" width="9.33203125" style="953" customWidth="1"/>
    <col min="2827" max="2827" width="28.77734375" style="953" customWidth="1"/>
    <col min="2828" max="2836" width="9.33203125" style="953" customWidth="1"/>
    <col min="2837" max="3072" width="8.88671875" style="953"/>
    <col min="3073" max="3073" width="28.77734375" style="953" customWidth="1"/>
    <col min="3074" max="3082" width="9.33203125" style="953" customWidth="1"/>
    <col min="3083" max="3083" width="28.77734375" style="953" customWidth="1"/>
    <col min="3084" max="3092" width="9.33203125" style="953" customWidth="1"/>
    <col min="3093" max="3328" width="8.88671875" style="953"/>
    <col min="3329" max="3329" width="28.77734375" style="953" customWidth="1"/>
    <col min="3330" max="3338" width="9.33203125" style="953" customWidth="1"/>
    <col min="3339" max="3339" width="28.77734375" style="953" customWidth="1"/>
    <col min="3340" max="3348" width="9.33203125" style="953" customWidth="1"/>
    <col min="3349" max="3584" width="8.88671875" style="953"/>
    <col min="3585" max="3585" width="28.77734375" style="953" customWidth="1"/>
    <col min="3586" max="3594" width="9.33203125" style="953" customWidth="1"/>
    <col min="3595" max="3595" width="28.77734375" style="953" customWidth="1"/>
    <col min="3596" max="3604" width="9.33203125" style="953" customWidth="1"/>
    <col min="3605" max="3840" width="8.88671875" style="953"/>
    <col min="3841" max="3841" width="28.77734375" style="953" customWidth="1"/>
    <col min="3842" max="3850" width="9.33203125" style="953" customWidth="1"/>
    <col min="3851" max="3851" width="28.77734375" style="953" customWidth="1"/>
    <col min="3852" max="3860" width="9.33203125" style="953" customWidth="1"/>
    <col min="3861" max="4096" width="8.88671875" style="953"/>
    <col min="4097" max="4097" width="28.77734375" style="953" customWidth="1"/>
    <col min="4098" max="4106" width="9.33203125" style="953" customWidth="1"/>
    <col min="4107" max="4107" width="28.77734375" style="953" customWidth="1"/>
    <col min="4108" max="4116" width="9.33203125" style="953" customWidth="1"/>
    <col min="4117" max="4352" width="8.88671875" style="953"/>
    <col min="4353" max="4353" width="28.77734375" style="953" customWidth="1"/>
    <col min="4354" max="4362" width="9.33203125" style="953" customWidth="1"/>
    <col min="4363" max="4363" width="28.77734375" style="953" customWidth="1"/>
    <col min="4364" max="4372" width="9.33203125" style="953" customWidth="1"/>
    <col min="4373" max="4608" width="8.88671875" style="953"/>
    <col min="4609" max="4609" width="28.77734375" style="953" customWidth="1"/>
    <col min="4610" max="4618" width="9.33203125" style="953" customWidth="1"/>
    <col min="4619" max="4619" width="28.77734375" style="953" customWidth="1"/>
    <col min="4620" max="4628" width="9.33203125" style="953" customWidth="1"/>
    <col min="4629" max="4864" width="8.88671875" style="953"/>
    <col min="4865" max="4865" width="28.77734375" style="953" customWidth="1"/>
    <col min="4866" max="4874" width="9.33203125" style="953" customWidth="1"/>
    <col min="4875" max="4875" width="28.77734375" style="953" customWidth="1"/>
    <col min="4876" max="4884" width="9.33203125" style="953" customWidth="1"/>
    <col min="4885" max="5120" width="8.88671875" style="953"/>
    <col min="5121" max="5121" width="28.77734375" style="953" customWidth="1"/>
    <col min="5122" max="5130" width="9.33203125" style="953" customWidth="1"/>
    <col min="5131" max="5131" width="28.77734375" style="953" customWidth="1"/>
    <col min="5132" max="5140" width="9.33203125" style="953" customWidth="1"/>
    <col min="5141" max="5376" width="8.88671875" style="953"/>
    <col min="5377" max="5377" width="28.77734375" style="953" customWidth="1"/>
    <col min="5378" max="5386" width="9.33203125" style="953" customWidth="1"/>
    <col min="5387" max="5387" width="28.77734375" style="953" customWidth="1"/>
    <col min="5388" max="5396" width="9.33203125" style="953" customWidth="1"/>
    <col min="5397" max="5632" width="8.88671875" style="953"/>
    <col min="5633" max="5633" width="28.77734375" style="953" customWidth="1"/>
    <col min="5634" max="5642" width="9.33203125" style="953" customWidth="1"/>
    <col min="5643" max="5643" width="28.77734375" style="953" customWidth="1"/>
    <col min="5644" max="5652" width="9.33203125" style="953" customWidth="1"/>
    <col min="5653" max="5888" width="8.88671875" style="953"/>
    <col min="5889" max="5889" width="28.77734375" style="953" customWidth="1"/>
    <col min="5890" max="5898" width="9.33203125" style="953" customWidth="1"/>
    <col min="5899" max="5899" width="28.77734375" style="953" customWidth="1"/>
    <col min="5900" max="5908" width="9.33203125" style="953" customWidth="1"/>
    <col min="5909" max="6144" width="8.88671875" style="953"/>
    <col min="6145" max="6145" width="28.77734375" style="953" customWidth="1"/>
    <col min="6146" max="6154" width="9.33203125" style="953" customWidth="1"/>
    <col min="6155" max="6155" width="28.77734375" style="953" customWidth="1"/>
    <col min="6156" max="6164" width="9.33203125" style="953" customWidth="1"/>
    <col min="6165" max="6400" width="8.88671875" style="953"/>
    <col min="6401" max="6401" width="28.77734375" style="953" customWidth="1"/>
    <col min="6402" max="6410" width="9.33203125" style="953" customWidth="1"/>
    <col min="6411" max="6411" width="28.77734375" style="953" customWidth="1"/>
    <col min="6412" max="6420" width="9.33203125" style="953" customWidth="1"/>
    <col min="6421" max="6656" width="8.88671875" style="953"/>
    <col min="6657" max="6657" width="28.77734375" style="953" customWidth="1"/>
    <col min="6658" max="6666" width="9.33203125" style="953" customWidth="1"/>
    <col min="6667" max="6667" width="28.77734375" style="953" customWidth="1"/>
    <col min="6668" max="6676" width="9.33203125" style="953" customWidth="1"/>
    <col min="6677" max="6912" width="8.88671875" style="953"/>
    <col min="6913" max="6913" width="28.77734375" style="953" customWidth="1"/>
    <col min="6914" max="6922" width="9.33203125" style="953" customWidth="1"/>
    <col min="6923" max="6923" width="28.77734375" style="953" customWidth="1"/>
    <col min="6924" max="6932" width="9.33203125" style="953" customWidth="1"/>
    <col min="6933" max="7168" width="8.88671875" style="953"/>
    <col min="7169" max="7169" width="28.77734375" style="953" customWidth="1"/>
    <col min="7170" max="7178" width="9.33203125" style="953" customWidth="1"/>
    <col min="7179" max="7179" width="28.77734375" style="953" customWidth="1"/>
    <col min="7180" max="7188" width="9.33203125" style="953" customWidth="1"/>
    <col min="7189" max="7424" width="8.88671875" style="953"/>
    <col min="7425" max="7425" width="28.77734375" style="953" customWidth="1"/>
    <col min="7426" max="7434" width="9.33203125" style="953" customWidth="1"/>
    <col min="7435" max="7435" width="28.77734375" style="953" customWidth="1"/>
    <col min="7436" max="7444" width="9.33203125" style="953" customWidth="1"/>
    <col min="7445" max="7680" width="8.88671875" style="953"/>
    <col min="7681" max="7681" width="28.77734375" style="953" customWidth="1"/>
    <col min="7682" max="7690" width="9.33203125" style="953" customWidth="1"/>
    <col min="7691" max="7691" width="28.77734375" style="953" customWidth="1"/>
    <col min="7692" max="7700" width="9.33203125" style="953" customWidth="1"/>
    <col min="7701" max="7936" width="8.88671875" style="953"/>
    <col min="7937" max="7937" width="28.77734375" style="953" customWidth="1"/>
    <col min="7938" max="7946" width="9.33203125" style="953" customWidth="1"/>
    <col min="7947" max="7947" width="28.77734375" style="953" customWidth="1"/>
    <col min="7948" max="7956" width="9.33203125" style="953" customWidth="1"/>
    <col min="7957" max="8192" width="8.88671875" style="953"/>
    <col min="8193" max="8193" width="28.77734375" style="953" customWidth="1"/>
    <col min="8194" max="8202" width="9.33203125" style="953" customWidth="1"/>
    <col min="8203" max="8203" width="28.77734375" style="953" customWidth="1"/>
    <col min="8204" max="8212" width="9.33203125" style="953" customWidth="1"/>
    <col min="8213" max="8448" width="8.88671875" style="953"/>
    <col min="8449" max="8449" width="28.77734375" style="953" customWidth="1"/>
    <col min="8450" max="8458" width="9.33203125" style="953" customWidth="1"/>
    <col min="8459" max="8459" width="28.77734375" style="953" customWidth="1"/>
    <col min="8460" max="8468" width="9.33203125" style="953" customWidth="1"/>
    <col min="8469" max="8704" width="8.88671875" style="953"/>
    <col min="8705" max="8705" width="28.77734375" style="953" customWidth="1"/>
    <col min="8706" max="8714" width="9.33203125" style="953" customWidth="1"/>
    <col min="8715" max="8715" width="28.77734375" style="953" customWidth="1"/>
    <col min="8716" max="8724" width="9.33203125" style="953" customWidth="1"/>
    <col min="8725" max="8960" width="8.88671875" style="953"/>
    <col min="8961" max="8961" width="28.77734375" style="953" customWidth="1"/>
    <col min="8962" max="8970" width="9.33203125" style="953" customWidth="1"/>
    <col min="8971" max="8971" width="28.77734375" style="953" customWidth="1"/>
    <col min="8972" max="8980" width="9.33203125" style="953" customWidth="1"/>
    <col min="8981" max="9216" width="8.88671875" style="953"/>
    <col min="9217" max="9217" width="28.77734375" style="953" customWidth="1"/>
    <col min="9218" max="9226" width="9.33203125" style="953" customWidth="1"/>
    <col min="9227" max="9227" width="28.77734375" style="953" customWidth="1"/>
    <col min="9228" max="9236" width="9.33203125" style="953" customWidth="1"/>
    <col min="9237" max="9472" width="8.88671875" style="953"/>
    <col min="9473" max="9473" width="28.77734375" style="953" customWidth="1"/>
    <col min="9474" max="9482" width="9.33203125" style="953" customWidth="1"/>
    <col min="9483" max="9483" width="28.77734375" style="953" customWidth="1"/>
    <col min="9484" max="9492" width="9.33203125" style="953" customWidth="1"/>
    <col min="9493" max="9728" width="8.88671875" style="953"/>
    <col min="9729" max="9729" width="28.77734375" style="953" customWidth="1"/>
    <col min="9730" max="9738" width="9.33203125" style="953" customWidth="1"/>
    <col min="9739" max="9739" width="28.77734375" style="953" customWidth="1"/>
    <col min="9740" max="9748" width="9.33203125" style="953" customWidth="1"/>
    <col min="9749" max="9984" width="8.88671875" style="953"/>
    <col min="9985" max="9985" width="28.77734375" style="953" customWidth="1"/>
    <col min="9986" max="9994" width="9.33203125" style="953" customWidth="1"/>
    <col min="9995" max="9995" width="28.77734375" style="953" customWidth="1"/>
    <col min="9996" max="10004" width="9.33203125" style="953" customWidth="1"/>
    <col min="10005" max="10240" width="8.88671875" style="953"/>
    <col min="10241" max="10241" width="28.77734375" style="953" customWidth="1"/>
    <col min="10242" max="10250" width="9.33203125" style="953" customWidth="1"/>
    <col min="10251" max="10251" width="28.77734375" style="953" customWidth="1"/>
    <col min="10252" max="10260" width="9.33203125" style="953" customWidth="1"/>
    <col min="10261" max="10496" width="8.88671875" style="953"/>
    <col min="10497" max="10497" width="28.77734375" style="953" customWidth="1"/>
    <col min="10498" max="10506" width="9.33203125" style="953" customWidth="1"/>
    <col min="10507" max="10507" width="28.77734375" style="953" customWidth="1"/>
    <col min="10508" max="10516" width="9.33203125" style="953" customWidth="1"/>
    <col min="10517" max="10752" width="8.88671875" style="953"/>
    <col min="10753" max="10753" width="28.77734375" style="953" customWidth="1"/>
    <col min="10754" max="10762" width="9.33203125" style="953" customWidth="1"/>
    <col min="10763" max="10763" width="28.77734375" style="953" customWidth="1"/>
    <col min="10764" max="10772" width="9.33203125" style="953" customWidth="1"/>
    <col min="10773" max="11008" width="8.88671875" style="953"/>
    <col min="11009" max="11009" width="28.77734375" style="953" customWidth="1"/>
    <col min="11010" max="11018" width="9.33203125" style="953" customWidth="1"/>
    <col min="11019" max="11019" width="28.77734375" style="953" customWidth="1"/>
    <col min="11020" max="11028" width="9.33203125" style="953" customWidth="1"/>
    <col min="11029" max="11264" width="8.88671875" style="953"/>
    <col min="11265" max="11265" width="28.77734375" style="953" customWidth="1"/>
    <col min="11266" max="11274" width="9.33203125" style="953" customWidth="1"/>
    <col min="11275" max="11275" width="28.77734375" style="953" customWidth="1"/>
    <col min="11276" max="11284" width="9.33203125" style="953" customWidth="1"/>
    <col min="11285" max="11520" width="8.88671875" style="953"/>
    <col min="11521" max="11521" width="28.77734375" style="953" customWidth="1"/>
    <col min="11522" max="11530" width="9.33203125" style="953" customWidth="1"/>
    <col min="11531" max="11531" width="28.77734375" style="953" customWidth="1"/>
    <col min="11532" max="11540" width="9.33203125" style="953" customWidth="1"/>
    <col min="11541" max="11776" width="8.88671875" style="953"/>
    <col min="11777" max="11777" width="28.77734375" style="953" customWidth="1"/>
    <col min="11778" max="11786" width="9.33203125" style="953" customWidth="1"/>
    <col min="11787" max="11787" width="28.77734375" style="953" customWidth="1"/>
    <col min="11788" max="11796" width="9.33203125" style="953" customWidth="1"/>
    <col min="11797" max="12032" width="8.88671875" style="953"/>
    <col min="12033" max="12033" width="28.77734375" style="953" customWidth="1"/>
    <col min="12034" max="12042" width="9.33203125" style="953" customWidth="1"/>
    <col min="12043" max="12043" width="28.77734375" style="953" customWidth="1"/>
    <col min="12044" max="12052" width="9.33203125" style="953" customWidth="1"/>
    <col min="12053" max="12288" width="8.88671875" style="953"/>
    <col min="12289" max="12289" width="28.77734375" style="953" customWidth="1"/>
    <col min="12290" max="12298" width="9.33203125" style="953" customWidth="1"/>
    <col min="12299" max="12299" width="28.77734375" style="953" customWidth="1"/>
    <col min="12300" max="12308" width="9.33203125" style="953" customWidth="1"/>
    <col min="12309" max="12544" width="8.88671875" style="953"/>
    <col min="12545" max="12545" width="28.77734375" style="953" customWidth="1"/>
    <col min="12546" max="12554" width="9.33203125" style="953" customWidth="1"/>
    <col min="12555" max="12555" width="28.77734375" style="953" customWidth="1"/>
    <col min="12556" max="12564" width="9.33203125" style="953" customWidth="1"/>
    <col min="12565" max="12800" width="8.88671875" style="953"/>
    <col min="12801" max="12801" width="28.77734375" style="953" customWidth="1"/>
    <col min="12802" max="12810" width="9.33203125" style="953" customWidth="1"/>
    <col min="12811" max="12811" width="28.77734375" style="953" customWidth="1"/>
    <col min="12812" max="12820" width="9.33203125" style="953" customWidth="1"/>
    <col min="12821" max="13056" width="8.88671875" style="953"/>
    <col min="13057" max="13057" width="28.77734375" style="953" customWidth="1"/>
    <col min="13058" max="13066" width="9.33203125" style="953" customWidth="1"/>
    <col min="13067" max="13067" width="28.77734375" style="953" customWidth="1"/>
    <col min="13068" max="13076" width="9.33203125" style="953" customWidth="1"/>
    <col min="13077" max="13312" width="8.88671875" style="953"/>
    <col min="13313" max="13313" width="28.77734375" style="953" customWidth="1"/>
    <col min="13314" max="13322" width="9.33203125" style="953" customWidth="1"/>
    <col min="13323" max="13323" width="28.77734375" style="953" customWidth="1"/>
    <col min="13324" max="13332" width="9.33203125" style="953" customWidth="1"/>
    <col min="13333" max="13568" width="8.88671875" style="953"/>
    <col min="13569" max="13569" width="28.77734375" style="953" customWidth="1"/>
    <col min="13570" max="13578" width="9.33203125" style="953" customWidth="1"/>
    <col min="13579" max="13579" width="28.77734375" style="953" customWidth="1"/>
    <col min="13580" max="13588" width="9.33203125" style="953" customWidth="1"/>
    <col min="13589" max="13824" width="8.88671875" style="953"/>
    <col min="13825" max="13825" width="28.77734375" style="953" customWidth="1"/>
    <col min="13826" max="13834" width="9.33203125" style="953" customWidth="1"/>
    <col min="13835" max="13835" width="28.77734375" style="953" customWidth="1"/>
    <col min="13836" max="13844" width="9.33203125" style="953" customWidth="1"/>
    <col min="13845" max="14080" width="8.88671875" style="953"/>
    <col min="14081" max="14081" width="28.77734375" style="953" customWidth="1"/>
    <col min="14082" max="14090" width="9.33203125" style="953" customWidth="1"/>
    <col min="14091" max="14091" width="28.77734375" style="953" customWidth="1"/>
    <col min="14092" max="14100" width="9.33203125" style="953" customWidth="1"/>
    <col min="14101" max="14336" width="8.88671875" style="953"/>
    <col min="14337" max="14337" width="28.77734375" style="953" customWidth="1"/>
    <col min="14338" max="14346" width="9.33203125" style="953" customWidth="1"/>
    <col min="14347" max="14347" width="28.77734375" style="953" customWidth="1"/>
    <col min="14348" max="14356" width="9.33203125" style="953" customWidth="1"/>
    <col min="14357" max="14592" width="8.88671875" style="953"/>
    <col min="14593" max="14593" width="28.77734375" style="953" customWidth="1"/>
    <col min="14594" max="14602" width="9.33203125" style="953" customWidth="1"/>
    <col min="14603" max="14603" width="28.77734375" style="953" customWidth="1"/>
    <col min="14604" max="14612" width="9.33203125" style="953" customWidth="1"/>
    <col min="14613" max="14848" width="8.88671875" style="953"/>
    <col min="14849" max="14849" width="28.77734375" style="953" customWidth="1"/>
    <col min="14850" max="14858" width="9.33203125" style="953" customWidth="1"/>
    <col min="14859" max="14859" width="28.77734375" style="953" customWidth="1"/>
    <col min="14860" max="14868" width="9.33203125" style="953" customWidth="1"/>
    <col min="14869" max="15104" width="8.88671875" style="953"/>
    <col min="15105" max="15105" width="28.77734375" style="953" customWidth="1"/>
    <col min="15106" max="15114" width="9.33203125" style="953" customWidth="1"/>
    <col min="15115" max="15115" width="28.77734375" style="953" customWidth="1"/>
    <col min="15116" max="15124" width="9.33203125" style="953" customWidth="1"/>
    <col min="15125" max="15360" width="8.88671875" style="953"/>
    <col min="15361" max="15361" width="28.77734375" style="953" customWidth="1"/>
    <col min="15362" max="15370" width="9.33203125" style="953" customWidth="1"/>
    <col min="15371" max="15371" width="28.77734375" style="953" customWidth="1"/>
    <col min="15372" max="15380" width="9.33203125" style="953" customWidth="1"/>
    <col min="15381" max="15616" width="8.88671875" style="953"/>
    <col min="15617" max="15617" width="28.77734375" style="953" customWidth="1"/>
    <col min="15618" max="15626" width="9.33203125" style="953" customWidth="1"/>
    <col min="15627" max="15627" width="28.77734375" style="953" customWidth="1"/>
    <col min="15628" max="15636" width="9.33203125" style="953" customWidth="1"/>
    <col min="15637" max="15872" width="8.88671875" style="953"/>
    <col min="15873" max="15873" width="28.77734375" style="953" customWidth="1"/>
    <col min="15874" max="15882" width="9.33203125" style="953" customWidth="1"/>
    <col min="15883" max="15883" width="28.77734375" style="953" customWidth="1"/>
    <col min="15884" max="15892" width="9.33203125" style="953" customWidth="1"/>
    <col min="15893" max="16128" width="8.88671875" style="953"/>
    <col min="16129" max="16129" width="28.77734375" style="953" customWidth="1"/>
    <col min="16130" max="16138" width="9.33203125" style="953" customWidth="1"/>
    <col min="16139" max="16139" width="28.77734375" style="953" customWidth="1"/>
    <col min="16140" max="16148" width="9.33203125" style="953" customWidth="1"/>
    <col min="16149" max="16384" width="8.88671875" style="953"/>
  </cols>
  <sheetData>
    <row r="1" spans="1:20" s="947" customFormat="1" ht="14.85" customHeight="1" thickBot="1">
      <c r="A1" s="941" t="s">
        <v>544</v>
      </c>
      <c r="B1" s="1148"/>
      <c r="C1" s="942" t="s">
        <v>545</v>
      </c>
      <c r="D1" s="943">
        <v>2036</v>
      </c>
      <c r="E1" s="944" t="s">
        <v>546</v>
      </c>
      <c r="F1" s="942" t="s">
        <v>160</v>
      </c>
      <c r="G1" s="945">
        <v>1250</v>
      </c>
      <c r="H1" s="941"/>
      <c r="I1" s="941"/>
      <c r="J1" s="946"/>
      <c r="K1" s="941" t="s">
        <v>544</v>
      </c>
      <c r="L1" s="1148"/>
      <c r="M1" s="942" t="s">
        <v>545</v>
      </c>
      <c r="N1" s="943">
        <f>D1</f>
        <v>2036</v>
      </c>
      <c r="O1" s="944" t="s">
        <v>546</v>
      </c>
      <c r="P1" s="942" t="s">
        <v>160</v>
      </c>
      <c r="Q1" s="945">
        <f>G1</f>
        <v>1250</v>
      </c>
      <c r="R1" s="941"/>
      <c r="S1" s="941"/>
      <c r="T1" s="946"/>
    </row>
    <row r="2" spans="1:20" ht="14.85" customHeight="1">
      <c r="A2" s="1562" t="s">
        <v>167</v>
      </c>
      <c r="B2" s="1149"/>
      <c r="C2" s="948"/>
      <c r="D2" s="949"/>
      <c r="E2" s="950" t="str">
        <f>'환기량 산정'!B6</f>
        <v>마산</v>
      </c>
      <c r="F2" s="951" t="s">
        <v>0</v>
      </c>
      <c r="G2" s="950" t="str">
        <f>'환기량 산정'!E6</f>
        <v>진주</v>
      </c>
      <c r="H2" s="951" t="s">
        <v>547</v>
      </c>
      <c r="I2" s="951"/>
      <c r="J2" s="952"/>
      <c r="K2" s="1562" t="s">
        <v>167</v>
      </c>
      <c r="L2" s="1149"/>
      <c r="M2" s="948"/>
      <c r="N2" s="949"/>
      <c r="O2" s="950" t="str">
        <f>'환기량 산정'!G6</f>
        <v>진주</v>
      </c>
      <c r="P2" s="951" t="s">
        <v>0</v>
      </c>
      <c r="Q2" s="950" t="str">
        <f>'환기량 산정'!J6</f>
        <v>마산</v>
      </c>
      <c r="R2" s="951" t="s">
        <v>547</v>
      </c>
      <c r="S2" s="951"/>
      <c r="T2" s="952"/>
    </row>
    <row r="3" spans="1:20" ht="14.85" customHeight="1">
      <c r="A3" s="1563"/>
      <c r="B3" s="1150"/>
      <c r="C3" s="954" t="str">
        <f>'환기량 산정'!B1518</f>
        <v>CO</v>
      </c>
      <c r="D3" s="954" t="str">
        <f>'환기량 산정'!C1518</f>
        <v>CO</v>
      </c>
      <c r="E3" s="954" t="str">
        <f>'환기량 산정'!D1518</f>
        <v>매연</v>
      </c>
      <c r="F3" s="954" t="str">
        <f>'환기량 산정'!E1518</f>
        <v>매연</v>
      </c>
      <c r="G3" s="954" t="str">
        <f>'환기량 산정'!F1518</f>
        <v>매연</v>
      </c>
      <c r="H3" s="954" t="str">
        <f>'환기량 산정'!G1518</f>
        <v>매연</v>
      </c>
      <c r="I3" s="954" t="str">
        <f>'환기량 산정'!H1518</f>
        <v>매연</v>
      </c>
      <c r="J3" s="954" t="str">
        <f>'환기량 산정'!I1518</f>
        <v>매연</v>
      </c>
      <c r="K3" s="1563"/>
      <c r="L3" s="1204"/>
      <c r="M3" s="954" t="str">
        <f>'환기량 산정'!B1535</f>
        <v>CO</v>
      </c>
      <c r="N3" s="954" t="str">
        <f>'환기량 산정'!C1535</f>
        <v>CO</v>
      </c>
      <c r="O3" s="954" t="str">
        <f>'환기량 산정'!D1535</f>
        <v>CO</v>
      </c>
      <c r="P3" s="954" t="str">
        <f>'환기량 산정'!E1535</f>
        <v>CO</v>
      </c>
      <c r="Q3" s="954" t="str">
        <f>'환기량 산정'!F1535</f>
        <v>매연</v>
      </c>
      <c r="R3" s="954" t="str">
        <f>'환기량 산정'!G1535</f>
        <v>매연</v>
      </c>
      <c r="S3" s="954" t="str">
        <f>'환기량 산정'!H1535</f>
        <v>매연</v>
      </c>
      <c r="T3" s="954" t="str">
        <f>'환기량 산정'!I1535</f>
        <v>매연</v>
      </c>
    </row>
    <row r="4" spans="1:20" ht="14.85" customHeight="1">
      <c r="A4" s="955" t="s">
        <v>106</v>
      </c>
      <c r="B4" s="1151">
        <v>5</v>
      </c>
      <c r="C4" s="956">
        <v>10</v>
      </c>
      <c r="D4" s="957">
        <v>20</v>
      </c>
      <c r="E4" s="957">
        <v>30</v>
      </c>
      <c r="F4" s="957">
        <v>40</v>
      </c>
      <c r="G4" s="957">
        <v>50</v>
      </c>
      <c r="H4" s="957">
        <v>60</v>
      </c>
      <c r="I4" s="957">
        <v>70</v>
      </c>
      <c r="J4" s="958">
        <v>80</v>
      </c>
      <c r="K4" s="955" t="s">
        <v>106</v>
      </c>
      <c r="L4" s="1205">
        <v>5</v>
      </c>
      <c r="M4" s="956">
        <v>10</v>
      </c>
      <c r="N4" s="957">
        <v>20</v>
      </c>
      <c r="O4" s="957">
        <v>30</v>
      </c>
      <c r="P4" s="957">
        <v>40</v>
      </c>
      <c r="Q4" s="957">
        <v>50</v>
      </c>
      <c r="R4" s="957">
        <v>60</v>
      </c>
      <c r="S4" s="957">
        <v>70</v>
      </c>
      <c r="T4" s="958">
        <v>80</v>
      </c>
    </row>
    <row r="5" spans="1:20" ht="14.85" customHeight="1">
      <c r="A5" s="959" t="s">
        <v>107</v>
      </c>
      <c r="B5" s="1152">
        <f>ROUND(B4/3.6,2)</f>
        <v>1.39</v>
      </c>
      <c r="C5" s="960">
        <f t="shared" ref="C5:J5" si="0">ROUND(C4/3.6,2)</f>
        <v>2.78</v>
      </c>
      <c r="D5" s="961">
        <f t="shared" si="0"/>
        <v>5.56</v>
      </c>
      <c r="E5" s="961">
        <f t="shared" si="0"/>
        <v>8.33</v>
      </c>
      <c r="F5" s="961">
        <f t="shared" si="0"/>
        <v>11.11</v>
      </c>
      <c r="G5" s="961">
        <f t="shared" si="0"/>
        <v>13.89</v>
      </c>
      <c r="H5" s="961">
        <f t="shared" si="0"/>
        <v>16.670000000000002</v>
      </c>
      <c r="I5" s="961">
        <f t="shared" si="0"/>
        <v>19.440000000000001</v>
      </c>
      <c r="J5" s="962">
        <f t="shared" si="0"/>
        <v>22.22</v>
      </c>
      <c r="K5" s="959" t="s">
        <v>107</v>
      </c>
      <c r="L5" s="1152">
        <f t="shared" ref="L5:S5" si="1">ROUND(L4/3.6,2)</f>
        <v>1.39</v>
      </c>
      <c r="M5" s="961">
        <f t="shared" si="1"/>
        <v>2.78</v>
      </c>
      <c r="N5" s="961">
        <f t="shared" si="1"/>
        <v>5.56</v>
      </c>
      <c r="O5" s="961">
        <f t="shared" si="1"/>
        <v>8.33</v>
      </c>
      <c r="P5" s="961">
        <f t="shared" si="1"/>
        <v>11.11</v>
      </c>
      <c r="Q5" s="961">
        <f t="shared" si="1"/>
        <v>13.89</v>
      </c>
      <c r="R5" s="961">
        <f t="shared" si="1"/>
        <v>16.670000000000002</v>
      </c>
      <c r="S5" s="963">
        <f t="shared" si="1"/>
        <v>19.440000000000001</v>
      </c>
      <c r="T5" s="964">
        <f>ROUND(T4/3.6,2)</f>
        <v>22.22</v>
      </c>
    </row>
    <row r="6" spans="1:20" ht="14.85" customHeight="1">
      <c r="A6" s="959"/>
      <c r="B6" s="1152"/>
      <c r="C6" s="960"/>
      <c r="D6" s="961"/>
      <c r="E6" s="961"/>
      <c r="F6" s="961"/>
      <c r="G6" s="961"/>
      <c r="H6" s="961"/>
      <c r="I6" s="961"/>
      <c r="J6" s="962"/>
      <c r="K6" s="959"/>
      <c r="L6" s="1152"/>
      <c r="M6" s="961"/>
      <c r="N6" s="961"/>
      <c r="O6" s="961"/>
      <c r="P6" s="961"/>
      <c r="Q6" s="961"/>
      <c r="R6" s="961"/>
      <c r="S6" s="963"/>
      <c r="T6" s="964"/>
    </row>
    <row r="7" spans="1:20" s="947" customFormat="1" ht="14.85" customHeight="1">
      <c r="A7" s="965" t="s">
        <v>548</v>
      </c>
      <c r="B7" s="1153">
        <v>988</v>
      </c>
      <c r="C7" s="966">
        <f>'환기량 산정'!B1517</f>
        <v>15</v>
      </c>
      <c r="D7" s="966">
        <f>'환기량 산정'!C1517</f>
        <v>13</v>
      </c>
      <c r="E7" s="966">
        <f>'환기량 산정'!D1517</f>
        <v>9</v>
      </c>
      <c r="F7" s="966">
        <f>'환기량 산정'!E1517</f>
        <v>10</v>
      </c>
      <c r="G7" s="966">
        <f>'환기량 산정'!F1517</f>
        <v>14</v>
      </c>
      <c r="H7" s="966">
        <f>'환기량 산정'!G1517</f>
        <v>14</v>
      </c>
      <c r="I7" s="966">
        <f>'환기량 산정'!H1517</f>
        <v>14</v>
      </c>
      <c r="J7" s="966">
        <f>'환기량 산정'!I1517</f>
        <v>14</v>
      </c>
      <c r="K7" s="965" t="s">
        <v>548</v>
      </c>
      <c r="L7" s="1153">
        <v>1139</v>
      </c>
      <c r="M7" s="966">
        <f>'환기량 산정'!B1534</f>
        <v>29</v>
      </c>
      <c r="N7" s="966">
        <f>'환기량 산정'!C1534</f>
        <v>28</v>
      </c>
      <c r="O7" s="966">
        <f>'환기량 산정'!D1534</f>
        <v>21</v>
      </c>
      <c r="P7" s="966">
        <f>'환기량 산정'!E1534</f>
        <v>19</v>
      </c>
      <c r="Q7" s="966">
        <f>'환기량 산정'!F1534</f>
        <v>25</v>
      </c>
      <c r="R7" s="966">
        <f>'환기량 산정'!G1534</f>
        <v>25</v>
      </c>
      <c r="S7" s="966">
        <f>'환기량 산정'!H1534</f>
        <v>25</v>
      </c>
      <c r="T7" s="966">
        <f>'환기량 산정'!I1534</f>
        <v>26</v>
      </c>
    </row>
    <row r="8" spans="1:20" ht="14.85" customHeight="1">
      <c r="A8" s="959" t="s">
        <v>549</v>
      </c>
      <c r="B8" s="1154">
        <f t="shared" ref="B8:I11" si="2">B222</f>
        <v>-524</v>
      </c>
      <c r="C8" s="967">
        <f t="shared" si="2"/>
        <v>-8</v>
      </c>
      <c r="D8" s="967">
        <f t="shared" si="2"/>
        <v>-7</v>
      </c>
      <c r="E8" s="967">
        <f t="shared" si="2"/>
        <v>-5</v>
      </c>
      <c r="F8" s="967">
        <f t="shared" si="2"/>
        <v>-5</v>
      </c>
      <c r="G8" s="967">
        <f t="shared" si="2"/>
        <v>-7</v>
      </c>
      <c r="H8" s="967">
        <f t="shared" si="2"/>
        <v>-7</v>
      </c>
      <c r="I8" s="967">
        <f t="shared" si="2"/>
        <v>-7</v>
      </c>
      <c r="J8" s="968">
        <f>J222</f>
        <v>-7</v>
      </c>
      <c r="K8" s="959" t="s">
        <v>549</v>
      </c>
      <c r="L8" s="1154">
        <f t="shared" ref="L8:S11" si="3">L222</f>
        <v>-2790</v>
      </c>
      <c r="M8" s="967">
        <f t="shared" si="3"/>
        <v>-71</v>
      </c>
      <c r="N8" s="967">
        <f t="shared" si="3"/>
        <v>-69</v>
      </c>
      <c r="O8" s="967">
        <f t="shared" si="3"/>
        <v>-51</v>
      </c>
      <c r="P8" s="967">
        <f t="shared" si="3"/>
        <v>-47</v>
      </c>
      <c r="Q8" s="967">
        <f t="shared" si="3"/>
        <v>-61</v>
      </c>
      <c r="R8" s="967">
        <f t="shared" si="3"/>
        <v>-61</v>
      </c>
      <c r="S8" s="969">
        <f t="shared" si="3"/>
        <v>-61</v>
      </c>
      <c r="T8" s="970">
        <f>T222</f>
        <v>-64</v>
      </c>
    </row>
    <row r="9" spans="1:20" ht="14.85" customHeight="1">
      <c r="A9" s="959" t="s">
        <v>550</v>
      </c>
      <c r="B9" s="1154">
        <f t="shared" si="2"/>
        <v>1512</v>
      </c>
      <c r="C9" s="967">
        <f t="shared" si="2"/>
        <v>23</v>
      </c>
      <c r="D9" s="967">
        <f t="shared" si="2"/>
        <v>20</v>
      </c>
      <c r="E9" s="967">
        <f t="shared" si="2"/>
        <v>14</v>
      </c>
      <c r="F9" s="967">
        <f t="shared" si="2"/>
        <v>15</v>
      </c>
      <c r="G9" s="967">
        <f t="shared" si="2"/>
        <v>21</v>
      </c>
      <c r="H9" s="967">
        <f t="shared" si="2"/>
        <v>21</v>
      </c>
      <c r="I9" s="967">
        <f t="shared" si="2"/>
        <v>21</v>
      </c>
      <c r="J9" s="968">
        <f>J223</f>
        <v>21</v>
      </c>
      <c r="K9" s="959" t="s">
        <v>550</v>
      </c>
      <c r="L9" s="1154">
        <f t="shared" si="3"/>
        <v>3929</v>
      </c>
      <c r="M9" s="967">
        <f t="shared" si="3"/>
        <v>100</v>
      </c>
      <c r="N9" s="967">
        <f t="shared" si="3"/>
        <v>97</v>
      </c>
      <c r="O9" s="967">
        <f t="shared" si="3"/>
        <v>72</v>
      </c>
      <c r="P9" s="967">
        <f t="shared" si="3"/>
        <v>66</v>
      </c>
      <c r="Q9" s="967">
        <f t="shared" si="3"/>
        <v>86</v>
      </c>
      <c r="R9" s="967">
        <f t="shared" si="3"/>
        <v>86</v>
      </c>
      <c r="S9" s="969">
        <f t="shared" si="3"/>
        <v>86</v>
      </c>
      <c r="T9" s="970">
        <f>T223</f>
        <v>90</v>
      </c>
    </row>
    <row r="10" spans="1:20" ht="14.85" customHeight="1">
      <c r="A10" s="959" t="s">
        <v>551</v>
      </c>
      <c r="B10" s="1154">
        <f t="shared" si="2"/>
        <v>0</v>
      </c>
      <c r="C10" s="967">
        <f t="shared" si="2"/>
        <v>0</v>
      </c>
      <c r="D10" s="967">
        <f t="shared" si="2"/>
        <v>0</v>
      </c>
      <c r="E10" s="967">
        <f t="shared" si="2"/>
        <v>0</v>
      </c>
      <c r="F10" s="967">
        <f t="shared" si="2"/>
        <v>0</v>
      </c>
      <c r="G10" s="967">
        <f t="shared" si="2"/>
        <v>0</v>
      </c>
      <c r="H10" s="967">
        <f t="shared" si="2"/>
        <v>0</v>
      </c>
      <c r="I10" s="967">
        <f t="shared" si="2"/>
        <v>0</v>
      </c>
      <c r="J10" s="968">
        <f>J224</f>
        <v>0</v>
      </c>
      <c r="K10" s="959" t="s">
        <v>551</v>
      </c>
      <c r="L10" s="1154">
        <f t="shared" si="3"/>
        <v>0</v>
      </c>
      <c r="M10" s="967">
        <f t="shared" si="3"/>
        <v>0</v>
      </c>
      <c r="N10" s="967">
        <f t="shared" si="3"/>
        <v>0</v>
      </c>
      <c r="O10" s="967">
        <f t="shared" si="3"/>
        <v>0</v>
      </c>
      <c r="P10" s="967">
        <f t="shared" si="3"/>
        <v>0</v>
      </c>
      <c r="Q10" s="967">
        <f t="shared" si="3"/>
        <v>0</v>
      </c>
      <c r="R10" s="967">
        <f t="shared" si="3"/>
        <v>0</v>
      </c>
      <c r="S10" s="969">
        <f t="shared" si="3"/>
        <v>0</v>
      </c>
      <c r="T10" s="970">
        <f>T224</f>
        <v>0</v>
      </c>
    </row>
    <row r="11" spans="1:20" ht="14.85" customHeight="1">
      <c r="A11" s="959" t="s">
        <v>552</v>
      </c>
      <c r="B11" s="1154">
        <f t="shared" si="2"/>
        <v>0</v>
      </c>
      <c r="C11" s="967">
        <f t="shared" si="2"/>
        <v>0</v>
      </c>
      <c r="D11" s="967">
        <f t="shared" si="2"/>
        <v>0</v>
      </c>
      <c r="E11" s="967">
        <f t="shared" si="2"/>
        <v>0</v>
      </c>
      <c r="F11" s="967">
        <f t="shared" si="2"/>
        <v>0</v>
      </c>
      <c r="G11" s="967">
        <f t="shared" si="2"/>
        <v>0</v>
      </c>
      <c r="H11" s="967">
        <f t="shared" si="2"/>
        <v>0</v>
      </c>
      <c r="I11" s="967">
        <f t="shared" si="2"/>
        <v>0</v>
      </c>
      <c r="J11" s="968">
        <f>J225</f>
        <v>0</v>
      </c>
      <c r="K11" s="959" t="s">
        <v>552</v>
      </c>
      <c r="L11" s="1154">
        <f t="shared" si="3"/>
        <v>0</v>
      </c>
      <c r="M11" s="967">
        <f t="shared" si="3"/>
        <v>0</v>
      </c>
      <c r="N11" s="967">
        <f t="shared" si="3"/>
        <v>0</v>
      </c>
      <c r="O11" s="967">
        <f t="shared" si="3"/>
        <v>0</v>
      </c>
      <c r="P11" s="967">
        <f t="shared" si="3"/>
        <v>0</v>
      </c>
      <c r="Q11" s="967">
        <f t="shared" si="3"/>
        <v>0</v>
      </c>
      <c r="R11" s="967">
        <f t="shared" si="3"/>
        <v>0</v>
      </c>
      <c r="S11" s="969">
        <f t="shared" si="3"/>
        <v>0</v>
      </c>
      <c r="T11" s="970">
        <f>T225</f>
        <v>0</v>
      </c>
    </row>
    <row r="12" spans="1:20" ht="14.85" customHeight="1">
      <c r="A12" s="959"/>
      <c r="B12" s="1154"/>
      <c r="C12" s="967"/>
      <c r="D12" s="967"/>
      <c r="E12" s="967"/>
      <c r="F12" s="967"/>
      <c r="G12" s="967"/>
      <c r="H12" s="967"/>
      <c r="I12" s="967"/>
      <c r="J12" s="968"/>
      <c r="K12" s="959"/>
      <c r="L12" s="1154"/>
      <c r="M12" s="967"/>
      <c r="N12" s="967"/>
      <c r="O12" s="967"/>
      <c r="P12" s="967"/>
      <c r="Q12" s="967"/>
      <c r="R12" s="967"/>
      <c r="S12" s="969"/>
      <c r="T12" s="970"/>
    </row>
    <row r="13" spans="1:20" ht="14.85" customHeight="1">
      <c r="A13" s="965" t="s">
        <v>553</v>
      </c>
      <c r="B13" s="1154"/>
      <c r="C13" s="967"/>
      <c r="D13" s="967"/>
      <c r="E13" s="967"/>
      <c r="F13" s="967"/>
      <c r="G13" s="967"/>
      <c r="H13" s="967"/>
      <c r="I13" s="967"/>
      <c r="J13" s="968"/>
      <c r="K13" s="965" t="s">
        <v>553</v>
      </c>
      <c r="L13" s="1154"/>
      <c r="M13" s="967"/>
      <c r="N13" s="967"/>
      <c r="O13" s="967"/>
      <c r="P13" s="967"/>
      <c r="Q13" s="967"/>
      <c r="R13" s="967"/>
      <c r="S13" s="969"/>
      <c r="T13" s="970"/>
    </row>
    <row r="14" spans="1:20" ht="14.85" customHeight="1">
      <c r="A14" s="959" t="s">
        <v>554</v>
      </c>
      <c r="B14" s="1155">
        <f t="shared" ref="B14:I14" si="4">ROUND(B8/B23,4)</f>
        <v>-8.9309999999999992</v>
      </c>
      <c r="C14" s="971">
        <f t="shared" si="4"/>
        <v>-0.13639999999999999</v>
      </c>
      <c r="D14" s="971">
        <f t="shared" si="4"/>
        <v>-0.1193</v>
      </c>
      <c r="E14" s="971">
        <f t="shared" si="4"/>
        <v>-8.5199999999999998E-2</v>
      </c>
      <c r="F14" s="971">
        <f t="shared" si="4"/>
        <v>-8.5199999999999998E-2</v>
      </c>
      <c r="G14" s="971">
        <f t="shared" si="4"/>
        <v>-0.1193</v>
      </c>
      <c r="H14" s="971">
        <f t="shared" si="4"/>
        <v>-0.1193</v>
      </c>
      <c r="I14" s="971">
        <f t="shared" si="4"/>
        <v>-0.1193</v>
      </c>
      <c r="J14" s="972">
        <f>ROUND(J8/J23,4)</f>
        <v>-0.1193</v>
      </c>
      <c r="K14" s="959" t="s">
        <v>554</v>
      </c>
      <c r="L14" s="1155">
        <f t="shared" ref="L14:S14" si="5">ROUND(L8/L23,4)</f>
        <v>-38.182600000000001</v>
      </c>
      <c r="M14" s="971">
        <f t="shared" si="5"/>
        <v>-1.2101</v>
      </c>
      <c r="N14" s="971">
        <f t="shared" si="5"/>
        <v>-1.1759999999999999</v>
      </c>
      <c r="O14" s="971">
        <f t="shared" si="5"/>
        <v>-0.86919999999999997</v>
      </c>
      <c r="P14" s="971">
        <f t="shared" si="5"/>
        <v>-0.80110000000000003</v>
      </c>
      <c r="Q14" s="971">
        <f t="shared" si="5"/>
        <v>-1.0397000000000001</v>
      </c>
      <c r="R14" s="971">
        <f t="shared" si="5"/>
        <v>-1.0397000000000001</v>
      </c>
      <c r="S14" s="973">
        <f t="shared" si="5"/>
        <v>-1.0397000000000001</v>
      </c>
      <c r="T14" s="974">
        <f>ROUND(T8/T23,4)</f>
        <v>-1.0908</v>
      </c>
    </row>
    <row r="15" spans="1:20" ht="14.85" customHeight="1">
      <c r="A15" s="959" t="s">
        <v>555</v>
      </c>
      <c r="B15" s="1155">
        <f t="shared" ref="B15:I15" si="6">ROUND(B9/B23,4)</f>
        <v>25.770299999999999</v>
      </c>
      <c r="C15" s="971">
        <f t="shared" si="6"/>
        <v>0.39200000000000002</v>
      </c>
      <c r="D15" s="971">
        <f t="shared" si="6"/>
        <v>0.34089999999999998</v>
      </c>
      <c r="E15" s="971">
        <f t="shared" si="6"/>
        <v>0.23860000000000001</v>
      </c>
      <c r="F15" s="971">
        <f t="shared" si="6"/>
        <v>0.25569999999999998</v>
      </c>
      <c r="G15" s="971">
        <f t="shared" si="6"/>
        <v>0.3579</v>
      </c>
      <c r="H15" s="971">
        <f t="shared" si="6"/>
        <v>0.3579</v>
      </c>
      <c r="I15" s="971">
        <f t="shared" si="6"/>
        <v>0.3579</v>
      </c>
      <c r="J15" s="972">
        <f>ROUND(J9/J23,4)</f>
        <v>0.3579</v>
      </c>
      <c r="K15" s="959" t="s">
        <v>555</v>
      </c>
      <c r="L15" s="1155">
        <f t="shared" ref="L15:S15" si="7">ROUND(L9/L23,4)</f>
        <v>53.770400000000002</v>
      </c>
      <c r="M15" s="971">
        <f t="shared" si="7"/>
        <v>1.7043999999999999</v>
      </c>
      <c r="N15" s="971">
        <f t="shared" si="7"/>
        <v>1.6533</v>
      </c>
      <c r="O15" s="971">
        <f t="shared" si="7"/>
        <v>1.2272000000000001</v>
      </c>
      <c r="P15" s="971">
        <f t="shared" si="7"/>
        <v>1.1249</v>
      </c>
      <c r="Q15" s="971">
        <f t="shared" si="7"/>
        <v>1.4658</v>
      </c>
      <c r="R15" s="971">
        <f t="shared" si="7"/>
        <v>1.4658</v>
      </c>
      <c r="S15" s="973">
        <f t="shared" si="7"/>
        <v>1.4658</v>
      </c>
      <c r="T15" s="974">
        <f>ROUND(T9/T23,4)</f>
        <v>1.5339</v>
      </c>
    </row>
    <row r="16" spans="1:20" ht="14.85" customHeight="1">
      <c r="A16" s="959" t="s">
        <v>556</v>
      </c>
      <c r="B16" s="1155">
        <f t="shared" ref="B16:I16" si="8">ROUND(B10/B23,4)</f>
        <v>0</v>
      </c>
      <c r="C16" s="971">
        <f t="shared" si="8"/>
        <v>0</v>
      </c>
      <c r="D16" s="971">
        <f t="shared" si="8"/>
        <v>0</v>
      </c>
      <c r="E16" s="971">
        <f t="shared" si="8"/>
        <v>0</v>
      </c>
      <c r="F16" s="971">
        <f t="shared" si="8"/>
        <v>0</v>
      </c>
      <c r="G16" s="971">
        <f t="shared" si="8"/>
        <v>0</v>
      </c>
      <c r="H16" s="971">
        <f t="shared" si="8"/>
        <v>0</v>
      </c>
      <c r="I16" s="971">
        <f t="shared" si="8"/>
        <v>0</v>
      </c>
      <c r="J16" s="972">
        <f>ROUND(J10/J23,4)</f>
        <v>0</v>
      </c>
      <c r="K16" s="959" t="s">
        <v>556</v>
      </c>
      <c r="L16" s="1155">
        <f t="shared" ref="L16:S16" si="9">ROUND(L10/L23,4)</f>
        <v>0</v>
      </c>
      <c r="M16" s="971">
        <f t="shared" si="9"/>
        <v>0</v>
      </c>
      <c r="N16" s="971">
        <f t="shared" si="9"/>
        <v>0</v>
      </c>
      <c r="O16" s="971">
        <f t="shared" si="9"/>
        <v>0</v>
      </c>
      <c r="P16" s="971">
        <f t="shared" si="9"/>
        <v>0</v>
      </c>
      <c r="Q16" s="971">
        <f t="shared" si="9"/>
        <v>0</v>
      </c>
      <c r="R16" s="971">
        <f t="shared" si="9"/>
        <v>0</v>
      </c>
      <c r="S16" s="973">
        <f t="shared" si="9"/>
        <v>0</v>
      </c>
      <c r="T16" s="974">
        <f>ROUND(T10/T23,4)</f>
        <v>0</v>
      </c>
    </row>
    <row r="17" spans="1:20" ht="14.85" customHeight="1">
      <c r="A17" s="959" t="s">
        <v>557</v>
      </c>
      <c r="B17" s="1155">
        <f t="shared" ref="B17:I17" si="10">ROUND(B11/B23,4)</f>
        <v>0</v>
      </c>
      <c r="C17" s="971">
        <f t="shared" si="10"/>
        <v>0</v>
      </c>
      <c r="D17" s="971">
        <f t="shared" si="10"/>
        <v>0</v>
      </c>
      <c r="E17" s="971">
        <f t="shared" si="10"/>
        <v>0</v>
      </c>
      <c r="F17" s="971">
        <f t="shared" si="10"/>
        <v>0</v>
      </c>
      <c r="G17" s="971">
        <f t="shared" si="10"/>
        <v>0</v>
      </c>
      <c r="H17" s="971">
        <f t="shared" si="10"/>
        <v>0</v>
      </c>
      <c r="I17" s="971">
        <f t="shared" si="10"/>
        <v>0</v>
      </c>
      <c r="J17" s="972">
        <f>ROUND(J11/J23,4)</f>
        <v>0</v>
      </c>
      <c r="K17" s="959" t="s">
        <v>557</v>
      </c>
      <c r="L17" s="1155">
        <f t="shared" ref="L17:S17" si="11">ROUND(L11/L23,4)</f>
        <v>0</v>
      </c>
      <c r="M17" s="971">
        <f t="shared" si="11"/>
        <v>0</v>
      </c>
      <c r="N17" s="971">
        <f t="shared" si="11"/>
        <v>0</v>
      </c>
      <c r="O17" s="971">
        <f t="shared" si="11"/>
        <v>0</v>
      </c>
      <c r="P17" s="971">
        <f t="shared" si="11"/>
        <v>0</v>
      </c>
      <c r="Q17" s="971">
        <f t="shared" si="11"/>
        <v>0</v>
      </c>
      <c r="R17" s="971">
        <f t="shared" si="11"/>
        <v>0</v>
      </c>
      <c r="S17" s="973">
        <f t="shared" si="11"/>
        <v>0</v>
      </c>
      <c r="T17" s="974">
        <f>ROUND(T11/T23,4)</f>
        <v>0</v>
      </c>
    </row>
    <row r="18" spans="1:20" ht="14.85" customHeight="1">
      <c r="A18" s="959"/>
      <c r="B18" s="1155"/>
      <c r="C18" s="971"/>
      <c r="D18" s="971"/>
      <c r="E18" s="971"/>
      <c r="F18" s="971"/>
      <c r="G18" s="971"/>
      <c r="H18" s="971"/>
      <c r="I18" s="971"/>
      <c r="J18" s="972"/>
      <c r="K18" s="959"/>
      <c r="L18" s="1155"/>
      <c r="M18" s="971"/>
      <c r="N18" s="971"/>
      <c r="O18" s="971"/>
      <c r="P18" s="971"/>
      <c r="Q18" s="971"/>
      <c r="R18" s="971"/>
      <c r="S18" s="973"/>
      <c r="T18" s="974"/>
    </row>
    <row r="19" spans="1:20" s="947" customFormat="1" ht="14.85" customHeight="1">
      <c r="A19" s="965" t="s">
        <v>558</v>
      </c>
      <c r="B19" s="1156">
        <f>'환기량 산정'!C1490</f>
        <v>2.5</v>
      </c>
      <c r="C19" s="975">
        <f>'환기량 산정'!C1490</f>
        <v>2.5</v>
      </c>
      <c r="D19" s="975">
        <f t="shared" ref="D19:J19" si="12">C19</f>
        <v>2.5</v>
      </c>
      <c r="E19" s="975">
        <f t="shared" si="12"/>
        <v>2.5</v>
      </c>
      <c r="F19" s="975">
        <f t="shared" si="12"/>
        <v>2.5</v>
      </c>
      <c r="G19" s="975">
        <f t="shared" si="12"/>
        <v>2.5</v>
      </c>
      <c r="H19" s="975">
        <f t="shared" si="12"/>
        <v>2.5</v>
      </c>
      <c r="I19" s="975">
        <f t="shared" si="12"/>
        <v>2.5</v>
      </c>
      <c r="J19" s="976">
        <f t="shared" si="12"/>
        <v>2.5</v>
      </c>
      <c r="K19" s="965" t="s">
        <v>558</v>
      </c>
      <c r="L19" s="1156">
        <f>'환기량 산정'!I1490</f>
        <v>2.5</v>
      </c>
      <c r="M19" s="975">
        <f>'환기량 산정'!I1490</f>
        <v>2.5</v>
      </c>
      <c r="N19" s="975">
        <f t="shared" ref="N19:T19" si="13">M19</f>
        <v>2.5</v>
      </c>
      <c r="O19" s="975">
        <f t="shared" si="13"/>
        <v>2.5</v>
      </c>
      <c r="P19" s="975">
        <f t="shared" si="13"/>
        <v>2.5</v>
      </c>
      <c r="Q19" s="975">
        <f t="shared" si="13"/>
        <v>2.5</v>
      </c>
      <c r="R19" s="975">
        <f t="shared" si="13"/>
        <v>2.5</v>
      </c>
      <c r="S19" s="977">
        <f t="shared" si="13"/>
        <v>2.5</v>
      </c>
      <c r="T19" s="978">
        <f t="shared" si="13"/>
        <v>2.5</v>
      </c>
    </row>
    <row r="20" spans="1:20" s="947" customFormat="1" ht="14.85" customHeight="1">
      <c r="A20" s="965"/>
      <c r="B20" s="1156"/>
      <c r="C20" s="975"/>
      <c r="D20" s="975"/>
      <c r="E20" s="975"/>
      <c r="F20" s="975"/>
      <c r="G20" s="975"/>
      <c r="H20" s="975"/>
      <c r="I20" s="975"/>
      <c r="J20" s="976"/>
      <c r="K20" s="965"/>
      <c r="L20" s="1156"/>
      <c r="M20" s="975"/>
      <c r="N20" s="975"/>
      <c r="O20" s="975"/>
      <c r="P20" s="975"/>
      <c r="Q20" s="975"/>
      <c r="R20" s="975"/>
      <c r="S20" s="977"/>
      <c r="T20" s="978"/>
    </row>
    <row r="21" spans="1:20" s="947" customFormat="1" ht="14.85" customHeight="1">
      <c r="A21" s="965" t="s">
        <v>111</v>
      </c>
      <c r="B21" s="1156">
        <v>1120</v>
      </c>
      <c r="C21" s="975">
        <f>'환기량 산정'!B1504</f>
        <v>1060</v>
      </c>
      <c r="D21" s="975">
        <f>'환기량 산정'!C1504</f>
        <v>1536</v>
      </c>
      <c r="E21" s="975">
        <f>'환기량 산정'!D1504</f>
        <v>1779</v>
      </c>
      <c r="F21" s="975">
        <f>'환기량 산정'!E1504</f>
        <v>1867</v>
      </c>
      <c r="G21" s="975">
        <f>'환기량 산정'!F1504</f>
        <v>1944</v>
      </c>
      <c r="H21" s="975">
        <f>'환기량 산정'!G1504</f>
        <v>1925</v>
      </c>
      <c r="I21" s="975">
        <f>'환기량 산정'!H1504</f>
        <v>1906</v>
      </c>
      <c r="J21" s="975">
        <f>'환기량 산정'!I1504</f>
        <v>1944</v>
      </c>
      <c r="K21" s="965" t="s">
        <v>111</v>
      </c>
      <c r="L21" s="1156">
        <v>1120</v>
      </c>
      <c r="M21" s="975">
        <f>'환기량 산정'!B1521</f>
        <v>2119</v>
      </c>
      <c r="N21" s="975">
        <f>'환기량 산정'!C1521</f>
        <v>3072</v>
      </c>
      <c r="O21" s="975">
        <f>'환기량 산정'!D1521</f>
        <v>3558</v>
      </c>
      <c r="P21" s="975">
        <f>'환기량 산정'!E1521</f>
        <v>3733</v>
      </c>
      <c r="Q21" s="975">
        <f>'환기량 산정'!F1521</f>
        <v>3888</v>
      </c>
      <c r="R21" s="975">
        <f>'환기량 산정'!G1521</f>
        <v>3850</v>
      </c>
      <c r="S21" s="975">
        <f>'환기량 산정'!H1521</f>
        <v>3811</v>
      </c>
      <c r="T21" s="975">
        <f>'환기량 산정'!I1521</f>
        <v>3888</v>
      </c>
    </row>
    <row r="22" spans="1:20" s="947" customFormat="1" ht="14.85" customHeight="1">
      <c r="A22" s="965"/>
      <c r="B22" s="1156"/>
      <c r="C22" s="975"/>
      <c r="D22" s="975"/>
      <c r="E22" s="975"/>
      <c r="F22" s="975"/>
      <c r="G22" s="975"/>
      <c r="H22" s="975"/>
      <c r="I22" s="975"/>
      <c r="J22" s="976"/>
      <c r="K22" s="965"/>
      <c r="L22" s="1156"/>
      <c r="M22" s="975"/>
      <c r="N22" s="975"/>
      <c r="O22" s="975"/>
      <c r="P22" s="975"/>
      <c r="Q22" s="975"/>
      <c r="R22" s="975"/>
      <c r="S22" s="977"/>
      <c r="T22" s="978"/>
    </row>
    <row r="23" spans="1:20" s="947" customFormat="1" ht="14.85" customHeight="1">
      <c r="A23" s="965" t="s">
        <v>90</v>
      </c>
      <c r="B23" s="1156">
        <f>'환기량 산정'!C1488</f>
        <v>58.672159999999998</v>
      </c>
      <c r="C23" s="975">
        <f>'환기량 산정'!C1488</f>
        <v>58.672159999999998</v>
      </c>
      <c r="D23" s="975">
        <f t="shared" ref="D23:J23" si="14">C23</f>
        <v>58.672159999999998</v>
      </c>
      <c r="E23" s="975">
        <f t="shared" si="14"/>
        <v>58.672159999999998</v>
      </c>
      <c r="F23" s="975">
        <f t="shared" si="14"/>
        <v>58.672159999999998</v>
      </c>
      <c r="G23" s="975">
        <f t="shared" si="14"/>
        <v>58.672159999999998</v>
      </c>
      <c r="H23" s="975">
        <f t="shared" si="14"/>
        <v>58.672159999999998</v>
      </c>
      <c r="I23" s="975">
        <f t="shared" si="14"/>
        <v>58.672159999999998</v>
      </c>
      <c r="J23" s="976">
        <f t="shared" si="14"/>
        <v>58.672159999999998</v>
      </c>
      <c r="K23" s="965" t="s">
        <v>90</v>
      </c>
      <c r="L23" s="1156">
        <v>73.069999999999993</v>
      </c>
      <c r="M23" s="975">
        <f>'환기량 산정'!I1488</f>
        <v>58.672159999999998</v>
      </c>
      <c r="N23" s="975">
        <f t="shared" ref="N23:T23" si="15">M23</f>
        <v>58.672159999999998</v>
      </c>
      <c r="O23" s="975">
        <f t="shared" si="15"/>
        <v>58.672159999999998</v>
      </c>
      <c r="P23" s="975">
        <f t="shared" si="15"/>
        <v>58.672159999999998</v>
      </c>
      <c r="Q23" s="975">
        <f t="shared" si="15"/>
        <v>58.672159999999998</v>
      </c>
      <c r="R23" s="975">
        <f t="shared" si="15"/>
        <v>58.672159999999998</v>
      </c>
      <c r="S23" s="977">
        <f t="shared" si="15"/>
        <v>58.672159999999998</v>
      </c>
      <c r="T23" s="978">
        <f t="shared" si="15"/>
        <v>58.672159999999998</v>
      </c>
    </row>
    <row r="24" spans="1:20" s="947" customFormat="1" ht="14.85" customHeight="1">
      <c r="A24" s="965"/>
      <c r="B24" s="1156"/>
      <c r="C24" s="975"/>
      <c r="D24" s="975"/>
      <c r="E24" s="975"/>
      <c r="F24" s="975"/>
      <c r="G24" s="975"/>
      <c r="H24" s="975"/>
      <c r="I24" s="975"/>
      <c r="J24" s="976"/>
      <c r="K24" s="965"/>
      <c r="L24" s="1156"/>
      <c r="M24" s="975"/>
      <c r="N24" s="975"/>
      <c r="O24" s="975"/>
      <c r="P24" s="975"/>
      <c r="Q24" s="975"/>
      <c r="R24" s="975"/>
      <c r="S24" s="977"/>
      <c r="T24" s="978"/>
    </row>
    <row r="25" spans="1:20" s="947" customFormat="1" ht="14.85" customHeight="1">
      <c r="A25" s="965" t="s">
        <v>559</v>
      </c>
      <c r="B25" s="1157">
        <f>'환기량 산정'!C1494</f>
        <v>1000</v>
      </c>
      <c r="C25" s="979">
        <f>'환기량 산정'!C1494</f>
        <v>1000</v>
      </c>
      <c r="D25" s="979">
        <f t="shared" ref="C25:J29" si="16">C25</f>
        <v>1000</v>
      </c>
      <c r="E25" s="979">
        <f t="shared" si="16"/>
        <v>1000</v>
      </c>
      <c r="F25" s="979">
        <f t="shared" si="16"/>
        <v>1000</v>
      </c>
      <c r="G25" s="979">
        <f t="shared" si="16"/>
        <v>1000</v>
      </c>
      <c r="H25" s="979">
        <f t="shared" si="16"/>
        <v>1000</v>
      </c>
      <c r="I25" s="979">
        <f t="shared" si="16"/>
        <v>1000</v>
      </c>
      <c r="J25" s="980">
        <f t="shared" si="16"/>
        <v>1000</v>
      </c>
      <c r="K25" s="965" t="s">
        <v>560</v>
      </c>
      <c r="L25" s="1157">
        <f>'환기량 산정'!I1494</f>
        <v>904.56</v>
      </c>
      <c r="M25" s="979">
        <f>'환기량 산정'!I1494</f>
        <v>904.56</v>
      </c>
      <c r="N25" s="979">
        <f t="shared" ref="M25:T29" si="17">M25</f>
        <v>904.56</v>
      </c>
      <c r="O25" s="979">
        <f t="shared" si="17"/>
        <v>904.56</v>
      </c>
      <c r="P25" s="979">
        <f t="shared" si="17"/>
        <v>904.56</v>
      </c>
      <c r="Q25" s="979">
        <f t="shared" si="17"/>
        <v>904.56</v>
      </c>
      <c r="R25" s="979">
        <f t="shared" si="17"/>
        <v>904.56</v>
      </c>
      <c r="S25" s="981">
        <f t="shared" si="17"/>
        <v>904.56</v>
      </c>
      <c r="T25" s="982">
        <f t="shared" si="17"/>
        <v>904.56</v>
      </c>
    </row>
    <row r="26" spans="1:20" ht="14.85" customHeight="1">
      <c r="A26" s="959" t="s">
        <v>561</v>
      </c>
      <c r="B26" s="1158">
        <f>B252</f>
        <v>-530</v>
      </c>
      <c r="C26" s="983">
        <f t="shared" si="16"/>
        <v>-530</v>
      </c>
      <c r="D26" s="983">
        <f t="shared" si="16"/>
        <v>-530</v>
      </c>
      <c r="E26" s="983">
        <f t="shared" si="16"/>
        <v>-530</v>
      </c>
      <c r="F26" s="983">
        <f t="shared" si="16"/>
        <v>-530</v>
      </c>
      <c r="G26" s="983">
        <f t="shared" si="16"/>
        <v>-530</v>
      </c>
      <c r="H26" s="983">
        <f t="shared" si="16"/>
        <v>-530</v>
      </c>
      <c r="I26" s="983">
        <f t="shared" si="16"/>
        <v>-530</v>
      </c>
      <c r="J26" s="984">
        <f t="shared" si="16"/>
        <v>-530</v>
      </c>
      <c r="K26" s="959" t="s">
        <v>562</v>
      </c>
      <c r="L26" s="1158">
        <f>L252</f>
        <v>-2215.44</v>
      </c>
      <c r="M26" s="983">
        <f t="shared" si="17"/>
        <v>-2215.44</v>
      </c>
      <c r="N26" s="983">
        <f t="shared" si="17"/>
        <v>-2215.44</v>
      </c>
      <c r="O26" s="983">
        <f t="shared" si="17"/>
        <v>-2215.44</v>
      </c>
      <c r="P26" s="983">
        <f t="shared" si="17"/>
        <v>-2215.44</v>
      </c>
      <c r="Q26" s="983">
        <f t="shared" si="17"/>
        <v>-2215.44</v>
      </c>
      <c r="R26" s="983">
        <f t="shared" si="17"/>
        <v>-2215.44</v>
      </c>
      <c r="S26" s="985">
        <f t="shared" si="17"/>
        <v>-2215.44</v>
      </c>
      <c r="T26" s="986">
        <f t="shared" si="17"/>
        <v>-2215.44</v>
      </c>
    </row>
    <row r="27" spans="1:20" ht="14.85" customHeight="1">
      <c r="A27" s="959" t="s">
        <v>563</v>
      </c>
      <c r="B27" s="1158">
        <f>B253</f>
        <v>1530</v>
      </c>
      <c r="C27" s="983">
        <f t="shared" si="16"/>
        <v>1530</v>
      </c>
      <c r="D27" s="983">
        <f t="shared" si="16"/>
        <v>1530</v>
      </c>
      <c r="E27" s="983">
        <f t="shared" si="16"/>
        <v>1530</v>
      </c>
      <c r="F27" s="983">
        <f t="shared" si="16"/>
        <v>1530</v>
      </c>
      <c r="G27" s="983">
        <f t="shared" si="16"/>
        <v>1530</v>
      </c>
      <c r="H27" s="983">
        <f t="shared" si="16"/>
        <v>1530</v>
      </c>
      <c r="I27" s="983">
        <f t="shared" si="16"/>
        <v>1530</v>
      </c>
      <c r="J27" s="984">
        <f t="shared" si="16"/>
        <v>1530</v>
      </c>
      <c r="K27" s="959" t="s">
        <v>564</v>
      </c>
      <c r="L27" s="1158">
        <f>L253</f>
        <v>3120</v>
      </c>
      <c r="M27" s="983">
        <f t="shared" si="17"/>
        <v>3120</v>
      </c>
      <c r="N27" s="983">
        <f t="shared" si="17"/>
        <v>3120</v>
      </c>
      <c r="O27" s="983">
        <f t="shared" si="17"/>
        <v>3120</v>
      </c>
      <c r="P27" s="983">
        <f t="shared" si="17"/>
        <v>3120</v>
      </c>
      <c r="Q27" s="983">
        <f t="shared" si="17"/>
        <v>3120</v>
      </c>
      <c r="R27" s="983">
        <f t="shared" si="17"/>
        <v>3120</v>
      </c>
      <c r="S27" s="985">
        <f t="shared" si="17"/>
        <v>3120</v>
      </c>
      <c r="T27" s="986">
        <f t="shared" si="17"/>
        <v>3120</v>
      </c>
    </row>
    <row r="28" spans="1:20" ht="14.85" customHeight="1">
      <c r="A28" s="959" t="s">
        <v>565</v>
      </c>
      <c r="B28" s="1158">
        <f>B254</f>
        <v>0</v>
      </c>
      <c r="C28" s="983">
        <f t="shared" si="16"/>
        <v>0</v>
      </c>
      <c r="D28" s="983">
        <f t="shared" si="16"/>
        <v>0</v>
      </c>
      <c r="E28" s="983">
        <f t="shared" si="16"/>
        <v>0</v>
      </c>
      <c r="F28" s="983">
        <f t="shared" si="16"/>
        <v>0</v>
      </c>
      <c r="G28" s="983">
        <f t="shared" si="16"/>
        <v>0</v>
      </c>
      <c r="H28" s="983">
        <f t="shared" si="16"/>
        <v>0</v>
      </c>
      <c r="I28" s="983">
        <f t="shared" si="16"/>
        <v>0</v>
      </c>
      <c r="J28" s="984">
        <f t="shared" si="16"/>
        <v>0</v>
      </c>
      <c r="K28" s="959" t="s">
        <v>566</v>
      </c>
      <c r="L28" s="1158">
        <f>L254</f>
        <v>0</v>
      </c>
      <c r="M28" s="983">
        <f t="shared" si="17"/>
        <v>0</v>
      </c>
      <c r="N28" s="983">
        <f t="shared" si="17"/>
        <v>0</v>
      </c>
      <c r="O28" s="983">
        <f t="shared" si="17"/>
        <v>0</v>
      </c>
      <c r="P28" s="983">
        <f t="shared" si="17"/>
        <v>0</v>
      </c>
      <c r="Q28" s="983">
        <f t="shared" si="17"/>
        <v>0</v>
      </c>
      <c r="R28" s="983">
        <f t="shared" si="17"/>
        <v>0</v>
      </c>
      <c r="S28" s="985">
        <f t="shared" si="17"/>
        <v>0</v>
      </c>
      <c r="T28" s="986">
        <f t="shared" si="17"/>
        <v>0</v>
      </c>
    </row>
    <row r="29" spans="1:20" ht="14.85" customHeight="1">
      <c r="A29" s="959" t="s">
        <v>567</v>
      </c>
      <c r="B29" s="1158">
        <f>B255</f>
        <v>0</v>
      </c>
      <c r="C29" s="983">
        <f t="shared" si="16"/>
        <v>0</v>
      </c>
      <c r="D29" s="983">
        <f t="shared" si="16"/>
        <v>0</v>
      </c>
      <c r="E29" s="983">
        <f t="shared" si="16"/>
        <v>0</v>
      </c>
      <c r="F29" s="983">
        <f t="shared" si="16"/>
        <v>0</v>
      </c>
      <c r="G29" s="983">
        <f t="shared" si="16"/>
        <v>0</v>
      </c>
      <c r="H29" s="983">
        <f t="shared" si="16"/>
        <v>0</v>
      </c>
      <c r="I29" s="983">
        <f t="shared" si="16"/>
        <v>0</v>
      </c>
      <c r="J29" s="984">
        <f t="shared" si="16"/>
        <v>0</v>
      </c>
      <c r="K29" s="959" t="s">
        <v>568</v>
      </c>
      <c r="L29" s="1158">
        <f>L255</f>
        <v>0</v>
      </c>
      <c r="M29" s="983">
        <f t="shared" si="17"/>
        <v>0</v>
      </c>
      <c r="N29" s="983">
        <f t="shared" si="17"/>
        <v>0</v>
      </c>
      <c r="O29" s="983">
        <f t="shared" si="17"/>
        <v>0</v>
      </c>
      <c r="P29" s="983">
        <f t="shared" si="17"/>
        <v>0</v>
      </c>
      <c r="Q29" s="983">
        <f t="shared" si="17"/>
        <v>0</v>
      </c>
      <c r="R29" s="983">
        <f t="shared" si="17"/>
        <v>0</v>
      </c>
      <c r="S29" s="985">
        <f t="shared" si="17"/>
        <v>0</v>
      </c>
      <c r="T29" s="986">
        <f t="shared" si="17"/>
        <v>0</v>
      </c>
    </row>
    <row r="30" spans="1:20" ht="14.85" customHeight="1">
      <c r="A30" s="959"/>
      <c r="B30" s="1158"/>
      <c r="C30" s="983"/>
      <c r="D30" s="983"/>
      <c r="E30" s="983"/>
      <c r="F30" s="983"/>
      <c r="G30" s="983"/>
      <c r="H30" s="983"/>
      <c r="I30" s="983"/>
      <c r="J30" s="984"/>
      <c r="K30" s="959"/>
      <c r="L30" s="1158"/>
      <c r="M30" s="983"/>
      <c r="N30" s="983"/>
      <c r="O30" s="983"/>
      <c r="P30" s="983"/>
      <c r="Q30" s="983"/>
      <c r="R30" s="983"/>
      <c r="S30" s="985"/>
      <c r="T30" s="986"/>
    </row>
    <row r="31" spans="1:20" s="947" customFormat="1" ht="14.85" customHeight="1">
      <c r="A31" s="965" t="s">
        <v>113</v>
      </c>
      <c r="B31" s="1156">
        <f>'환기량 산정'!C1493</f>
        <v>1.2</v>
      </c>
      <c r="C31" s="975">
        <f>'환기용량 산정(제트팬식)'!B14</f>
        <v>1.2</v>
      </c>
      <c r="D31" s="975">
        <f t="shared" ref="D31:J31" si="18">C31</f>
        <v>1.2</v>
      </c>
      <c r="E31" s="975">
        <f t="shared" si="18"/>
        <v>1.2</v>
      </c>
      <c r="F31" s="975">
        <f t="shared" si="18"/>
        <v>1.2</v>
      </c>
      <c r="G31" s="975">
        <f t="shared" si="18"/>
        <v>1.2</v>
      </c>
      <c r="H31" s="975">
        <f t="shared" si="18"/>
        <v>1.2</v>
      </c>
      <c r="I31" s="975">
        <f t="shared" si="18"/>
        <v>1.2</v>
      </c>
      <c r="J31" s="976">
        <f t="shared" si="18"/>
        <v>1.2</v>
      </c>
      <c r="K31" s="965" t="s">
        <v>113</v>
      </c>
      <c r="L31" s="1156">
        <v>1.2</v>
      </c>
      <c r="M31" s="975">
        <f>'환기용량 산정(제트팬식)'!B48</f>
        <v>1.2</v>
      </c>
      <c r="N31" s="975">
        <f t="shared" ref="N31:T31" si="19">M31</f>
        <v>1.2</v>
      </c>
      <c r="O31" s="975">
        <f t="shared" si="19"/>
        <v>1.2</v>
      </c>
      <c r="P31" s="975">
        <f t="shared" si="19"/>
        <v>1.2</v>
      </c>
      <c r="Q31" s="975">
        <f t="shared" si="19"/>
        <v>1.2</v>
      </c>
      <c r="R31" s="975">
        <f t="shared" si="19"/>
        <v>1.2</v>
      </c>
      <c r="S31" s="977">
        <f t="shared" si="19"/>
        <v>1.2</v>
      </c>
      <c r="T31" s="978">
        <f t="shared" si="19"/>
        <v>1.2</v>
      </c>
    </row>
    <row r="32" spans="1:20" s="947" customFormat="1" ht="14.85" customHeight="1">
      <c r="A32" s="965"/>
      <c r="B32" s="1156"/>
      <c r="C32" s="975"/>
      <c r="D32" s="975"/>
      <c r="E32" s="975"/>
      <c r="F32" s="975"/>
      <c r="G32" s="975"/>
      <c r="H32" s="975"/>
      <c r="I32" s="975"/>
      <c r="J32" s="976"/>
      <c r="K32" s="965"/>
      <c r="L32" s="1156"/>
      <c r="M32" s="975"/>
      <c r="N32" s="975"/>
      <c r="O32" s="975"/>
      <c r="P32" s="975"/>
      <c r="Q32" s="975"/>
      <c r="R32" s="975"/>
      <c r="S32" s="977"/>
      <c r="T32" s="978"/>
    </row>
    <row r="33" spans="1:20" s="947" customFormat="1" ht="14.85" customHeight="1">
      <c r="A33" s="965" t="s">
        <v>114</v>
      </c>
      <c r="B33" s="1156">
        <f>'환기량 산정'!C1491</f>
        <v>0.6</v>
      </c>
      <c r="C33" s="975">
        <f>'환기용량 산정(제트팬식)'!B15</f>
        <v>0.6</v>
      </c>
      <c r="D33" s="975">
        <f t="shared" ref="D33:J33" si="20">C33</f>
        <v>0.6</v>
      </c>
      <c r="E33" s="975">
        <f t="shared" si="20"/>
        <v>0.6</v>
      </c>
      <c r="F33" s="975">
        <f t="shared" si="20"/>
        <v>0.6</v>
      </c>
      <c r="G33" s="975">
        <f t="shared" si="20"/>
        <v>0.6</v>
      </c>
      <c r="H33" s="975">
        <f t="shared" si="20"/>
        <v>0.6</v>
      </c>
      <c r="I33" s="975">
        <f t="shared" si="20"/>
        <v>0.6</v>
      </c>
      <c r="J33" s="976">
        <f t="shared" si="20"/>
        <v>0.6</v>
      </c>
      <c r="K33" s="965" t="s">
        <v>114</v>
      </c>
      <c r="L33" s="1156">
        <v>0.6</v>
      </c>
      <c r="M33" s="975">
        <f>'환기용량 산정(제트팬식)'!B49</f>
        <v>0.6</v>
      </c>
      <c r="N33" s="975">
        <f t="shared" ref="N33:T33" si="21">M33</f>
        <v>0.6</v>
      </c>
      <c r="O33" s="975">
        <f t="shared" si="21"/>
        <v>0.6</v>
      </c>
      <c r="P33" s="975">
        <f t="shared" si="21"/>
        <v>0.6</v>
      </c>
      <c r="Q33" s="975">
        <f t="shared" si="21"/>
        <v>0.6</v>
      </c>
      <c r="R33" s="975">
        <f t="shared" si="21"/>
        <v>0.6</v>
      </c>
      <c r="S33" s="977">
        <f t="shared" si="21"/>
        <v>0.6</v>
      </c>
      <c r="T33" s="978">
        <f t="shared" si="21"/>
        <v>0.6</v>
      </c>
    </row>
    <row r="34" spans="1:20" s="947" customFormat="1" ht="14.85" customHeight="1">
      <c r="A34" s="965"/>
      <c r="B34" s="1156"/>
      <c r="C34" s="975"/>
      <c r="D34" s="975"/>
      <c r="E34" s="975"/>
      <c r="F34" s="975"/>
      <c r="G34" s="975"/>
      <c r="H34" s="975"/>
      <c r="I34" s="975"/>
      <c r="J34" s="976"/>
      <c r="K34" s="965"/>
      <c r="L34" s="1156"/>
      <c r="M34" s="975"/>
      <c r="N34" s="975"/>
      <c r="O34" s="975"/>
      <c r="P34" s="975"/>
      <c r="Q34" s="975"/>
      <c r="R34" s="975"/>
      <c r="S34" s="977"/>
      <c r="T34" s="978"/>
    </row>
    <row r="35" spans="1:20" s="947" customFormat="1" ht="14.85" customHeight="1">
      <c r="A35" s="965" t="s">
        <v>115</v>
      </c>
      <c r="B35" s="1156">
        <f>'환기량 산정'!C1492</f>
        <v>2.5000000000000001E-2</v>
      </c>
      <c r="C35" s="975">
        <f>'환기용량 산정(제트팬식)'!B16</f>
        <v>2.5000000000000001E-2</v>
      </c>
      <c r="D35" s="975">
        <f t="shared" ref="D35:J35" si="22">C35</f>
        <v>2.5000000000000001E-2</v>
      </c>
      <c r="E35" s="975">
        <f t="shared" si="22"/>
        <v>2.5000000000000001E-2</v>
      </c>
      <c r="F35" s="975">
        <f t="shared" si="22"/>
        <v>2.5000000000000001E-2</v>
      </c>
      <c r="G35" s="975">
        <f t="shared" si="22"/>
        <v>2.5000000000000001E-2</v>
      </c>
      <c r="H35" s="975">
        <f t="shared" si="22"/>
        <v>2.5000000000000001E-2</v>
      </c>
      <c r="I35" s="975">
        <f t="shared" si="22"/>
        <v>2.5000000000000001E-2</v>
      </c>
      <c r="J35" s="976">
        <f t="shared" si="22"/>
        <v>2.5000000000000001E-2</v>
      </c>
      <c r="K35" s="965" t="s">
        <v>115</v>
      </c>
      <c r="L35" s="1156">
        <v>2.5000000000000001E-2</v>
      </c>
      <c r="M35" s="975">
        <f>'환기용량 산정(제트팬식)'!B50</f>
        <v>2.5000000000000001E-2</v>
      </c>
      <c r="N35" s="975">
        <f t="shared" ref="N35:T35" si="23">M35</f>
        <v>2.5000000000000001E-2</v>
      </c>
      <c r="O35" s="975">
        <f t="shared" si="23"/>
        <v>2.5000000000000001E-2</v>
      </c>
      <c r="P35" s="975">
        <f t="shared" si="23"/>
        <v>2.5000000000000001E-2</v>
      </c>
      <c r="Q35" s="975">
        <f t="shared" si="23"/>
        <v>2.5000000000000001E-2</v>
      </c>
      <c r="R35" s="975">
        <f t="shared" si="23"/>
        <v>2.5000000000000001E-2</v>
      </c>
      <c r="S35" s="977">
        <f t="shared" si="23"/>
        <v>2.5000000000000001E-2</v>
      </c>
      <c r="T35" s="978">
        <f t="shared" si="23"/>
        <v>2.5000000000000001E-2</v>
      </c>
    </row>
    <row r="36" spans="1:20" s="947" customFormat="1" ht="14.85" customHeight="1">
      <c r="A36" s="965"/>
      <c r="B36" s="1156"/>
      <c r="C36" s="975"/>
      <c r="D36" s="975"/>
      <c r="E36" s="975"/>
      <c r="F36" s="975"/>
      <c r="G36" s="975"/>
      <c r="H36" s="975"/>
      <c r="I36" s="975"/>
      <c r="J36" s="976"/>
      <c r="K36" s="965"/>
      <c r="L36" s="1156"/>
      <c r="M36" s="975"/>
      <c r="N36" s="975"/>
      <c r="O36" s="975"/>
      <c r="P36" s="975"/>
      <c r="Q36" s="975"/>
      <c r="R36" s="975"/>
      <c r="S36" s="977"/>
      <c r="T36" s="978"/>
    </row>
    <row r="37" spans="1:20" s="947" customFormat="1" ht="14.85" customHeight="1">
      <c r="A37" s="965" t="s">
        <v>91</v>
      </c>
      <c r="B37" s="1156">
        <f>'환기량 산정'!C1489</f>
        <v>7.8945309999999997</v>
      </c>
      <c r="C37" s="975">
        <f>'환기용량 산정(제트팬식)'!B17</f>
        <v>7.8945309999999997</v>
      </c>
      <c r="D37" s="975">
        <f t="shared" ref="D37:J37" si="24">C37</f>
        <v>7.8945309999999997</v>
      </c>
      <c r="E37" s="975">
        <f t="shared" si="24"/>
        <v>7.8945309999999997</v>
      </c>
      <c r="F37" s="975">
        <f t="shared" si="24"/>
        <v>7.8945309999999997</v>
      </c>
      <c r="G37" s="975">
        <f t="shared" si="24"/>
        <v>7.8945309999999997</v>
      </c>
      <c r="H37" s="975">
        <f t="shared" si="24"/>
        <v>7.8945309999999997</v>
      </c>
      <c r="I37" s="975">
        <f t="shared" si="24"/>
        <v>7.8945309999999997</v>
      </c>
      <c r="J37" s="976">
        <f t="shared" si="24"/>
        <v>7.8945309999999997</v>
      </c>
      <c r="K37" s="965" t="s">
        <v>91</v>
      </c>
      <c r="L37" s="1156">
        <v>8.4369999999999994</v>
      </c>
      <c r="M37" s="975">
        <f>'환기용량 산정(제트팬식)'!B51</f>
        <v>7.8949999999999996</v>
      </c>
      <c r="N37" s="975">
        <f t="shared" ref="N37:T37" si="25">M37</f>
        <v>7.8949999999999996</v>
      </c>
      <c r="O37" s="975">
        <f t="shared" si="25"/>
        <v>7.8949999999999996</v>
      </c>
      <c r="P37" s="975">
        <f t="shared" si="25"/>
        <v>7.8949999999999996</v>
      </c>
      <c r="Q37" s="975">
        <f t="shared" si="25"/>
        <v>7.8949999999999996</v>
      </c>
      <c r="R37" s="975">
        <f t="shared" si="25"/>
        <v>7.8949999999999996</v>
      </c>
      <c r="S37" s="977">
        <f t="shared" si="25"/>
        <v>7.8949999999999996</v>
      </c>
      <c r="T37" s="978">
        <f t="shared" si="25"/>
        <v>7.8949999999999996</v>
      </c>
    </row>
    <row r="38" spans="1:20" s="947" customFormat="1" ht="14.85" customHeight="1">
      <c r="A38" s="965"/>
      <c r="B38" s="1156"/>
      <c r="C38" s="975"/>
      <c r="D38" s="975"/>
      <c r="E38" s="975"/>
      <c r="F38" s="975"/>
      <c r="G38" s="975"/>
      <c r="H38" s="975"/>
      <c r="I38" s="975"/>
      <c r="J38" s="976"/>
      <c r="K38" s="965"/>
      <c r="L38" s="1156"/>
      <c r="M38" s="975"/>
      <c r="N38" s="975"/>
      <c r="O38" s="975"/>
      <c r="P38" s="975"/>
      <c r="Q38" s="975"/>
      <c r="R38" s="975"/>
      <c r="S38" s="977"/>
      <c r="T38" s="978"/>
    </row>
    <row r="39" spans="1:20" s="947" customFormat="1" ht="14.85" customHeight="1">
      <c r="A39" s="965" t="s">
        <v>116</v>
      </c>
      <c r="B39" s="1156">
        <f>'환기량 산정'!C1486</f>
        <v>1.0750999999999999</v>
      </c>
      <c r="C39" s="975">
        <f>'환기용량 산정(제트팬식)'!B18</f>
        <v>1.0750999999999999</v>
      </c>
      <c r="D39" s="975">
        <f t="shared" ref="D39:J39" si="26">C39</f>
        <v>1.0750999999999999</v>
      </c>
      <c r="E39" s="975">
        <f t="shared" si="26"/>
        <v>1.0750999999999999</v>
      </c>
      <c r="F39" s="975">
        <f t="shared" si="26"/>
        <v>1.0750999999999999</v>
      </c>
      <c r="G39" s="975">
        <f t="shared" si="26"/>
        <v>1.0750999999999999</v>
      </c>
      <c r="H39" s="975">
        <f t="shared" si="26"/>
        <v>1.0750999999999999</v>
      </c>
      <c r="I39" s="975">
        <f t="shared" si="26"/>
        <v>1.0750999999999999</v>
      </c>
      <c r="J39" s="976">
        <f t="shared" si="26"/>
        <v>1.0750999999999999</v>
      </c>
      <c r="K39" s="965" t="s">
        <v>116</v>
      </c>
      <c r="L39" s="1156">
        <v>2.0920000000000001</v>
      </c>
      <c r="M39" s="975">
        <f>'환기용량 산정(제트팬식)'!B52</f>
        <v>1.0750999999999999</v>
      </c>
      <c r="N39" s="975">
        <f t="shared" ref="N39:T39" si="27">M39</f>
        <v>1.0750999999999999</v>
      </c>
      <c r="O39" s="975">
        <f t="shared" si="27"/>
        <v>1.0750999999999999</v>
      </c>
      <c r="P39" s="975">
        <f t="shared" si="27"/>
        <v>1.0750999999999999</v>
      </c>
      <c r="Q39" s="975">
        <f t="shared" si="27"/>
        <v>1.0750999999999999</v>
      </c>
      <c r="R39" s="975">
        <f t="shared" si="27"/>
        <v>1.0750999999999999</v>
      </c>
      <c r="S39" s="977">
        <f t="shared" si="27"/>
        <v>1.0750999999999999</v>
      </c>
      <c r="T39" s="978">
        <f t="shared" si="27"/>
        <v>1.0750999999999999</v>
      </c>
    </row>
    <row r="40" spans="1:20" s="947" customFormat="1" ht="14.85" customHeight="1">
      <c r="A40" s="965"/>
      <c r="B40" s="1156"/>
      <c r="C40" s="975"/>
      <c r="D40" s="975"/>
      <c r="E40" s="975"/>
      <c r="F40" s="975"/>
      <c r="G40" s="975"/>
      <c r="H40" s="975"/>
      <c r="I40" s="975"/>
      <c r="J40" s="976"/>
      <c r="K40" s="965"/>
      <c r="L40" s="1156"/>
      <c r="M40" s="975"/>
      <c r="N40" s="975"/>
      <c r="O40" s="975"/>
      <c r="P40" s="975"/>
      <c r="Q40" s="975"/>
      <c r="R40" s="975"/>
      <c r="S40" s="977"/>
      <c r="T40" s="978"/>
    </row>
    <row r="41" spans="1:20" s="947" customFormat="1" ht="14.85" customHeight="1">
      <c r="A41" s="965" t="s">
        <v>117</v>
      </c>
      <c r="B41" s="1156">
        <f>'환기용량 산정(제트팬식)'!B19</f>
        <v>0.83</v>
      </c>
      <c r="C41" s="975">
        <f>'환기용량 산정(제트팬식)'!B19</f>
        <v>0.83</v>
      </c>
      <c r="D41" s="975">
        <f>'환기용량 산정(제트팬식)'!C19</f>
        <v>0.83</v>
      </c>
      <c r="E41" s="975">
        <f>'환기용량 산정(제트팬식)'!D19</f>
        <v>0.83</v>
      </c>
      <c r="F41" s="975">
        <f>'환기용량 산정(제트팬식)'!E19</f>
        <v>0.83</v>
      </c>
      <c r="G41" s="975">
        <f>'환기용량 산정(제트팬식)'!F19</f>
        <v>0.83</v>
      </c>
      <c r="H41" s="975">
        <f>'환기용량 산정(제트팬식)'!G19</f>
        <v>0.83</v>
      </c>
      <c r="I41" s="975">
        <f>'환기용량 산정(제트팬식)'!H19</f>
        <v>0.83</v>
      </c>
      <c r="J41" s="975">
        <f>'환기용량 산정(제트팬식)'!I19</f>
        <v>0.83</v>
      </c>
      <c r="K41" s="965" t="s">
        <v>117</v>
      </c>
      <c r="L41" s="1156">
        <f t="shared" ref="L41" si="28">IF($G$1=630,0.27,IF($G$1=710,0.396,IF($G$1=1030,0.83,IF($G$1=1250,1.227,IF($G$1=1530,1.83)))))</f>
        <v>1.2270000000000001</v>
      </c>
      <c r="M41" s="975">
        <f>'환기용량 산정(제트팬식)'!B53</f>
        <v>0.83</v>
      </c>
      <c r="N41" s="975">
        <f>'환기용량 산정(제트팬식)'!C53</f>
        <v>0.83</v>
      </c>
      <c r="O41" s="975">
        <f>'환기용량 산정(제트팬식)'!D53</f>
        <v>0.83</v>
      </c>
      <c r="P41" s="975">
        <f>'환기용량 산정(제트팬식)'!E53</f>
        <v>0.83</v>
      </c>
      <c r="Q41" s="975">
        <f>'환기용량 산정(제트팬식)'!F53</f>
        <v>0.83</v>
      </c>
      <c r="R41" s="975">
        <f>'환기용량 산정(제트팬식)'!G53</f>
        <v>0.83</v>
      </c>
      <c r="S41" s="975">
        <f>'환기용량 산정(제트팬식)'!H53</f>
        <v>0.83</v>
      </c>
      <c r="T41" s="975">
        <f>'환기용량 산정(제트팬식)'!I53</f>
        <v>0.83</v>
      </c>
    </row>
    <row r="42" spans="1:20" s="947" customFormat="1" ht="14.85" customHeight="1">
      <c r="A42" s="965"/>
      <c r="B42" s="1156"/>
      <c r="C42" s="975"/>
      <c r="D42" s="975"/>
      <c r="E42" s="975"/>
      <c r="F42" s="975"/>
      <c r="G42" s="975"/>
      <c r="H42" s="975"/>
      <c r="I42" s="975"/>
      <c r="J42" s="976"/>
      <c r="K42" s="965"/>
      <c r="L42" s="1156"/>
      <c r="M42" s="975"/>
      <c r="N42" s="975"/>
      <c r="O42" s="975"/>
      <c r="P42" s="975"/>
      <c r="Q42" s="975"/>
      <c r="R42" s="975"/>
      <c r="S42" s="977"/>
      <c r="T42" s="978"/>
    </row>
    <row r="43" spans="1:20" s="947" customFormat="1" ht="14.85" customHeight="1">
      <c r="A43" s="965" t="s">
        <v>118</v>
      </c>
      <c r="B43" s="1156">
        <v>30</v>
      </c>
      <c r="C43" s="975">
        <f>'환기용량 산정(제트팬식)'!B20</f>
        <v>30</v>
      </c>
      <c r="D43" s="975">
        <f t="shared" ref="D43:J43" si="29">C43</f>
        <v>30</v>
      </c>
      <c r="E43" s="975">
        <f t="shared" si="29"/>
        <v>30</v>
      </c>
      <c r="F43" s="975">
        <f t="shared" si="29"/>
        <v>30</v>
      </c>
      <c r="G43" s="975">
        <f t="shared" si="29"/>
        <v>30</v>
      </c>
      <c r="H43" s="975">
        <f t="shared" si="29"/>
        <v>30</v>
      </c>
      <c r="I43" s="975">
        <f t="shared" si="29"/>
        <v>30</v>
      </c>
      <c r="J43" s="976">
        <f t="shared" si="29"/>
        <v>30</v>
      </c>
      <c r="K43" s="965" t="s">
        <v>118</v>
      </c>
      <c r="L43" s="1206">
        <f>I43</f>
        <v>30</v>
      </c>
      <c r="M43" s="975">
        <f>'환기용량 산정(제트팬식)'!B54</f>
        <v>30</v>
      </c>
      <c r="N43" s="975">
        <f t="shared" ref="N43:T43" si="30">M43</f>
        <v>30</v>
      </c>
      <c r="O43" s="975">
        <f t="shared" si="30"/>
        <v>30</v>
      </c>
      <c r="P43" s="975">
        <f t="shared" si="30"/>
        <v>30</v>
      </c>
      <c r="Q43" s="975">
        <f t="shared" si="30"/>
        <v>30</v>
      </c>
      <c r="R43" s="975">
        <f t="shared" si="30"/>
        <v>30</v>
      </c>
      <c r="S43" s="977">
        <f t="shared" si="30"/>
        <v>30</v>
      </c>
      <c r="T43" s="978">
        <f t="shared" si="30"/>
        <v>30</v>
      </c>
    </row>
    <row r="44" spans="1:20" s="947" customFormat="1" ht="14.85" customHeight="1">
      <c r="A44" s="965"/>
      <c r="B44" s="1156"/>
      <c r="C44" s="975"/>
      <c r="D44" s="975"/>
      <c r="E44" s="975"/>
      <c r="F44" s="975"/>
      <c r="G44" s="975"/>
      <c r="H44" s="975"/>
      <c r="I44" s="975"/>
      <c r="J44" s="976"/>
      <c r="K44" s="965"/>
      <c r="L44" s="1156"/>
      <c r="M44" s="975"/>
      <c r="N44" s="975"/>
      <c r="O44" s="975"/>
      <c r="P44" s="975"/>
      <c r="Q44" s="975"/>
      <c r="R44" s="975"/>
      <c r="S44" s="977"/>
      <c r="T44" s="978"/>
    </row>
    <row r="45" spans="1:20" s="947" customFormat="1" ht="14.85" customHeight="1">
      <c r="A45" s="965" t="s">
        <v>569</v>
      </c>
      <c r="B45" s="1156">
        <v>1787</v>
      </c>
      <c r="C45" s="975">
        <f>'환기용량 산정(제트팬식)'!B21</f>
        <v>106</v>
      </c>
      <c r="D45" s="975">
        <f>'환기용량 산정(제트팬식)'!C21</f>
        <v>77</v>
      </c>
      <c r="E45" s="975">
        <f>'환기용량 산정(제트팬식)'!D21</f>
        <v>60</v>
      </c>
      <c r="F45" s="975">
        <f>'환기용량 산정(제트팬식)'!E21</f>
        <v>47</v>
      </c>
      <c r="G45" s="975">
        <f>'환기용량 산정(제트팬식)'!F21</f>
        <v>39</v>
      </c>
      <c r="H45" s="975">
        <f>'환기용량 산정(제트팬식)'!G21</f>
        <v>32</v>
      </c>
      <c r="I45" s="975">
        <f>'환기용량 산정(제트팬식)'!H21</f>
        <v>28</v>
      </c>
      <c r="J45" s="975">
        <f>'환기용량 산정(제트팬식)'!I21</f>
        <v>25</v>
      </c>
      <c r="K45" s="965" t="s">
        <v>570</v>
      </c>
      <c r="L45" s="1156">
        <v>1771</v>
      </c>
      <c r="M45" s="975">
        <f>'환기용량 산정(제트팬식)'!B55</f>
        <v>192</v>
      </c>
      <c r="N45" s="975">
        <f>'환기용량 산정(제트팬식)'!C55</f>
        <v>139</v>
      </c>
      <c r="O45" s="975">
        <f>'환기용량 산정(제트팬식)'!D55</f>
        <v>108</v>
      </c>
      <c r="P45" s="975">
        <f>'환기용량 산정(제트팬식)'!E55</f>
        <v>85</v>
      </c>
      <c r="Q45" s="975">
        <f>'환기용량 산정(제트팬식)'!F55</f>
        <v>71</v>
      </c>
      <c r="R45" s="975">
        <f>'환기용량 산정(제트팬식)'!G55</f>
        <v>58</v>
      </c>
      <c r="S45" s="975">
        <f>'환기용량 산정(제트팬식)'!H55</f>
        <v>50</v>
      </c>
      <c r="T45" s="975">
        <f>'환기용량 산정(제트팬식)'!I55</f>
        <v>44</v>
      </c>
    </row>
    <row r="46" spans="1:20" ht="14.85" customHeight="1">
      <c r="A46" s="959" t="s">
        <v>571</v>
      </c>
      <c r="B46" s="1152">
        <f t="shared" ref="B46:I46" si="31">B45-B47-B48-B49</f>
        <v>-948</v>
      </c>
      <c r="C46" s="961">
        <f t="shared" si="31"/>
        <v>-57</v>
      </c>
      <c r="D46" s="961">
        <f t="shared" si="31"/>
        <v>-41</v>
      </c>
      <c r="E46" s="961">
        <f t="shared" si="31"/>
        <v>-32</v>
      </c>
      <c r="F46" s="961">
        <f t="shared" si="31"/>
        <v>-25</v>
      </c>
      <c r="G46" s="961">
        <f t="shared" si="31"/>
        <v>-21</v>
      </c>
      <c r="H46" s="961">
        <f t="shared" si="31"/>
        <v>-17</v>
      </c>
      <c r="I46" s="961">
        <f t="shared" si="31"/>
        <v>-15</v>
      </c>
      <c r="J46" s="962">
        <f>J45-J47-J48-J49</f>
        <v>-14</v>
      </c>
      <c r="K46" s="959" t="s">
        <v>571</v>
      </c>
      <c r="L46" s="1152">
        <f t="shared" ref="L46:S46" si="32">L45-L47-L48-L49</f>
        <v>-4338</v>
      </c>
      <c r="M46" s="961">
        <f t="shared" si="32"/>
        <v>-471</v>
      </c>
      <c r="N46" s="961">
        <f t="shared" si="32"/>
        <v>-341</v>
      </c>
      <c r="O46" s="961">
        <f t="shared" si="32"/>
        <v>-265</v>
      </c>
      <c r="P46" s="961">
        <f t="shared" si="32"/>
        <v>-209</v>
      </c>
      <c r="Q46" s="961">
        <f t="shared" si="32"/>
        <v>-174</v>
      </c>
      <c r="R46" s="961">
        <f t="shared" si="32"/>
        <v>-143</v>
      </c>
      <c r="S46" s="963">
        <f t="shared" si="32"/>
        <v>-123</v>
      </c>
      <c r="T46" s="964">
        <f>T45-T47-T48-T49</f>
        <v>-108</v>
      </c>
    </row>
    <row r="47" spans="1:20" ht="14.85" customHeight="1">
      <c r="A47" s="959" t="s">
        <v>572</v>
      </c>
      <c r="B47" s="1152">
        <f t="shared" ref="B47:I47" si="33">ROUNDUP(B45*B27/B25,0)</f>
        <v>2735</v>
      </c>
      <c r="C47" s="961">
        <f t="shared" si="33"/>
        <v>163</v>
      </c>
      <c r="D47" s="961">
        <f t="shared" si="33"/>
        <v>118</v>
      </c>
      <c r="E47" s="961">
        <f t="shared" si="33"/>
        <v>92</v>
      </c>
      <c r="F47" s="961">
        <f t="shared" si="33"/>
        <v>72</v>
      </c>
      <c r="G47" s="961">
        <f t="shared" si="33"/>
        <v>60</v>
      </c>
      <c r="H47" s="961">
        <f t="shared" si="33"/>
        <v>49</v>
      </c>
      <c r="I47" s="961">
        <f t="shared" si="33"/>
        <v>43</v>
      </c>
      <c r="J47" s="962">
        <f>ROUNDUP(J45*J27/J25,0)</f>
        <v>39</v>
      </c>
      <c r="K47" s="959" t="s">
        <v>572</v>
      </c>
      <c r="L47" s="1152">
        <f t="shared" ref="L47:S47" si="34">ROUNDUP(L45*L27/L25,0)</f>
        <v>6109</v>
      </c>
      <c r="M47" s="961">
        <f t="shared" si="34"/>
        <v>663</v>
      </c>
      <c r="N47" s="961">
        <f t="shared" si="34"/>
        <v>480</v>
      </c>
      <c r="O47" s="961">
        <f t="shared" si="34"/>
        <v>373</v>
      </c>
      <c r="P47" s="961">
        <f t="shared" si="34"/>
        <v>294</v>
      </c>
      <c r="Q47" s="961">
        <f t="shared" si="34"/>
        <v>245</v>
      </c>
      <c r="R47" s="961">
        <f t="shared" si="34"/>
        <v>201</v>
      </c>
      <c r="S47" s="963">
        <f t="shared" si="34"/>
        <v>173</v>
      </c>
      <c r="T47" s="964">
        <f>ROUNDUP(T45*T27/T25,0)</f>
        <v>152</v>
      </c>
    </row>
    <row r="48" spans="1:20" ht="14.85" customHeight="1">
      <c r="A48" s="959" t="s">
        <v>573</v>
      </c>
      <c r="B48" s="1152">
        <f t="shared" ref="B48:I48" si="35">ROUNDUP(B45*B28/B25,0)</f>
        <v>0</v>
      </c>
      <c r="C48" s="961">
        <f t="shared" si="35"/>
        <v>0</v>
      </c>
      <c r="D48" s="961">
        <f t="shared" si="35"/>
        <v>0</v>
      </c>
      <c r="E48" s="961">
        <f t="shared" si="35"/>
        <v>0</v>
      </c>
      <c r="F48" s="961">
        <f t="shared" si="35"/>
        <v>0</v>
      </c>
      <c r="G48" s="961">
        <f t="shared" si="35"/>
        <v>0</v>
      </c>
      <c r="H48" s="961">
        <f t="shared" si="35"/>
        <v>0</v>
      </c>
      <c r="I48" s="961">
        <f t="shared" si="35"/>
        <v>0</v>
      </c>
      <c r="J48" s="962">
        <f>ROUNDUP(J45*J28/J25,0)</f>
        <v>0</v>
      </c>
      <c r="K48" s="959" t="s">
        <v>573</v>
      </c>
      <c r="L48" s="1152">
        <f t="shared" ref="L48:S48" si="36">ROUNDUP(L45*L28/L25,0)</f>
        <v>0</v>
      </c>
      <c r="M48" s="961">
        <f t="shared" si="36"/>
        <v>0</v>
      </c>
      <c r="N48" s="961">
        <f t="shared" si="36"/>
        <v>0</v>
      </c>
      <c r="O48" s="961">
        <f t="shared" si="36"/>
        <v>0</v>
      </c>
      <c r="P48" s="961">
        <f t="shared" si="36"/>
        <v>0</v>
      </c>
      <c r="Q48" s="961">
        <f t="shared" si="36"/>
        <v>0</v>
      </c>
      <c r="R48" s="961">
        <f t="shared" si="36"/>
        <v>0</v>
      </c>
      <c r="S48" s="963">
        <f t="shared" si="36"/>
        <v>0</v>
      </c>
      <c r="T48" s="964">
        <f>ROUNDUP(T45*T28/T25,0)</f>
        <v>0</v>
      </c>
    </row>
    <row r="49" spans="1:20" ht="14.85" customHeight="1">
      <c r="A49" s="959" t="s">
        <v>574</v>
      </c>
      <c r="B49" s="1152">
        <f t="shared" ref="B49:I49" si="37">ROUNDUP(B45*B29/B25,0)</f>
        <v>0</v>
      </c>
      <c r="C49" s="961">
        <f t="shared" si="37"/>
        <v>0</v>
      </c>
      <c r="D49" s="961">
        <f t="shared" si="37"/>
        <v>0</v>
      </c>
      <c r="E49" s="961">
        <f t="shared" si="37"/>
        <v>0</v>
      </c>
      <c r="F49" s="961">
        <f t="shared" si="37"/>
        <v>0</v>
      </c>
      <c r="G49" s="961">
        <f t="shared" si="37"/>
        <v>0</v>
      </c>
      <c r="H49" s="961">
        <f t="shared" si="37"/>
        <v>0</v>
      </c>
      <c r="I49" s="961">
        <f t="shared" si="37"/>
        <v>0</v>
      </c>
      <c r="J49" s="962">
        <f>ROUNDUP(J45*J29/J25,0)</f>
        <v>0</v>
      </c>
      <c r="K49" s="959" t="s">
        <v>574</v>
      </c>
      <c r="L49" s="1152">
        <f t="shared" ref="L49:S49" si="38">ROUNDUP(L45*L29/L25,0)</f>
        <v>0</v>
      </c>
      <c r="M49" s="961">
        <f t="shared" si="38"/>
        <v>0</v>
      </c>
      <c r="N49" s="961">
        <f t="shared" si="38"/>
        <v>0</v>
      </c>
      <c r="O49" s="961">
        <f t="shared" si="38"/>
        <v>0</v>
      </c>
      <c r="P49" s="961">
        <f t="shared" si="38"/>
        <v>0</v>
      </c>
      <c r="Q49" s="961">
        <f t="shared" si="38"/>
        <v>0</v>
      </c>
      <c r="R49" s="961">
        <f t="shared" si="38"/>
        <v>0</v>
      </c>
      <c r="S49" s="963">
        <f t="shared" si="38"/>
        <v>0</v>
      </c>
      <c r="T49" s="964">
        <f>ROUNDUP(T45*T29/T25,0)</f>
        <v>0</v>
      </c>
    </row>
    <row r="50" spans="1:20" ht="14.85" customHeight="1">
      <c r="A50" s="959"/>
      <c r="B50" s="1152"/>
      <c r="C50" s="961"/>
      <c r="D50" s="961"/>
      <c r="E50" s="961"/>
      <c r="F50" s="961"/>
      <c r="G50" s="961"/>
      <c r="H50" s="961"/>
      <c r="I50" s="961"/>
      <c r="J50" s="962"/>
      <c r="K50" s="959"/>
      <c r="L50" s="1152"/>
      <c r="M50" s="961"/>
      <c r="N50" s="961"/>
      <c r="O50" s="961"/>
      <c r="P50" s="961"/>
      <c r="Q50" s="961"/>
      <c r="R50" s="961"/>
      <c r="S50" s="963"/>
      <c r="T50" s="964"/>
    </row>
    <row r="51" spans="1:20" ht="14.85" customHeight="1">
      <c r="A51" s="965" t="s">
        <v>575</v>
      </c>
      <c r="B51" s="1152"/>
      <c r="C51" s="961"/>
      <c r="D51" s="961"/>
      <c r="E51" s="961"/>
      <c r="F51" s="961"/>
      <c r="G51" s="961"/>
      <c r="H51" s="961"/>
      <c r="I51" s="961"/>
      <c r="J51" s="962"/>
      <c r="K51" s="965" t="s">
        <v>575</v>
      </c>
      <c r="L51" s="1152"/>
      <c r="M51" s="961"/>
      <c r="N51" s="961"/>
      <c r="O51" s="961"/>
      <c r="P51" s="961"/>
      <c r="Q51" s="961"/>
      <c r="R51" s="961"/>
      <c r="S51" s="963"/>
      <c r="T51" s="964"/>
    </row>
    <row r="52" spans="1:20" ht="14.85" customHeight="1">
      <c r="A52" s="965" t="s">
        <v>576</v>
      </c>
      <c r="B52" s="1152">
        <f t="shared" ref="B52:I52" si="39">IF(B25=0,0,ROUND((1+B33+B35*B25/B37)*B31/2,4))</f>
        <v>2.86</v>
      </c>
      <c r="C52" s="961">
        <f t="shared" si="39"/>
        <v>2.86</v>
      </c>
      <c r="D52" s="961">
        <f t="shared" si="39"/>
        <v>2.86</v>
      </c>
      <c r="E52" s="961">
        <f t="shared" si="39"/>
        <v>2.86</v>
      </c>
      <c r="F52" s="961">
        <f t="shared" si="39"/>
        <v>2.86</v>
      </c>
      <c r="G52" s="961">
        <f t="shared" si="39"/>
        <v>2.86</v>
      </c>
      <c r="H52" s="961">
        <f t="shared" si="39"/>
        <v>2.86</v>
      </c>
      <c r="I52" s="961">
        <f t="shared" si="39"/>
        <v>2.86</v>
      </c>
      <c r="J52" s="962">
        <f>IF(J25=0,0,ROUND((1+J33+J35*J25/J37)*J31/2,4))</f>
        <v>2.86</v>
      </c>
      <c r="K52" s="965" t="s">
        <v>576</v>
      </c>
      <c r="L52" s="1152">
        <f t="shared" ref="L52:S52" si="40">IF(L25=0,0,ROUND((1+L33+L35*L25/L37)*L31/2,4))</f>
        <v>2.5682</v>
      </c>
      <c r="M52" s="961">
        <f t="shared" si="40"/>
        <v>2.6785999999999999</v>
      </c>
      <c r="N52" s="961">
        <f t="shared" si="40"/>
        <v>2.6785999999999999</v>
      </c>
      <c r="O52" s="961">
        <f t="shared" si="40"/>
        <v>2.6785999999999999</v>
      </c>
      <c r="P52" s="961">
        <f t="shared" si="40"/>
        <v>2.6785999999999999</v>
      </c>
      <c r="Q52" s="961">
        <f t="shared" si="40"/>
        <v>2.6785999999999999</v>
      </c>
      <c r="R52" s="961">
        <f t="shared" si="40"/>
        <v>2.6785999999999999</v>
      </c>
      <c r="S52" s="963">
        <f t="shared" si="40"/>
        <v>2.6785999999999999</v>
      </c>
      <c r="T52" s="964">
        <f>IF(T25=0,0,ROUND((1+T33+T35*T25/T37)*T31/2,4))</f>
        <v>2.6785999999999999</v>
      </c>
    </row>
    <row r="53" spans="1:20" ht="14.85" customHeight="1">
      <c r="A53" s="959" t="s">
        <v>577</v>
      </c>
      <c r="B53" s="1152">
        <f t="shared" ref="B53:I53" si="41">IF(B26=0,0,ROUND((B33+B35*B26/B37)*B31/2,4))</f>
        <v>-0.64700000000000002</v>
      </c>
      <c r="C53" s="961">
        <f t="shared" si="41"/>
        <v>-0.64700000000000002</v>
      </c>
      <c r="D53" s="961">
        <f t="shared" si="41"/>
        <v>-0.64700000000000002</v>
      </c>
      <c r="E53" s="961">
        <f t="shared" si="41"/>
        <v>-0.64700000000000002</v>
      </c>
      <c r="F53" s="961">
        <f t="shared" si="41"/>
        <v>-0.64700000000000002</v>
      </c>
      <c r="G53" s="961">
        <f t="shared" si="41"/>
        <v>-0.64700000000000002</v>
      </c>
      <c r="H53" s="961">
        <f t="shared" si="41"/>
        <v>-0.64700000000000002</v>
      </c>
      <c r="I53" s="961">
        <f t="shared" si="41"/>
        <v>-0.64700000000000002</v>
      </c>
      <c r="J53" s="962">
        <f>IF(J26=0,0,ROUND((J33+J35*J26/J37)*J31/2,4))</f>
        <v>-0.64700000000000002</v>
      </c>
      <c r="K53" s="959" t="s">
        <v>577</v>
      </c>
      <c r="L53" s="1152">
        <f t="shared" ref="L53:S53" si="42">IF(L26=0,0,ROUND((L33+L35*L26/L37)*L31/2,4))</f>
        <v>-3.5788000000000002</v>
      </c>
      <c r="M53" s="961">
        <f t="shared" si="42"/>
        <v>-3.8492000000000002</v>
      </c>
      <c r="N53" s="961">
        <f t="shared" si="42"/>
        <v>-3.8492000000000002</v>
      </c>
      <c r="O53" s="961">
        <f t="shared" si="42"/>
        <v>-3.8492000000000002</v>
      </c>
      <c r="P53" s="961">
        <f t="shared" si="42"/>
        <v>-3.8492000000000002</v>
      </c>
      <c r="Q53" s="961">
        <f t="shared" si="42"/>
        <v>-3.8492000000000002</v>
      </c>
      <c r="R53" s="961">
        <f t="shared" si="42"/>
        <v>-3.8492000000000002</v>
      </c>
      <c r="S53" s="961">
        <f t="shared" si="42"/>
        <v>-3.8492000000000002</v>
      </c>
      <c r="T53" s="962">
        <f>IF(T26=0,0,ROUND((T33+T35*T26/T37)*T31/2,4))</f>
        <v>-3.8492000000000002</v>
      </c>
    </row>
    <row r="54" spans="1:20" ht="14.85" customHeight="1">
      <c r="A54" s="959" t="s">
        <v>578</v>
      </c>
      <c r="B54" s="1152">
        <f t="shared" ref="B54:I54" si="43">IF(B27=0,0,ROUND((B35*B27/B37)*B31/2,4))</f>
        <v>2.9070999999999998</v>
      </c>
      <c r="C54" s="961">
        <f t="shared" si="43"/>
        <v>2.9070999999999998</v>
      </c>
      <c r="D54" s="961">
        <f t="shared" si="43"/>
        <v>2.9070999999999998</v>
      </c>
      <c r="E54" s="961">
        <f t="shared" si="43"/>
        <v>2.9070999999999998</v>
      </c>
      <c r="F54" s="961">
        <f t="shared" si="43"/>
        <v>2.9070999999999998</v>
      </c>
      <c r="G54" s="961">
        <f t="shared" si="43"/>
        <v>2.9070999999999998</v>
      </c>
      <c r="H54" s="961">
        <f t="shared" si="43"/>
        <v>2.9070999999999998</v>
      </c>
      <c r="I54" s="961">
        <f t="shared" si="43"/>
        <v>2.9070999999999998</v>
      </c>
      <c r="J54" s="962">
        <f>IF(J27=0,0,ROUND((J35*J27/J37)*J31/2,4))</f>
        <v>2.9070999999999998</v>
      </c>
      <c r="K54" s="959" t="s">
        <v>578</v>
      </c>
      <c r="L54" s="1152">
        <f t="shared" ref="L54:S54" si="44">IF(L27=0,0,ROUND((L35*L27/L37)*L31/2,4))</f>
        <v>5.5469999999999997</v>
      </c>
      <c r="M54" s="961">
        <f t="shared" si="44"/>
        <v>5.9278000000000004</v>
      </c>
      <c r="N54" s="961">
        <f t="shared" si="44"/>
        <v>5.9278000000000004</v>
      </c>
      <c r="O54" s="961">
        <f t="shared" si="44"/>
        <v>5.9278000000000004</v>
      </c>
      <c r="P54" s="961">
        <f t="shared" si="44"/>
        <v>5.9278000000000004</v>
      </c>
      <c r="Q54" s="961">
        <f t="shared" si="44"/>
        <v>5.9278000000000004</v>
      </c>
      <c r="R54" s="961">
        <f t="shared" si="44"/>
        <v>5.9278000000000004</v>
      </c>
      <c r="S54" s="961">
        <f t="shared" si="44"/>
        <v>5.9278000000000004</v>
      </c>
      <c r="T54" s="962">
        <f>IF(T27=0,0,ROUND((T35*T27/T37)*T31/2,4))</f>
        <v>5.9278000000000004</v>
      </c>
    </row>
    <row r="55" spans="1:20" ht="14.85" customHeight="1">
      <c r="A55" s="959" t="s">
        <v>579</v>
      </c>
      <c r="B55" s="1152">
        <f t="shared" ref="B55:I55" si="45">IF(B28=0,0,ROUND((1+B35*B28/B37)*B31/2,4))</f>
        <v>0</v>
      </c>
      <c r="C55" s="961">
        <f t="shared" si="45"/>
        <v>0</v>
      </c>
      <c r="D55" s="961">
        <f t="shared" si="45"/>
        <v>0</v>
      </c>
      <c r="E55" s="961">
        <f t="shared" si="45"/>
        <v>0</v>
      </c>
      <c r="F55" s="961">
        <f t="shared" si="45"/>
        <v>0</v>
      </c>
      <c r="G55" s="961">
        <f t="shared" si="45"/>
        <v>0</v>
      </c>
      <c r="H55" s="961">
        <f t="shared" si="45"/>
        <v>0</v>
      </c>
      <c r="I55" s="961">
        <f t="shared" si="45"/>
        <v>0</v>
      </c>
      <c r="J55" s="962">
        <f>IF(J28=0,0,ROUND((1+J35*J28/J37)*J31/2,4))</f>
        <v>0</v>
      </c>
      <c r="K55" s="959" t="s">
        <v>579</v>
      </c>
      <c r="L55" s="1152">
        <f t="shared" ref="L55:S55" si="46">IF(L28=0,0,ROUND((1+L35*L28/L37)*L31/2,4))</f>
        <v>0</v>
      </c>
      <c r="M55" s="961">
        <f t="shared" si="46"/>
        <v>0</v>
      </c>
      <c r="N55" s="961">
        <f t="shared" si="46"/>
        <v>0</v>
      </c>
      <c r="O55" s="961">
        <f t="shared" si="46"/>
        <v>0</v>
      </c>
      <c r="P55" s="961">
        <f t="shared" si="46"/>
        <v>0</v>
      </c>
      <c r="Q55" s="961">
        <f t="shared" si="46"/>
        <v>0</v>
      </c>
      <c r="R55" s="961">
        <f t="shared" si="46"/>
        <v>0</v>
      </c>
      <c r="S55" s="961">
        <f t="shared" si="46"/>
        <v>0</v>
      </c>
      <c r="T55" s="962">
        <f>IF(T28=0,0,ROUND((1+T35*T28/T37)*T31/2,4))</f>
        <v>0</v>
      </c>
    </row>
    <row r="56" spans="1:20" ht="14.85" customHeight="1">
      <c r="A56" s="959" t="s">
        <v>580</v>
      </c>
      <c r="B56" s="1152">
        <f t="shared" ref="B56:I56" si="47">IF(B29=0,0,ROUND((1+B33+B35*B29/B37)*B31/2,4))</f>
        <v>0</v>
      </c>
      <c r="C56" s="961">
        <f t="shared" si="47"/>
        <v>0</v>
      </c>
      <c r="D56" s="961">
        <f t="shared" si="47"/>
        <v>0</v>
      </c>
      <c r="E56" s="961">
        <f t="shared" si="47"/>
        <v>0</v>
      </c>
      <c r="F56" s="961">
        <f t="shared" si="47"/>
        <v>0</v>
      </c>
      <c r="G56" s="961">
        <f t="shared" si="47"/>
        <v>0</v>
      </c>
      <c r="H56" s="961">
        <f t="shared" si="47"/>
        <v>0</v>
      </c>
      <c r="I56" s="961">
        <f t="shared" si="47"/>
        <v>0</v>
      </c>
      <c r="J56" s="962">
        <f>IF(J29=0,0,ROUND((1+J33+J35*J29/J37)*J31/2,4))</f>
        <v>0</v>
      </c>
      <c r="K56" s="959" t="s">
        <v>580</v>
      </c>
      <c r="L56" s="1152">
        <f t="shared" ref="L56:S56" si="48">IF(L29=0,0,ROUND((1+L33+L35*L29/L37)*L31/2,4))</f>
        <v>0</v>
      </c>
      <c r="M56" s="961">
        <f t="shared" si="48"/>
        <v>0</v>
      </c>
      <c r="N56" s="961">
        <f t="shared" si="48"/>
        <v>0</v>
      </c>
      <c r="O56" s="961">
        <f t="shared" si="48"/>
        <v>0</v>
      </c>
      <c r="P56" s="961">
        <f t="shared" si="48"/>
        <v>0</v>
      </c>
      <c r="Q56" s="961">
        <f t="shared" si="48"/>
        <v>0</v>
      </c>
      <c r="R56" s="961">
        <f t="shared" si="48"/>
        <v>0</v>
      </c>
      <c r="S56" s="961">
        <f t="shared" si="48"/>
        <v>0</v>
      </c>
      <c r="T56" s="962">
        <f>IF(T29=0,0,ROUND((1+T33+T35*T29/T37)*T31/2,4))</f>
        <v>0</v>
      </c>
    </row>
    <row r="57" spans="1:20" ht="14.85" customHeight="1">
      <c r="A57" s="959" t="s">
        <v>581</v>
      </c>
      <c r="B57" s="1152">
        <f t="shared" ref="B57:I57" si="49">SUM(B53:B56)</f>
        <v>2.2600999999999996</v>
      </c>
      <c r="C57" s="961">
        <f t="shared" si="49"/>
        <v>2.2600999999999996</v>
      </c>
      <c r="D57" s="961">
        <f t="shared" si="49"/>
        <v>2.2600999999999996</v>
      </c>
      <c r="E57" s="961">
        <f t="shared" si="49"/>
        <v>2.2600999999999996</v>
      </c>
      <c r="F57" s="961">
        <f t="shared" si="49"/>
        <v>2.2600999999999996</v>
      </c>
      <c r="G57" s="961">
        <f t="shared" si="49"/>
        <v>2.2600999999999996</v>
      </c>
      <c r="H57" s="961">
        <f t="shared" si="49"/>
        <v>2.2600999999999996</v>
      </c>
      <c r="I57" s="961">
        <f t="shared" si="49"/>
        <v>2.2600999999999996</v>
      </c>
      <c r="J57" s="962">
        <f>SUM(J53:J56)</f>
        <v>2.2600999999999996</v>
      </c>
      <c r="K57" s="959" t="s">
        <v>581</v>
      </c>
      <c r="L57" s="1152">
        <f t="shared" ref="L57:S57" si="50">SUM(L53:L56)</f>
        <v>1.9681999999999995</v>
      </c>
      <c r="M57" s="961">
        <f t="shared" si="50"/>
        <v>2.0786000000000002</v>
      </c>
      <c r="N57" s="961">
        <f t="shared" si="50"/>
        <v>2.0786000000000002</v>
      </c>
      <c r="O57" s="961">
        <f t="shared" si="50"/>
        <v>2.0786000000000002</v>
      </c>
      <c r="P57" s="961">
        <f t="shared" si="50"/>
        <v>2.0786000000000002</v>
      </c>
      <c r="Q57" s="961">
        <f t="shared" si="50"/>
        <v>2.0786000000000002</v>
      </c>
      <c r="R57" s="961">
        <f t="shared" si="50"/>
        <v>2.0786000000000002</v>
      </c>
      <c r="S57" s="963">
        <f t="shared" si="50"/>
        <v>2.0786000000000002</v>
      </c>
      <c r="T57" s="964">
        <f>SUM(T53:T56)</f>
        <v>2.0786000000000002</v>
      </c>
    </row>
    <row r="58" spans="1:20" ht="14.85" customHeight="1">
      <c r="A58" s="959"/>
      <c r="B58" s="1152"/>
      <c r="C58" s="961"/>
      <c r="D58" s="961"/>
      <c r="E58" s="961"/>
      <c r="F58" s="961"/>
      <c r="G58" s="961"/>
      <c r="H58" s="961"/>
      <c r="I58" s="961"/>
      <c r="J58" s="962"/>
      <c r="K58" s="959"/>
      <c r="L58" s="1152"/>
      <c r="M58" s="961"/>
      <c r="N58" s="961"/>
      <c r="O58" s="961"/>
      <c r="P58" s="961"/>
      <c r="Q58" s="961"/>
      <c r="R58" s="961"/>
      <c r="S58" s="963"/>
      <c r="T58" s="964"/>
    </row>
    <row r="59" spans="1:20" ht="14.85" customHeight="1">
      <c r="A59" s="965" t="s">
        <v>582</v>
      </c>
      <c r="B59" s="1152">
        <f>IF(B5&lt;MAX(B14:B17),ROUND(-B31/2*B39/B23*B45,4),ROUND(B31/2*B39/B23*B45,4))</f>
        <v>-19.646799999999999</v>
      </c>
      <c r="C59" s="960">
        <f t="shared" ref="C59:J59" si="51">IF(C5&lt;MAX(C14:C17),ROUND(-C31/2*C39/C23*C45,4),ROUND(C31/2*C39/C23*C45,4))</f>
        <v>1.1654</v>
      </c>
      <c r="D59" s="960">
        <f t="shared" si="51"/>
        <v>0.84660000000000002</v>
      </c>
      <c r="E59" s="960">
        <f t="shared" si="51"/>
        <v>0.65969999999999995</v>
      </c>
      <c r="F59" s="960">
        <f t="shared" si="51"/>
        <v>0.51670000000000005</v>
      </c>
      <c r="G59" s="960">
        <f t="shared" si="51"/>
        <v>0.42880000000000001</v>
      </c>
      <c r="H59" s="960">
        <f t="shared" si="51"/>
        <v>0.3518</v>
      </c>
      <c r="I59" s="960">
        <f t="shared" si="51"/>
        <v>0.30780000000000002</v>
      </c>
      <c r="J59" s="960">
        <f t="shared" si="51"/>
        <v>0.27489999999999998</v>
      </c>
      <c r="K59" s="965" t="s">
        <v>582</v>
      </c>
      <c r="L59" s="1152">
        <f>IF(L5&lt;MAX(L14:L17),ROUND(-L31/2*L39/L23*L45,4),ROUND(L31/2*L39/L23*L45,4))</f>
        <v>-30.4223</v>
      </c>
      <c r="M59" s="960">
        <f t="shared" ref="M59:T59" si="52">IF(M5&lt;MAX(M14:M17),ROUND(-M31/2*M39/M23*M45,4),ROUND(M31/2*M39/M23*M45,4))</f>
        <v>2.1109</v>
      </c>
      <c r="N59" s="960">
        <f t="shared" si="52"/>
        <v>1.5282</v>
      </c>
      <c r="O59" s="960">
        <f t="shared" si="52"/>
        <v>1.1874</v>
      </c>
      <c r="P59" s="960">
        <f t="shared" si="52"/>
        <v>0.9345</v>
      </c>
      <c r="Q59" s="960">
        <f t="shared" si="52"/>
        <v>0.78059999999999996</v>
      </c>
      <c r="R59" s="960">
        <f t="shared" si="52"/>
        <v>0.63770000000000004</v>
      </c>
      <c r="S59" s="960">
        <f t="shared" si="52"/>
        <v>0.54969999999999997</v>
      </c>
      <c r="T59" s="964">
        <f t="shared" si="52"/>
        <v>0.48370000000000002</v>
      </c>
    </row>
    <row r="60" spans="1:20" ht="14.85" customHeight="1">
      <c r="A60" s="959" t="s">
        <v>583</v>
      </c>
      <c r="B60" s="1152">
        <f>IF(B5&lt;MAX(B14:B17),ROUND(-B31/2*B39/B23*B46,4),ROUND(B31/2*B39/B23*B46,4))</f>
        <v>10.422599999999999</v>
      </c>
      <c r="C60" s="960">
        <f t="shared" ref="C60:J60" si="53">IF(C5&lt;MAX(C14:C17),ROUND(-C31/2*C39/C23*C46,4),ROUND(C31/2*C39/C23*C46,4))</f>
        <v>-0.62670000000000003</v>
      </c>
      <c r="D60" s="960">
        <f t="shared" si="53"/>
        <v>-0.45079999999999998</v>
      </c>
      <c r="E60" s="960">
        <f t="shared" si="53"/>
        <v>-0.3518</v>
      </c>
      <c r="F60" s="960">
        <f t="shared" si="53"/>
        <v>-0.27489999999999998</v>
      </c>
      <c r="G60" s="960">
        <f t="shared" si="53"/>
        <v>-0.23089999999999999</v>
      </c>
      <c r="H60" s="960">
        <f t="shared" si="53"/>
        <v>-0.18690000000000001</v>
      </c>
      <c r="I60" s="960">
        <f t="shared" si="53"/>
        <v>-0.16489999999999999</v>
      </c>
      <c r="J60" s="960">
        <f t="shared" si="53"/>
        <v>-0.15390000000000001</v>
      </c>
      <c r="K60" s="959" t="s">
        <v>583</v>
      </c>
      <c r="L60" s="1152">
        <f>IF(L5&lt;MAX(L14:L17),ROUND(-L31/2*L39/L23*L46,4),ROUND(L31/2*L39/L23*L46,4))</f>
        <v>74.5184</v>
      </c>
      <c r="M60" s="960">
        <f t="shared" ref="M60:T60" si="54">IF(M5&lt;MAX(M14:M17),ROUND(-M31/2*M39/M23*M46,4),ROUND(M31/2*M39/M23*M46,4))</f>
        <v>-5.1783000000000001</v>
      </c>
      <c r="N60" s="960">
        <f t="shared" si="54"/>
        <v>-3.7490999999999999</v>
      </c>
      <c r="O60" s="960">
        <f t="shared" si="54"/>
        <v>-2.9135</v>
      </c>
      <c r="P60" s="960">
        <f t="shared" si="54"/>
        <v>-2.2978000000000001</v>
      </c>
      <c r="Q60" s="960">
        <f t="shared" si="54"/>
        <v>-1.913</v>
      </c>
      <c r="R60" s="960">
        <f t="shared" si="54"/>
        <v>-1.5722</v>
      </c>
      <c r="S60" s="960">
        <f t="shared" si="54"/>
        <v>-1.3523000000000001</v>
      </c>
      <c r="T60" s="964">
        <f t="shared" si="54"/>
        <v>-1.1874</v>
      </c>
    </row>
    <row r="61" spans="1:20" ht="14.85" customHeight="1">
      <c r="A61" s="959" t="s">
        <v>584</v>
      </c>
      <c r="B61" s="1152">
        <f>IF(B5&lt;MAX(B14:B17),ROUND(-B31/2*B39/B23*B47,4),ROUND(B31/2*B39/B23*B47,4))</f>
        <v>-30.069400000000002</v>
      </c>
      <c r="C61" s="960">
        <f t="shared" ref="C61:J61" si="55">IF(C5&lt;MAX(C14:C17),ROUND(-C31/2*C39/C23*C47,4),ROUND(C31/2*C39/C23*C47,4))</f>
        <v>1.7921</v>
      </c>
      <c r="D61" s="960">
        <f t="shared" si="55"/>
        <v>1.2972999999999999</v>
      </c>
      <c r="E61" s="960">
        <f t="shared" si="55"/>
        <v>1.0115000000000001</v>
      </c>
      <c r="F61" s="960">
        <f t="shared" si="55"/>
        <v>0.79159999999999997</v>
      </c>
      <c r="G61" s="960">
        <f t="shared" si="55"/>
        <v>0.65969999999999995</v>
      </c>
      <c r="H61" s="960">
        <f t="shared" si="55"/>
        <v>0.53869999999999996</v>
      </c>
      <c r="I61" s="960">
        <f t="shared" si="55"/>
        <v>0.4728</v>
      </c>
      <c r="J61" s="960">
        <f t="shared" si="55"/>
        <v>0.42880000000000001</v>
      </c>
      <c r="K61" s="959" t="s">
        <v>584</v>
      </c>
      <c r="L61" s="1152">
        <f>IF(L5&lt;MAX(L14:L17),ROUND(-L31/2*L39/L23*L47,4),ROUND(L31/2*L39/L23*L47,4))</f>
        <v>-104.94070000000001</v>
      </c>
      <c r="M61" s="960">
        <f t="shared" ref="M61:T61" si="56">IF(M5&lt;MAX(M14:M17),ROUND(-M31/2*M39/M23*M47,4),ROUND(M31/2*M39/M23*M47,4))</f>
        <v>7.2892000000000001</v>
      </c>
      <c r="N61" s="960">
        <f t="shared" si="56"/>
        <v>5.2773000000000003</v>
      </c>
      <c r="O61" s="960">
        <f t="shared" si="56"/>
        <v>4.1009000000000002</v>
      </c>
      <c r="P61" s="960">
        <f t="shared" si="56"/>
        <v>3.2323</v>
      </c>
      <c r="Q61" s="960">
        <f t="shared" si="56"/>
        <v>2.6936</v>
      </c>
      <c r="R61" s="960">
        <f t="shared" si="56"/>
        <v>2.2099000000000002</v>
      </c>
      <c r="S61" s="960">
        <f t="shared" si="56"/>
        <v>1.9019999999999999</v>
      </c>
      <c r="T61" s="964">
        <f t="shared" si="56"/>
        <v>1.6711</v>
      </c>
    </row>
    <row r="62" spans="1:20" ht="14.85" customHeight="1">
      <c r="A62" s="959" t="s">
        <v>585</v>
      </c>
      <c r="B62" s="1152">
        <f>IF(B5&lt;MAX(B14:B17),ROUND(-B31/2*B39/B23*B48,4),ROUND(B31/2*B39/B23*B48,4))</f>
        <v>0</v>
      </c>
      <c r="C62" s="960">
        <f t="shared" ref="C62:J62" si="57">IF(C5&lt;MAX(C14:C17),ROUND(-C31/2*C39/C23*C48,4),ROUND(C31/2*C39/C23*C48,4))</f>
        <v>0</v>
      </c>
      <c r="D62" s="960">
        <f t="shared" si="57"/>
        <v>0</v>
      </c>
      <c r="E62" s="960">
        <f t="shared" si="57"/>
        <v>0</v>
      </c>
      <c r="F62" s="960">
        <f t="shared" si="57"/>
        <v>0</v>
      </c>
      <c r="G62" s="960">
        <f t="shared" si="57"/>
        <v>0</v>
      </c>
      <c r="H62" s="960">
        <f t="shared" si="57"/>
        <v>0</v>
      </c>
      <c r="I62" s="960">
        <f t="shared" si="57"/>
        <v>0</v>
      </c>
      <c r="J62" s="960">
        <f t="shared" si="57"/>
        <v>0</v>
      </c>
      <c r="K62" s="959" t="s">
        <v>585</v>
      </c>
      <c r="L62" s="1152">
        <f>IF(L5&lt;MAX(L14:L17),ROUND(-L31/2*L39/L23*L48,4),ROUND(L31/2*L39/L23*L48,4))</f>
        <v>0</v>
      </c>
      <c r="M62" s="960">
        <f t="shared" ref="M62:T62" si="58">IF(M5&lt;MAX(M14:M17),ROUND(-M31/2*M39/M23*M48,4),ROUND(M31/2*M39/M23*M48,4))</f>
        <v>0</v>
      </c>
      <c r="N62" s="960">
        <f t="shared" si="58"/>
        <v>0</v>
      </c>
      <c r="O62" s="960">
        <f t="shared" si="58"/>
        <v>0</v>
      </c>
      <c r="P62" s="960">
        <f t="shared" si="58"/>
        <v>0</v>
      </c>
      <c r="Q62" s="960">
        <f t="shared" si="58"/>
        <v>0</v>
      </c>
      <c r="R62" s="960">
        <f t="shared" si="58"/>
        <v>0</v>
      </c>
      <c r="S62" s="960">
        <f t="shared" si="58"/>
        <v>0</v>
      </c>
      <c r="T62" s="964">
        <f t="shared" si="58"/>
        <v>0</v>
      </c>
    </row>
    <row r="63" spans="1:20" ht="14.85" customHeight="1">
      <c r="A63" s="959" t="s">
        <v>586</v>
      </c>
      <c r="B63" s="1152">
        <f>IF(B5&lt;MAX(B14:B17),ROUND(-B31/2*B39/B23*B49,4),ROUND(B31/2*B39/B23*B49,4))</f>
        <v>0</v>
      </c>
      <c r="C63" s="960">
        <f t="shared" ref="C63:J63" si="59">IF(C5&lt;MAX(C14:C17),ROUND(-C31/2*C39/C23*C49,4),ROUND(C31/2*C39/C23*C49,4))</f>
        <v>0</v>
      </c>
      <c r="D63" s="960">
        <f t="shared" si="59"/>
        <v>0</v>
      </c>
      <c r="E63" s="960">
        <f t="shared" si="59"/>
        <v>0</v>
      </c>
      <c r="F63" s="960">
        <f t="shared" si="59"/>
        <v>0</v>
      </c>
      <c r="G63" s="960">
        <f t="shared" si="59"/>
        <v>0</v>
      </c>
      <c r="H63" s="960">
        <f t="shared" si="59"/>
        <v>0</v>
      </c>
      <c r="I63" s="960">
        <f t="shared" si="59"/>
        <v>0</v>
      </c>
      <c r="J63" s="960">
        <f t="shared" si="59"/>
        <v>0</v>
      </c>
      <c r="K63" s="959" t="s">
        <v>586</v>
      </c>
      <c r="L63" s="1152">
        <f>IF(L5&lt;MAX(L14:L17),ROUND(-L31/2*L39/L23*L49,4),ROUND(L31/2*L39/L23*L49,4))</f>
        <v>0</v>
      </c>
      <c r="M63" s="960">
        <f t="shared" ref="M63:T63" si="60">IF(M5&lt;MAX(M14:M17),ROUND(-M31/2*M39/M23*M49,4),ROUND(M31/2*M39/M23*M49,4))</f>
        <v>0</v>
      </c>
      <c r="N63" s="960">
        <f t="shared" si="60"/>
        <v>0</v>
      </c>
      <c r="O63" s="960">
        <f t="shared" si="60"/>
        <v>0</v>
      </c>
      <c r="P63" s="960">
        <f t="shared" si="60"/>
        <v>0</v>
      </c>
      <c r="Q63" s="960">
        <f t="shared" si="60"/>
        <v>0</v>
      </c>
      <c r="R63" s="960">
        <f t="shared" si="60"/>
        <v>0</v>
      </c>
      <c r="S63" s="960">
        <f t="shared" si="60"/>
        <v>0</v>
      </c>
      <c r="T63" s="964">
        <f t="shared" si="60"/>
        <v>0</v>
      </c>
    </row>
    <row r="64" spans="1:20" ht="14.85" customHeight="1">
      <c r="A64" s="959" t="s">
        <v>587</v>
      </c>
      <c r="B64" s="1152">
        <f t="shared" ref="B64:I64" si="61">SUM(B60:B63)</f>
        <v>-19.646800000000002</v>
      </c>
      <c r="C64" s="961">
        <f t="shared" si="61"/>
        <v>1.1654</v>
      </c>
      <c r="D64" s="961">
        <f t="shared" si="61"/>
        <v>0.84649999999999992</v>
      </c>
      <c r="E64" s="961">
        <f t="shared" si="61"/>
        <v>0.65970000000000006</v>
      </c>
      <c r="F64" s="961">
        <f t="shared" si="61"/>
        <v>0.51669999999999994</v>
      </c>
      <c r="G64" s="961">
        <f t="shared" si="61"/>
        <v>0.42879999999999996</v>
      </c>
      <c r="H64" s="961">
        <f t="shared" si="61"/>
        <v>0.35179999999999995</v>
      </c>
      <c r="I64" s="961">
        <f t="shared" si="61"/>
        <v>0.30790000000000001</v>
      </c>
      <c r="J64" s="962">
        <f>SUM(J60:J63)</f>
        <v>0.27490000000000003</v>
      </c>
      <c r="K64" s="959" t="s">
        <v>587</v>
      </c>
      <c r="L64" s="1152">
        <f t="shared" ref="L64:S64" si="62">SUM(L60:L63)</f>
        <v>-30.422300000000007</v>
      </c>
      <c r="M64" s="961">
        <f t="shared" si="62"/>
        <v>2.1109</v>
      </c>
      <c r="N64" s="961">
        <f t="shared" si="62"/>
        <v>1.5282000000000004</v>
      </c>
      <c r="O64" s="961">
        <f t="shared" si="62"/>
        <v>1.1874000000000002</v>
      </c>
      <c r="P64" s="961">
        <f t="shared" si="62"/>
        <v>0.93449999999999989</v>
      </c>
      <c r="Q64" s="961">
        <f t="shared" si="62"/>
        <v>0.78059999999999996</v>
      </c>
      <c r="R64" s="961">
        <f t="shared" si="62"/>
        <v>0.63770000000000016</v>
      </c>
      <c r="S64" s="963">
        <f t="shared" si="62"/>
        <v>0.54969999999999986</v>
      </c>
      <c r="T64" s="964">
        <f>SUM(T60:T63)</f>
        <v>0.48370000000000002</v>
      </c>
    </row>
    <row r="65" spans="1:20" ht="14.85" customHeight="1" thickBot="1">
      <c r="A65" s="987"/>
      <c r="B65" s="1159"/>
      <c r="C65" s="988"/>
      <c r="D65" s="988"/>
      <c r="E65" s="988"/>
      <c r="F65" s="988"/>
      <c r="G65" s="988"/>
      <c r="H65" s="988"/>
      <c r="I65" s="988"/>
      <c r="J65" s="989"/>
      <c r="K65" s="987"/>
      <c r="L65" s="1159"/>
      <c r="M65" s="988"/>
      <c r="N65" s="988"/>
      <c r="O65" s="988"/>
      <c r="P65" s="988"/>
      <c r="Q65" s="988"/>
      <c r="R65" s="988"/>
      <c r="S65" s="990"/>
      <c r="T65" s="991"/>
    </row>
    <row r="66" spans="1:20" ht="14.85" customHeight="1">
      <c r="A66" s="992" t="s">
        <v>588</v>
      </c>
      <c r="B66" s="1160"/>
      <c r="C66" s="993"/>
      <c r="D66" s="993"/>
      <c r="E66" s="993"/>
      <c r="F66" s="993"/>
      <c r="G66" s="993"/>
      <c r="H66" s="993"/>
      <c r="I66" s="993"/>
      <c r="J66" s="994"/>
      <c r="K66" s="992" t="s">
        <v>589</v>
      </c>
      <c r="L66" s="1160"/>
      <c r="M66" s="993"/>
      <c r="N66" s="993"/>
      <c r="O66" s="993"/>
      <c r="P66" s="993"/>
      <c r="Q66" s="993"/>
      <c r="R66" s="993"/>
      <c r="S66" s="995"/>
      <c r="T66" s="996"/>
    </row>
    <row r="67" spans="1:20" ht="14.85" customHeight="1">
      <c r="A67" s="959" t="s">
        <v>590</v>
      </c>
      <c r="B67" s="1152">
        <f t="shared" ref="B67:I67" si="63">ROUND(-2*B175/B23*B31,4)</f>
        <v>0</v>
      </c>
      <c r="C67" s="961">
        <f t="shared" si="63"/>
        <v>0</v>
      </c>
      <c r="D67" s="961">
        <f t="shared" si="63"/>
        <v>0</v>
      </c>
      <c r="E67" s="961">
        <f t="shared" si="63"/>
        <v>0</v>
      </c>
      <c r="F67" s="961">
        <f t="shared" si="63"/>
        <v>0</v>
      </c>
      <c r="G67" s="961">
        <f t="shared" si="63"/>
        <v>0</v>
      </c>
      <c r="H67" s="961">
        <f t="shared" si="63"/>
        <v>0</v>
      </c>
      <c r="I67" s="961">
        <f t="shared" si="63"/>
        <v>0</v>
      </c>
      <c r="J67" s="962">
        <f>ROUND(-2*J175/J23*J31,4)</f>
        <v>0</v>
      </c>
      <c r="K67" s="959" t="s">
        <v>590</v>
      </c>
      <c r="L67" s="1152">
        <f t="shared" ref="L67:S67" si="64">ROUND(-2*L175/L23*L31,4)</f>
        <v>0</v>
      </c>
      <c r="M67" s="961">
        <f t="shared" si="64"/>
        <v>0</v>
      </c>
      <c r="N67" s="961">
        <f t="shared" si="64"/>
        <v>0</v>
      </c>
      <c r="O67" s="961">
        <f t="shared" si="64"/>
        <v>0</v>
      </c>
      <c r="P67" s="961">
        <f t="shared" si="64"/>
        <v>0</v>
      </c>
      <c r="Q67" s="961">
        <f t="shared" si="64"/>
        <v>0</v>
      </c>
      <c r="R67" s="961">
        <f t="shared" si="64"/>
        <v>0</v>
      </c>
      <c r="S67" s="963">
        <f t="shared" si="64"/>
        <v>0</v>
      </c>
      <c r="T67" s="964">
        <f>ROUND(-2*T175/T23*T31,4)</f>
        <v>0</v>
      </c>
    </row>
    <row r="68" spans="1:20" ht="14.85" customHeight="1">
      <c r="A68" s="959" t="s">
        <v>591</v>
      </c>
      <c r="B68" s="1152">
        <f t="shared" ref="B68:I68" si="65">ROUND(-2*B176/B23*B31,4)</f>
        <v>0</v>
      </c>
      <c r="C68" s="961">
        <f t="shared" si="65"/>
        <v>0</v>
      </c>
      <c r="D68" s="961">
        <f t="shared" si="65"/>
        <v>0</v>
      </c>
      <c r="E68" s="961">
        <f t="shared" si="65"/>
        <v>0</v>
      </c>
      <c r="F68" s="961">
        <f t="shared" si="65"/>
        <v>0</v>
      </c>
      <c r="G68" s="961">
        <f t="shared" si="65"/>
        <v>0</v>
      </c>
      <c r="H68" s="961">
        <f t="shared" si="65"/>
        <v>0</v>
      </c>
      <c r="I68" s="961">
        <f t="shared" si="65"/>
        <v>0</v>
      </c>
      <c r="J68" s="962">
        <f>ROUND(-2*J176/J23*J31,4)</f>
        <v>0</v>
      </c>
      <c r="K68" s="959" t="s">
        <v>591</v>
      </c>
      <c r="L68" s="1152">
        <f t="shared" ref="L68:S68" si="66">ROUND(-2*L176/L23*L31,4)</f>
        <v>0</v>
      </c>
      <c r="M68" s="961">
        <f t="shared" si="66"/>
        <v>0</v>
      </c>
      <c r="N68" s="961">
        <f t="shared" si="66"/>
        <v>0</v>
      </c>
      <c r="O68" s="961">
        <f t="shared" si="66"/>
        <v>0</v>
      </c>
      <c r="P68" s="961">
        <f t="shared" si="66"/>
        <v>0</v>
      </c>
      <c r="Q68" s="961">
        <f t="shared" si="66"/>
        <v>0</v>
      </c>
      <c r="R68" s="961">
        <f t="shared" si="66"/>
        <v>0</v>
      </c>
      <c r="S68" s="963">
        <f t="shared" si="66"/>
        <v>0</v>
      </c>
      <c r="T68" s="964">
        <f>ROUND(-2*T176/T23*T31,4)</f>
        <v>0</v>
      </c>
    </row>
    <row r="69" spans="1:20" ht="14.85" customHeight="1">
      <c r="A69" s="959" t="s">
        <v>592</v>
      </c>
      <c r="B69" s="1152">
        <f t="shared" ref="B69:I69" si="67">ROUND(-2*B177/B23*B31,4)</f>
        <v>0</v>
      </c>
      <c r="C69" s="961">
        <f t="shared" si="67"/>
        <v>0</v>
      </c>
      <c r="D69" s="961">
        <f t="shared" si="67"/>
        <v>0</v>
      </c>
      <c r="E69" s="961">
        <f t="shared" si="67"/>
        <v>0</v>
      </c>
      <c r="F69" s="961">
        <f t="shared" si="67"/>
        <v>0</v>
      </c>
      <c r="G69" s="961">
        <f t="shared" si="67"/>
        <v>0</v>
      </c>
      <c r="H69" s="961">
        <f t="shared" si="67"/>
        <v>0</v>
      </c>
      <c r="I69" s="961">
        <f t="shared" si="67"/>
        <v>0</v>
      </c>
      <c r="J69" s="962">
        <f>ROUND(-2*J177/J23*J31,4)</f>
        <v>0</v>
      </c>
      <c r="K69" s="959" t="s">
        <v>592</v>
      </c>
      <c r="L69" s="1152">
        <f t="shared" ref="L69:S69" si="68">ROUND(-2*L177/L23*L31,4)</f>
        <v>0</v>
      </c>
      <c r="M69" s="961">
        <f t="shared" si="68"/>
        <v>0</v>
      </c>
      <c r="N69" s="961">
        <f t="shared" si="68"/>
        <v>0</v>
      </c>
      <c r="O69" s="961">
        <f t="shared" si="68"/>
        <v>0</v>
      </c>
      <c r="P69" s="961">
        <f t="shared" si="68"/>
        <v>0</v>
      </c>
      <c r="Q69" s="961">
        <f t="shared" si="68"/>
        <v>0</v>
      </c>
      <c r="R69" s="961">
        <f t="shared" si="68"/>
        <v>0</v>
      </c>
      <c r="S69" s="963">
        <f t="shared" si="68"/>
        <v>0</v>
      </c>
      <c r="T69" s="964">
        <f>ROUND(-2*T177/T23*T31,4)</f>
        <v>0</v>
      </c>
    </row>
    <row r="70" spans="1:20" ht="14.85" customHeight="1">
      <c r="A70" s="959" t="s">
        <v>593</v>
      </c>
      <c r="B70" s="1152">
        <f t="shared" ref="B70:I70" si="69">SUM(B67:B69)</f>
        <v>0</v>
      </c>
      <c r="C70" s="961">
        <f t="shared" si="69"/>
        <v>0</v>
      </c>
      <c r="D70" s="961">
        <f t="shared" si="69"/>
        <v>0</v>
      </c>
      <c r="E70" s="961">
        <f t="shared" si="69"/>
        <v>0</v>
      </c>
      <c r="F70" s="961">
        <f t="shared" si="69"/>
        <v>0</v>
      </c>
      <c r="G70" s="961">
        <f t="shared" si="69"/>
        <v>0</v>
      </c>
      <c r="H70" s="961">
        <f t="shared" si="69"/>
        <v>0</v>
      </c>
      <c r="I70" s="961">
        <f t="shared" si="69"/>
        <v>0</v>
      </c>
      <c r="J70" s="962">
        <f>SUM(J67:J69)</f>
        <v>0</v>
      </c>
      <c r="K70" s="959" t="s">
        <v>593</v>
      </c>
      <c r="L70" s="1152">
        <f t="shared" ref="L70:S70" si="70">SUM(L67:L69)</f>
        <v>0</v>
      </c>
      <c r="M70" s="961">
        <f t="shared" si="70"/>
        <v>0</v>
      </c>
      <c r="N70" s="961">
        <f t="shared" si="70"/>
        <v>0</v>
      </c>
      <c r="O70" s="961">
        <f t="shared" si="70"/>
        <v>0</v>
      </c>
      <c r="P70" s="961">
        <f t="shared" si="70"/>
        <v>0</v>
      </c>
      <c r="Q70" s="961">
        <f t="shared" si="70"/>
        <v>0</v>
      </c>
      <c r="R70" s="961">
        <f t="shared" si="70"/>
        <v>0</v>
      </c>
      <c r="S70" s="963">
        <f t="shared" si="70"/>
        <v>0</v>
      </c>
      <c r="T70" s="964">
        <f>SUM(T67:T69)</f>
        <v>0</v>
      </c>
    </row>
    <row r="71" spans="1:20" ht="14.85" customHeight="1">
      <c r="A71" s="959"/>
      <c r="B71" s="1152"/>
      <c r="C71" s="961"/>
      <c r="D71" s="961"/>
      <c r="E71" s="961"/>
      <c r="F71" s="961"/>
      <c r="G71" s="961"/>
      <c r="H71" s="961"/>
      <c r="I71" s="961"/>
      <c r="J71" s="962"/>
      <c r="K71" s="959"/>
      <c r="L71" s="1152"/>
      <c r="M71" s="961"/>
      <c r="N71" s="961"/>
      <c r="O71" s="961"/>
      <c r="P71" s="961"/>
      <c r="Q71" s="961"/>
      <c r="R71" s="961"/>
      <c r="S71" s="963"/>
      <c r="T71" s="964"/>
    </row>
    <row r="72" spans="1:20" ht="14.85" customHeight="1">
      <c r="A72" s="965" t="s">
        <v>594</v>
      </c>
      <c r="B72" s="1152"/>
      <c r="C72" s="961"/>
      <c r="D72" s="961"/>
      <c r="E72" s="961"/>
      <c r="F72" s="961"/>
      <c r="G72" s="961"/>
      <c r="H72" s="961"/>
      <c r="I72" s="961"/>
      <c r="J72" s="962"/>
      <c r="K72" s="965" t="s">
        <v>594</v>
      </c>
      <c r="L72" s="1152"/>
      <c r="M72" s="961"/>
      <c r="N72" s="961"/>
      <c r="O72" s="961"/>
      <c r="P72" s="961"/>
      <c r="Q72" s="961"/>
      <c r="R72" s="961"/>
      <c r="S72" s="963"/>
      <c r="T72" s="964"/>
    </row>
    <row r="73" spans="1:20" ht="14.85" customHeight="1">
      <c r="A73" s="959" t="s">
        <v>595</v>
      </c>
      <c r="B73" s="1161">
        <f t="shared" ref="B73:I73" si="71">ROUND(B31*B175/B23*(B102*COS(PI()*B100/180)+B175/B23),4)</f>
        <v>0</v>
      </c>
      <c r="C73" s="998">
        <f t="shared" si="71"/>
        <v>0</v>
      </c>
      <c r="D73" s="998">
        <f t="shared" si="71"/>
        <v>0</v>
      </c>
      <c r="E73" s="998">
        <f t="shared" si="71"/>
        <v>0</v>
      </c>
      <c r="F73" s="998">
        <f t="shared" si="71"/>
        <v>0</v>
      </c>
      <c r="G73" s="998">
        <f t="shared" si="71"/>
        <v>0</v>
      </c>
      <c r="H73" s="998">
        <f t="shared" si="71"/>
        <v>0</v>
      </c>
      <c r="I73" s="961">
        <f t="shared" si="71"/>
        <v>0</v>
      </c>
      <c r="J73" s="962">
        <f>ROUND(J31*J175/J23*(J102*COS(PI()*J100/180)+J175/J23),4)</f>
        <v>0</v>
      </c>
      <c r="K73" s="959" t="s">
        <v>595</v>
      </c>
      <c r="L73" s="1161">
        <f t="shared" ref="L73:S73" si="72">ROUND(L31*L175/L23*(L102*COS(PI()*L100/180)+L175/L23),4)</f>
        <v>0</v>
      </c>
      <c r="M73" s="998">
        <f t="shared" si="72"/>
        <v>0</v>
      </c>
      <c r="N73" s="998">
        <f t="shared" si="72"/>
        <v>0</v>
      </c>
      <c r="O73" s="998">
        <f t="shared" si="72"/>
        <v>0</v>
      </c>
      <c r="P73" s="998">
        <f t="shared" si="72"/>
        <v>0</v>
      </c>
      <c r="Q73" s="998">
        <f t="shared" si="72"/>
        <v>0</v>
      </c>
      <c r="R73" s="998">
        <f t="shared" si="72"/>
        <v>0</v>
      </c>
      <c r="S73" s="963">
        <f t="shared" si="72"/>
        <v>0</v>
      </c>
      <c r="T73" s="964">
        <f>ROUND(T31*T175/T23*(T102*COS(PI()*T100/180)+T175/T23),4)</f>
        <v>0</v>
      </c>
    </row>
    <row r="74" spans="1:20" ht="14.85" customHeight="1">
      <c r="A74" s="959" t="s">
        <v>596</v>
      </c>
      <c r="B74" s="1161">
        <f t="shared" ref="B74:I74" si="73">ROUND(B31*B176/B23*(B102*COS(PI()*B100/180)+B176/B23),4)</f>
        <v>0</v>
      </c>
      <c r="C74" s="998">
        <f t="shared" si="73"/>
        <v>0</v>
      </c>
      <c r="D74" s="998">
        <f t="shared" si="73"/>
        <v>0</v>
      </c>
      <c r="E74" s="998">
        <f t="shared" si="73"/>
        <v>0</v>
      </c>
      <c r="F74" s="998">
        <f t="shared" si="73"/>
        <v>0</v>
      </c>
      <c r="G74" s="998">
        <f t="shared" si="73"/>
        <v>0</v>
      </c>
      <c r="H74" s="998">
        <f t="shared" si="73"/>
        <v>0</v>
      </c>
      <c r="I74" s="998">
        <f t="shared" si="73"/>
        <v>0</v>
      </c>
      <c r="J74" s="999">
        <f>ROUND(J31*J176/J23*(J102*COS(PI()*J100/180)+J176/J23),4)</f>
        <v>0</v>
      </c>
      <c r="K74" s="959" t="s">
        <v>596</v>
      </c>
      <c r="L74" s="1161">
        <f t="shared" ref="L74:S74" si="74">ROUND(L31*L176/L23*(L102*COS(PI()*L100/180)+L176/L23),4)</f>
        <v>0</v>
      </c>
      <c r="M74" s="998">
        <f t="shared" si="74"/>
        <v>0</v>
      </c>
      <c r="N74" s="998">
        <f t="shared" si="74"/>
        <v>0</v>
      </c>
      <c r="O74" s="998">
        <f t="shared" si="74"/>
        <v>0</v>
      </c>
      <c r="P74" s="998">
        <f t="shared" si="74"/>
        <v>0</v>
      </c>
      <c r="Q74" s="998">
        <f t="shared" si="74"/>
        <v>0</v>
      </c>
      <c r="R74" s="998">
        <f t="shared" si="74"/>
        <v>0</v>
      </c>
      <c r="S74" s="1000">
        <f t="shared" si="74"/>
        <v>0</v>
      </c>
      <c r="T74" s="1001">
        <f>ROUND(T31*T176/T23*(T102*COS(PI()*T100/180)+T176/T23),4)</f>
        <v>0</v>
      </c>
    </row>
    <row r="75" spans="1:20" ht="14.85" customHeight="1">
      <c r="A75" s="959" t="s">
        <v>597</v>
      </c>
      <c r="B75" s="1161">
        <f t="shared" ref="B75:I75" si="75">ROUND(B31*B177/B23*(B102*COS(PI()*B100/180)+B177/B23),4)</f>
        <v>0</v>
      </c>
      <c r="C75" s="998">
        <f t="shared" si="75"/>
        <v>0</v>
      </c>
      <c r="D75" s="998">
        <f t="shared" si="75"/>
        <v>0</v>
      </c>
      <c r="E75" s="998">
        <f t="shared" si="75"/>
        <v>0</v>
      </c>
      <c r="F75" s="998">
        <f t="shared" si="75"/>
        <v>0</v>
      </c>
      <c r="G75" s="998">
        <f t="shared" si="75"/>
        <v>0</v>
      </c>
      <c r="H75" s="998">
        <f t="shared" si="75"/>
        <v>0</v>
      </c>
      <c r="I75" s="998">
        <f t="shared" si="75"/>
        <v>0</v>
      </c>
      <c r="J75" s="999">
        <f>ROUND(J31*J177/J23*(J102*COS(PI()*J100/180)+J177/J23),4)</f>
        <v>0</v>
      </c>
      <c r="K75" s="959" t="s">
        <v>597</v>
      </c>
      <c r="L75" s="1161">
        <f t="shared" ref="L75:S75" si="76">ROUND(L31*L177/L23*(L102*COS(PI()*L100/180)+L177/L23),4)</f>
        <v>0</v>
      </c>
      <c r="M75" s="998">
        <f t="shared" si="76"/>
        <v>0</v>
      </c>
      <c r="N75" s="998">
        <f t="shared" si="76"/>
        <v>0</v>
      </c>
      <c r="O75" s="998">
        <f t="shared" si="76"/>
        <v>0</v>
      </c>
      <c r="P75" s="998">
        <f t="shared" si="76"/>
        <v>0</v>
      </c>
      <c r="Q75" s="998">
        <f t="shared" si="76"/>
        <v>0</v>
      </c>
      <c r="R75" s="998">
        <f t="shared" si="76"/>
        <v>0</v>
      </c>
      <c r="S75" s="1000">
        <f t="shared" si="76"/>
        <v>0</v>
      </c>
      <c r="T75" s="1001">
        <f>ROUND(T31*T177/T23*(T102*COS(PI()*T100/180)+T177/T23),4)</f>
        <v>0</v>
      </c>
    </row>
    <row r="76" spans="1:20" ht="14.85" customHeight="1">
      <c r="A76" s="959" t="s">
        <v>598</v>
      </c>
      <c r="B76" s="1161">
        <f t="shared" ref="B76:I76" si="77">SUM(B73:B75)</f>
        <v>0</v>
      </c>
      <c r="C76" s="998">
        <f t="shared" si="77"/>
        <v>0</v>
      </c>
      <c r="D76" s="998">
        <f t="shared" si="77"/>
        <v>0</v>
      </c>
      <c r="E76" s="998">
        <f t="shared" si="77"/>
        <v>0</v>
      </c>
      <c r="F76" s="998">
        <f t="shared" si="77"/>
        <v>0</v>
      </c>
      <c r="G76" s="998">
        <f t="shared" si="77"/>
        <v>0</v>
      </c>
      <c r="H76" s="998">
        <f t="shared" si="77"/>
        <v>0</v>
      </c>
      <c r="I76" s="998">
        <f t="shared" si="77"/>
        <v>0</v>
      </c>
      <c r="J76" s="999">
        <f>SUM(J73:J75)</f>
        <v>0</v>
      </c>
      <c r="K76" s="959" t="s">
        <v>598</v>
      </c>
      <c r="L76" s="1161">
        <f t="shared" ref="L76:S76" si="78">SUM(L73:L75)</f>
        <v>0</v>
      </c>
      <c r="M76" s="998">
        <f t="shared" si="78"/>
        <v>0</v>
      </c>
      <c r="N76" s="998">
        <f t="shared" si="78"/>
        <v>0</v>
      </c>
      <c r="O76" s="998">
        <f t="shared" si="78"/>
        <v>0</v>
      </c>
      <c r="P76" s="998">
        <f t="shared" si="78"/>
        <v>0</v>
      </c>
      <c r="Q76" s="998">
        <f t="shared" si="78"/>
        <v>0</v>
      </c>
      <c r="R76" s="998">
        <f t="shared" si="78"/>
        <v>0</v>
      </c>
      <c r="S76" s="1000">
        <f t="shared" si="78"/>
        <v>0</v>
      </c>
      <c r="T76" s="1001">
        <f>SUM(T73:T75)</f>
        <v>0</v>
      </c>
    </row>
    <row r="77" spans="1:20" ht="14.85" customHeight="1">
      <c r="A77" s="959"/>
      <c r="B77" s="1161"/>
      <c r="C77" s="998"/>
      <c r="D77" s="998"/>
      <c r="E77" s="998"/>
      <c r="F77" s="998"/>
      <c r="G77" s="998"/>
      <c r="H77" s="998"/>
      <c r="I77" s="998"/>
      <c r="J77" s="999"/>
      <c r="K77" s="959"/>
      <c r="L77" s="1161"/>
      <c r="M77" s="998"/>
      <c r="N77" s="998"/>
      <c r="O77" s="998"/>
      <c r="P77" s="998"/>
      <c r="Q77" s="998"/>
      <c r="R77" s="998"/>
      <c r="S77" s="1000"/>
      <c r="T77" s="1001"/>
    </row>
    <row r="78" spans="1:20" s="947" customFormat="1" ht="14.85" customHeight="1">
      <c r="A78" s="965" t="s">
        <v>599</v>
      </c>
      <c r="B78" s="1162">
        <f t="shared" ref="B78:J78" si="79">ROUND(B31/2*B43*2*B41/B23,4)</f>
        <v>0.50929999999999997</v>
      </c>
      <c r="C78" s="1002">
        <f t="shared" si="79"/>
        <v>0.50929999999999997</v>
      </c>
      <c r="D78" s="1002">
        <f t="shared" si="79"/>
        <v>0.50929999999999997</v>
      </c>
      <c r="E78" s="1002">
        <f t="shared" si="79"/>
        <v>0.50929999999999997</v>
      </c>
      <c r="F78" s="1002">
        <f t="shared" si="79"/>
        <v>0.50929999999999997</v>
      </c>
      <c r="G78" s="1002">
        <f t="shared" si="79"/>
        <v>0.50929999999999997</v>
      </c>
      <c r="H78" s="1002">
        <f t="shared" si="79"/>
        <v>0.50929999999999997</v>
      </c>
      <c r="I78" s="1002">
        <f t="shared" si="79"/>
        <v>0.50929999999999997</v>
      </c>
      <c r="J78" s="1002">
        <f t="shared" si="79"/>
        <v>0.50929999999999997</v>
      </c>
      <c r="K78" s="965" t="s">
        <v>599</v>
      </c>
      <c r="L78" s="1162">
        <f t="shared" ref="L78:T78" si="80">ROUND(L31/2*L43*2*L41/L23,4)</f>
        <v>0.60450000000000004</v>
      </c>
      <c r="M78" s="1002">
        <f t="shared" si="80"/>
        <v>0.50929999999999997</v>
      </c>
      <c r="N78" s="1002">
        <f t="shared" si="80"/>
        <v>0.50929999999999997</v>
      </c>
      <c r="O78" s="1002">
        <f t="shared" si="80"/>
        <v>0.50929999999999997</v>
      </c>
      <c r="P78" s="1002">
        <f t="shared" si="80"/>
        <v>0.50929999999999997</v>
      </c>
      <c r="Q78" s="1002">
        <f t="shared" si="80"/>
        <v>0.50929999999999997</v>
      </c>
      <c r="R78" s="1002">
        <f t="shared" si="80"/>
        <v>0.50929999999999997</v>
      </c>
      <c r="S78" s="1003">
        <f t="shared" si="80"/>
        <v>0.50929999999999997</v>
      </c>
      <c r="T78" s="1004">
        <f t="shared" si="80"/>
        <v>0.50929999999999997</v>
      </c>
    </row>
    <row r="79" spans="1:20" ht="14.85" customHeight="1">
      <c r="A79" s="965"/>
      <c r="B79" s="1161"/>
      <c r="C79" s="998"/>
      <c r="D79" s="998"/>
      <c r="E79" s="998"/>
      <c r="F79" s="998"/>
      <c r="G79" s="998"/>
      <c r="H79" s="998"/>
      <c r="I79" s="998"/>
      <c r="J79" s="999"/>
      <c r="K79" s="965"/>
      <c r="L79" s="1161"/>
      <c r="M79" s="998"/>
      <c r="N79" s="998"/>
      <c r="O79" s="998"/>
      <c r="P79" s="998"/>
      <c r="Q79" s="998"/>
      <c r="R79" s="998"/>
      <c r="S79" s="1000"/>
      <c r="T79" s="1001"/>
    </row>
    <row r="80" spans="1:20" ht="14.85" customHeight="1">
      <c r="A80" s="965" t="s">
        <v>600</v>
      </c>
      <c r="B80" s="1161">
        <f t="shared" ref="B80:I80" si="81">ROUND(-2*(B182+B184+B186)/B23*B31,4)</f>
        <v>0</v>
      </c>
      <c r="C80" s="998">
        <f t="shared" si="81"/>
        <v>-1.2272000000000001</v>
      </c>
      <c r="D80" s="998">
        <f t="shared" si="81"/>
        <v>0</v>
      </c>
      <c r="E80" s="998">
        <f t="shared" si="81"/>
        <v>0</v>
      </c>
      <c r="F80" s="998">
        <f t="shared" si="81"/>
        <v>0</v>
      </c>
      <c r="G80" s="998">
        <f t="shared" si="81"/>
        <v>0</v>
      </c>
      <c r="H80" s="998">
        <f t="shared" si="81"/>
        <v>0</v>
      </c>
      <c r="I80" s="998">
        <f t="shared" si="81"/>
        <v>0</v>
      </c>
      <c r="J80" s="999">
        <f>ROUND(-2*(J182+J184+J186)/J23*J31,4)</f>
        <v>0</v>
      </c>
      <c r="K80" s="965" t="s">
        <v>600</v>
      </c>
      <c r="L80" s="1161">
        <f t="shared" ref="L80:S80" si="82">ROUND(-2*(L182+L184+L186)/L23*L31,4)</f>
        <v>0</v>
      </c>
      <c r="M80" s="998">
        <f t="shared" si="82"/>
        <v>-1.2272000000000001</v>
      </c>
      <c r="N80" s="998">
        <f t="shared" si="82"/>
        <v>0</v>
      </c>
      <c r="O80" s="998">
        <f t="shared" si="82"/>
        <v>0</v>
      </c>
      <c r="P80" s="998">
        <f t="shared" si="82"/>
        <v>0</v>
      </c>
      <c r="Q80" s="998">
        <f t="shared" si="82"/>
        <v>0</v>
      </c>
      <c r="R80" s="998">
        <f t="shared" si="82"/>
        <v>0</v>
      </c>
      <c r="S80" s="1000">
        <f t="shared" si="82"/>
        <v>0</v>
      </c>
      <c r="T80" s="1001">
        <f>ROUND(-2*(T182+T184+T186)/T23*T31,4)</f>
        <v>0</v>
      </c>
    </row>
    <row r="81" spans="1:20" ht="14.85" customHeight="1">
      <c r="A81" s="959" t="s">
        <v>601</v>
      </c>
      <c r="B81" s="1155">
        <f t="shared" ref="B81:I81" si="83">ROUND(-2*B182/B23*B31,4)</f>
        <v>0</v>
      </c>
      <c r="C81" s="971">
        <f t="shared" si="83"/>
        <v>-1.2272000000000001</v>
      </c>
      <c r="D81" s="971">
        <f t="shared" si="83"/>
        <v>0</v>
      </c>
      <c r="E81" s="971">
        <f t="shared" si="83"/>
        <v>0</v>
      </c>
      <c r="F81" s="971">
        <f t="shared" si="83"/>
        <v>0</v>
      </c>
      <c r="G81" s="971">
        <f t="shared" si="83"/>
        <v>0</v>
      </c>
      <c r="H81" s="971">
        <f t="shared" si="83"/>
        <v>0</v>
      </c>
      <c r="I81" s="971">
        <f t="shared" si="83"/>
        <v>0</v>
      </c>
      <c r="J81" s="972">
        <f>ROUND(-2*J182/J23*J31,4)</f>
        <v>0</v>
      </c>
      <c r="K81" s="959" t="s">
        <v>601</v>
      </c>
      <c r="L81" s="1155">
        <f t="shared" ref="L81:S81" si="84">ROUND(-2*L182/L23*L31,4)</f>
        <v>0</v>
      </c>
      <c r="M81" s="971">
        <f t="shared" si="84"/>
        <v>-1.2272000000000001</v>
      </c>
      <c r="N81" s="971">
        <f t="shared" si="84"/>
        <v>0</v>
      </c>
      <c r="O81" s="971">
        <f t="shared" si="84"/>
        <v>0</v>
      </c>
      <c r="P81" s="971">
        <f t="shared" si="84"/>
        <v>0</v>
      </c>
      <c r="Q81" s="971">
        <f t="shared" si="84"/>
        <v>0</v>
      </c>
      <c r="R81" s="971">
        <f t="shared" si="84"/>
        <v>0</v>
      </c>
      <c r="S81" s="973">
        <f t="shared" si="84"/>
        <v>0</v>
      </c>
      <c r="T81" s="974">
        <f>ROUND(-2*T182/T23*T31,4)</f>
        <v>0</v>
      </c>
    </row>
    <row r="82" spans="1:20" ht="14.85" customHeight="1">
      <c r="A82" s="959" t="s">
        <v>602</v>
      </c>
      <c r="B82" s="1155">
        <f t="shared" ref="B82:I82" si="85">ROUND(-2*B184/B23*B31,4)</f>
        <v>0</v>
      </c>
      <c r="C82" s="971">
        <f t="shared" si="85"/>
        <v>0</v>
      </c>
      <c r="D82" s="971">
        <f t="shared" si="85"/>
        <v>0</v>
      </c>
      <c r="E82" s="971">
        <f t="shared" si="85"/>
        <v>0</v>
      </c>
      <c r="F82" s="971">
        <f t="shared" si="85"/>
        <v>0</v>
      </c>
      <c r="G82" s="971">
        <f t="shared" si="85"/>
        <v>0</v>
      </c>
      <c r="H82" s="971">
        <f t="shared" si="85"/>
        <v>0</v>
      </c>
      <c r="I82" s="971">
        <f t="shared" si="85"/>
        <v>0</v>
      </c>
      <c r="J82" s="972">
        <f>ROUND(-2*J184/J23*J31,4)</f>
        <v>0</v>
      </c>
      <c r="K82" s="959" t="s">
        <v>602</v>
      </c>
      <c r="L82" s="1155">
        <f t="shared" ref="L82:S82" si="86">ROUND(-2*L184/L23*L31,4)</f>
        <v>0</v>
      </c>
      <c r="M82" s="971">
        <f t="shared" si="86"/>
        <v>0</v>
      </c>
      <c r="N82" s="971">
        <f t="shared" si="86"/>
        <v>0</v>
      </c>
      <c r="O82" s="971">
        <f t="shared" si="86"/>
        <v>0</v>
      </c>
      <c r="P82" s="971">
        <f t="shared" si="86"/>
        <v>0</v>
      </c>
      <c r="Q82" s="971">
        <f t="shared" si="86"/>
        <v>0</v>
      </c>
      <c r="R82" s="971">
        <f t="shared" si="86"/>
        <v>0</v>
      </c>
      <c r="S82" s="973">
        <f t="shared" si="86"/>
        <v>0</v>
      </c>
      <c r="T82" s="974">
        <f>ROUND(-2*T184/T23*T31,4)</f>
        <v>0</v>
      </c>
    </row>
    <row r="83" spans="1:20" ht="14.85" customHeight="1">
      <c r="A83" s="959" t="s">
        <v>603</v>
      </c>
      <c r="B83" s="1155">
        <f t="shared" ref="B83:I83" si="87">ROUND(-2*B186/B23*B31,4)</f>
        <v>0</v>
      </c>
      <c r="C83" s="971">
        <f t="shared" si="87"/>
        <v>0</v>
      </c>
      <c r="D83" s="971">
        <f t="shared" si="87"/>
        <v>0</v>
      </c>
      <c r="E83" s="971">
        <f t="shared" si="87"/>
        <v>0</v>
      </c>
      <c r="F83" s="971">
        <f t="shared" si="87"/>
        <v>0</v>
      </c>
      <c r="G83" s="971">
        <f t="shared" si="87"/>
        <v>0</v>
      </c>
      <c r="H83" s="971">
        <f t="shared" si="87"/>
        <v>0</v>
      </c>
      <c r="I83" s="971">
        <f t="shared" si="87"/>
        <v>0</v>
      </c>
      <c r="J83" s="972">
        <f>ROUND(-2*J186/J23*J31,4)</f>
        <v>0</v>
      </c>
      <c r="K83" s="959" t="s">
        <v>603</v>
      </c>
      <c r="L83" s="1155">
        <f t="shared" ref="L83:S83" si="88">ROUND(-2*L186/L23*L31,4)</f>
        <v>0</v>
      </c>
      <c r="M83" s="971">
        <f t="shared" si="88"/>
        <v>0</v>
      </c>
      <c r="N83" s="971">
        <f t="shared" si="88"/>
        <v>0</v>
      </c>
      <c r="O83" s="971">
        <f t="shared" si="88"/>
        <v>0</v>
      </c>
      <c r="P83" s="971">
        <f t="shared" si="88"/>
        <v>0</v>
      </c>
      <c r="Q83" s="971">
        <f t="shared" si="88"/>
        <v>0</v>
      </c>
      <c r="R83" s="971">
        <f t="shared" si="88"/>
        <v>0</v>
      </c>
      <c r="S83" s="973">
        <f t="shared" si="88"/>
        <v>0</v>
      </c>
      <c r="T83" s="974">
        <f>ROUND(-2*T186/T23*T31,4)</f>
        <v>0</v>
      </c>
    </row>
    <row r="84" spans="1:20" ht="14.85" customHeight="1">
      <c r="A84" s="959" t="s">
        <v>604</v>
      </c>
      <c r="B84" s="1155">
        <f t="shared" ref="B84:I84" si="89">SUM(B81:B83)</f>
        <v>0</v>
      </c>
      <c r="C84" s="971">
        <f t="shared" si="89"/>
        <v>-1.2272000000000001</v>
      </c>
      <c r="D84" s="971">
        <f t="shared" si="89"/>
        <v>0</v>
      </c>
      <c r="E84" s="971">
        <f t="shared" si="89"/>
        <v>0</v>
      </c>
      <c r="F84" s="971">
        <f t="shared" si="89"/>
        <v>0</v>
      </c>
      <c r="G84" s="971">
        <f t="shared" si="89"/>
        <v>0</v>
      </c>
      <c r="H84" s="971">
        <f t="shared" si="89"/>
        <v>0</v>
      </c>
      <c r="I84" s="971">
        <f t="shared" si="89"/>
        <v>0</v>
      </c>
      <c r="J84" s="972">
        <f>SUM(J81:J83)</f>
        <v>0</v>
      </c>
      <c r="K84" s="959" t="s">
        <v>604</v>
      </c>
      <c r="L84" s="1155">
        <f t="shared" ref="L84:S84" si="90">SUM(L81:L83)</f>
        <v>0</v>
      </c>
      <c r="M84" s="971">
        <f t="shared" si="90"/>
        <v>-1.2272000000000001</v>
      </c>
      <c r="N84" s="971">
        <f t="shared" si="90"/>
        <v>0</v>
      </c>
      <c r="O84" s="971">
        <f t="shared" si="90"/>
        <v>0</v>
      </c>
      <c r="P84" s="971">
        <f t="shared" si="90"/>
        <v>0</v>
      </c>
      <c r="Q84" s="971">
        <f t="shared" si="90"/>
        <v>0</v>
      </c>
      <c r="R84" s="971">
        <f t="shared" si="90"/>
        <v>0</v>
      </c>
      <c r="S84" s="973">
        <f t="shared" si="90"/>
        <v>0</v>
      </c>
      <c r="T84" s="974">
        <f>SUM(T81:T83)</f>
        <v>0</v>
      </c>
    </row>
    <row r="85" spans="1:20" ht="14.85" customHeight="1">
      <c r="A85" s="959"/>
      <c r="B85" s="1155"/>
      <c r="C85" s="971"/>
      <c r="D85" s="971"/>
      <c r="E85" s="971"/>
      <c r="F85" s="971"/>
      <c r="G85" s="971"/>
      <c r="H85" s="971"/>
      <c r="I85" s="971"/>
      <c r="J85" s="972"/>
      <c r="K85" s="959"/>
      <c r="L85" s="1155"/>
      <c r="M85" s="971"/>
      <c r="N85" s="971"/>
      <c r="O85" s="971"/>
      <c r="P85" s="971"/>
      <c r="Q85" s="971"/>
      <c r="R85" s="971"/>
      <c r="S85" s="973"/>
      <c r="T85" s="974"/>
    </row>
    <row r="86" spans="1:20" ht="14.85" customHeight="1">
      <c r="A86" s="965" t="s">
        <v>605</v>
      </c>
      <c r="B86" s="1155"/>
      <c r="C86" s="971"/>
      <c r="D86" s="971"/>
      <c r="E86" s="971"/>
      <c r="F86" s="971"/>
      <c r="G86" s="971"/>
      <c r="H86" s="971"/>
      <c r="I86" s="971"/>
      <c r="J86" s="972"/>
      <c r="K86" s="965" t="s">
        <v>605</v>
      </c>
      <c r="L86" s="1155"/>
      <c r="M86" s="971"/>
      <c r="N86" s="971"/>
      <c r="O86" s="971"/>
      <c r="P86" s="971"/>
      <c r="Q86" s="971"/>
      <c r="R86" s="971"/>
      <c r="S86" s="973"/>
      <c r="T86" s="974"/>
    </row>
    <row r="87" spans="1:20" ht="14.85" customHeight="1">
      <c r="A87" s="959" t="s">
        <v>606</v>
      </c>
      <c r="B87" s="1155">
        <f t="shared" ref="B87:I87" si="91">ROUND(B31*B182/B23*(B93*COS(PI()*B100/180)+B182/B23),4)</f>
        <v>0</v>
      </c>
      <c r="C87" s="971">
        <f t="shared" si="91"/>
        <v>18.6511</v>
      </c>
      <c r="D87" s="971">
        <f t="shared" si="91"/>
        <v>0</v>
      </c>
      <c r="E87" s="971">
        <f t="shared" si="91"/>
        <v>0</v>
      </c>
      <c r="F87" s="971">
        <f t="shared" si="91"/>
        <v>0</v>
      </c>
      <c r="G87" s="971">
        <f t="shared" si="91"/>
        <v>0</v>
      </c>
      <c r="H87" s="971">
        <f t="shared" si="91"/>
        <v>0</v>
      </c>
      <c r="I87" s="971">
        <f t="shared" si="91"/>
        <v>0</v>
      </c>
      <c r="J87" s="972">
        <f>ROUND(J31*J182/J23*(J93*COS(PI()*J100/180)+J182/J23),4)</f>
        <v>0</v>
      </c>
      <c r="K87" s="959" t="s">
        <v>606</v>
      </c>
      <c r="L87" s="1155">
        <f t="shared" ref="L87:S87" si="92">ROUND(L31*L182/L23*(L93*COS(PI()*L100/180)+L182/L23),4)</f>
        <v>0</v>
      </c>
      <c r="M87" s="971">
        <f t="shared" si="92"/>
        <v>18.6511</v>
      </c>
      <c r="N87" s="971">
        <f t="shared" si="92"/>
        <v>0</v>
      </c>
      <c r="O87" s="971">
        <f t="shared" si="92"/>
        <v>0</v>
      </c>
      <c r="P87" s="971">
        <f t="shared" si="92"/>
        <v>0</v>
      </c>
      <c r="Q87" s="971">
        <f t="shared" si="92"/>
        <v>0</v>
      </c>
      <c r="R87" s="971">
        <f t="shared" si="92"/>
        <v>0</v>
      </c>
      <c r="S87" s="973">
        <f t="shared" si="92"/>
        <v>0</v>
      </c>
      <c r="T87" s="974">
        <f>ROUND(T31*T182/T23*(T93*COS(PI()*T100/180)+T182/T23),4)</f>
        <v>0</v>
      </c>
    </row>
    <row r="88" spans="1:20" ht="14.85" customHeight="1">
      <c r="A88" s="959" t="s">
        <v>607</v>
      </c>
      <c r="B88" s="1155">
        <f t="shared" ref="B88:I88" si="93">ROUND(B31*B184/B23*(B94*COS(PI()*B100/180)+B184/B23),4)</f>
        <v>0</v>
      </c>
      <c r="C88" s="971">
        <f t="shared" si="93"/>
        <v>0</v>
      </c>
      <c r="D88" s="971">
        <f t="shared" si="93"/>
        <v>0</v>
      </c>
      <c r="E88" s="971">
        <f t="shared" si="93"/>
        <v>0</v>
      </c>
      <c r="F88" s="971">
        <f t="shared" si="93"/>
        <v>0</v>
      </c>
      <c r="G88" s="971">
        <f t="shared" si="93"/>
        <v>0</v>
      </c>
      <c r="H88" s="971">
        <f t="shared" si="93"/>
        <v>0</v>
      </c>
      <c r="I88" s="971">
        <f t="shared" si="93"/>
        <v>0</v>
      </c>
      <c r="J88" s="972">
        <f>ROUND(J31*J184/J23*(J94*COS(PI()*J100/180)+J184/J23),4)</f>
        <v>0</v>
      </c>
      <c r="K88" s="959" t="s">
        <v>607</v>
      </c>
      <c r="L88" s="1155">
        <f t="shared" ref="L88:S88" si="94">ROUND(L31*L184/L23*(L94*COS(PI()*L100/180)+L184/L23),4)</f>
        <v>0</v>
      </c>
      <c r="M88" s="971">
        <f t="shared" si="94"/>
        <v>0</v>
      </c>
      <c r="N88" s="971">
        <f t="shared" si="94"/>
        <v>0</v>
      </c>
      <c r="O88" s="971">
        <f t="shared" si="94"/>
        <v>0</v>
      </c>
      <c r="P88" s="971">
        <f t="shared" si="94"/>
        <v>0</v>
      </c>
      <c r="Q88" s="971">
        <f t="shared" si="94"/>
        <v>0</v>
      </c>
      <c r="R88" s="971">
        <f t="shared" si="94"/>
        <v>0</v>
      </c>
      <c r="S88" s="973">
        <f t="shared" si="94"/>
        <v>0</v>
      </c>
      <c r="T88" s="974">
        <f>ROUND(T31*T184/T23*(T94*COS(PI()*T100/180)+T184/T23),4)</f>
        <v>0</v>
      </c>
    </row>
    <row r="89" spans="1:20" ht="14.85" customHeight="1">
      <c r="A89" s="959" t="s">
        <v>608</v>
      </c>
      <c r="B89" s="1155">
        <f t="shared" ref="B89:I89" si="95">ROUND(B31*B186/B23*(B95*COS(PI()*B100/180)+B186/B23),4)</f>
        <v>0</v>
      </c>
      <c r="C89" s="971">
        <f t="shared" si="95"/>
        <v>0</v>
      </c>
      <c r="D89" s="971">
        <f t="shared" si="95"/>
        <v>0</v>
      </c>
      <c r="E89" s="971">
        <f t="shared" si="95"/>
        <v>0</v>
      </c>
      <c r="F89" s="971">
        <f t="shared" si="95"/>
        <v>0</v>
      </c>
      <c r="G89" s="971">
        <f t="shared" si="95"/>
        <v>0</v>
      </c>
      <c r="H89" s="971">
        <f t="shared" si="95"/>
        <v>0</v>
      </c>
      <c r="I89" s="971">
        <f t="shared" si="95"/>
        <v>0</v>
      </c>
      <c r="J89" s="972">
        <f>ROUND(J31*J186/J23*(J95*COS(PI()*J100/180)+J186/J23),4)</f>
        <v>0</v>
      </c>
      <c r="K89" s="959" t="s">
        <v>608</v>
      </c>
      <c r="L89" s="1155">
        <f t="shared" ref="L89:S89" si="96">ROUND(L31*L186/L23*(L95*COS(PI()*L100/180)+L186/L23),4)</f>
        <v>0</v>
      </c>
      <c r="M89" s="971">
        <f t="shared" si="96"/>
        <v>0</v>
      </c>
      <c r="N89" s="971">
        <f t="shared" si="96"/>
        <v>0</v>
      </c>
      <c r="O89" s="971">
        <f t="shared" si="96"/>
        <v>0</v>
      </c>
      <c r="P89" s="971">
        <f t="shared" si="96"/>
        <v>0</v>
      </c>
      <c r="Q89" s="971">
        <f t="shared" si="96"/>
        <v>0</v>
      </c>
      <c r="R89" s="971">
        <f t="shared" si="96"/>
        <v>0</v>
      </c>
      <c r="S89" s="973">
        <f t="shared" si="96"/>
        <v>0</v>
      </c>
      <c r="T89" s="974">
        <f>ROUND(T31*T186/T23*(T95*COS(PI()*T100/180)+T186/T23),4)</f>
        <v>0</v>
      </c>
    </row>
    <row r="90" spans="1:20" ht="14.85" customHeight="1">
      <c r="A90" s="959" t="s">
        <v>609</v>
      </c>
      <c r="B90" s="1155">
        <f t="shared" ref="B90:I90" si="97">SUM(B87:B89)</f>
        <v>0</v>
      </c>
      <c r="C90" s="971">
        <f t="shared" si="97"/>
        <v>18.6511</v>
      </c>
      <c r="D90" s="971">
        <f t="shared" si="97"/>
        <v>0</v>
      </c>
      <c r="E90" s="971">
        <f t="shared" si="97"/>
        <v>0</v>
      </c>
      <c r="F90" s="971">
        <f t="shared" si="97"/>
        <v>0</v>
      </c>
      <c r="G90" s="971">
        <f t="shared" si="97"/>
        <v>0</v>
      </c>
      <c r="H90" s="971">
        <f t="shared" si="97"/>
        <v>0</v>
      </c>
      <c r="I90" s="971">
        <f t="shared" si="97"/>
        <v>0</v>
      </c>
      <c r="J90" s="972">
        <f>SUM(J87:J89)</f>
        <v>0</v>
      </c>
      <c r="K90" s="959" t="s">
        <v>609</v>
      </c>
      <c r="L90" s="1155">
        <f t="shared" ref="L90:S90" si="98">SUM(L87:L89)</f>
        <v>0</v>
      </c>
      <c r="M90" s="971">
        <f t="shared" si="98"/>
        <v>18.6511</v>
      </c>
      <c r="N90" s="971">
        <f t="shared" si="98"/>
        <v>0</v>
      </c>
      <c r="O90" s="971">
        <f t="shared" si="98"/>
        <v>0</v>
      </c>
      <c r="P90" s="971">
        <f t="shared" si="98"/>
        <v>0</v>
      </c>
      <c r="Q90" s="971">
        <f t="shared" si="98"/>
        <v>0</v>
      </c>
      <c r="R90" s="971">
        <f t="shared" si="98"/>
        <v>0</v>
      </c>
      <c r="S90" s="973">
        <f t="shared" si="98"/>
        <v>0</v>
      </c>
      <c r="T90" s="974">
        <f>SUM(T87:T89)</f>
        <v>0</v>
      </c>
    </row>
    <row r="91" spans="1:20" ht="14.85" customHeight="1">
      <c r="A91" s="959"/>
      <c r="B91" s="1155"/>
      <c r="C91" s="971"/>
      <c r="D91" s="971"/>
      <c r="E91" s="971"/>
      <c r="F91" s="971"/>
      <c r="G91" s="971"/>
      <c r="H91" s="971"/>
      <c r="I91" s="971"/>
      <c r="J91" s="972"/>
      <c r="K91" s="959"/>
      <c r="L91" s="1155"/>
      <c r="M91" s="971"/>
      <c r="N91" s="971"/>
      <c r="O91" s="971"/>
      <c r="P91" s="971"/>
      <c r="Q91" s="971"/>
      <c r="R91" s="971"/>
      <c r="S91" s="973"/>
      <c r="T91" s="974"/>
    </row>
    <row r="92" spans="1:20" ht="14.85" customHeight="1">
      <c r="A92" s="965" t="s">
        <v>610</v>
      </c>
      <c r="B92" s="1155"/>
      <c r="C92" s="971"/>
      <c r="D92" s="971"/>
      <c r="E92" s="971"/>
      <c r="F92" s="971"/>
      <c r="G92" s="971"/>
      <c r="H92" s="971"/>
      <c r="I92" s="971"/>
      <c r="J92" s="972"/>
      <c r="K92" s="965" t="s">
        <v>610</v>
      </c>
      <c r="L92" s="1155"/>
      <c r="M92" s="971"/>
      <c r="N92" s="971"/>
      <c r="O92" s="971"/>
      <c r="P92" s="971"/>
      <c r="Q92" s="971"/>
      <c r="R92" s="971"/>
      <c r="S92" s="973"/>
      <c r="T92" s="974"/>
    </row>
    <row r="93" spans="1:20" ht="14.85" customHeight="1">
      <c r="A93" s="959" t="s">
        <v>611</v>
      </c>
      <c r="B93" s="1163">
        <f t="shared" ref="B93:I93" si="99">IF(B110=0,0,ROUND(B182/B110,3))</f>
        <v>0</v>
      </c>
      <c r="C93" s="1005">
        <f t="shared" si="99"/>
        <v>30</v>
      </c>
      <c r="D93" s="1005">
        <f t="shared" si="99"/>
        <v>0</v>
      </c>
      <c r="E93" s="1005">
        <f t="shared" si="99"/>
        <v>0</v>
      </c>
      <c r="F93" s="1005">
        <f t="shared" si="99"/>
        <v>0</v>
      </c>
      <c r="G93" s="1005">
        <f t="shared" si="99"/>
        <v>0</v>
      </c>
      <c r="H93" s="1005">
        <f t="shared" si="99"/>
        <v>0</v>
      </c>
      <c r="I93" s="1005">
        <f t="shared" si="99"/>
        <v>0</v>
      </c>
      <c r="J93" s="1006">
        <f>IF(J110=0,0,ROUND(J182/J110,3))</f>
        <v>0</v>
      </c>
      <c r="K93" s="959" t="s">
        <v>611</v>
      </c>
      <c r="L93" s="1163">
        <f t="shared" ref="L93:S93" si="100">IF(L110=0,0,ROUND(L182/L110,3))</f>
        <v>0</v>
      </c>
      <c r="M93" s="1005">
        <f t="shared" si="100"/>
        <v>30</v>
      </c>
      <c r="N93" s="1005">
        <f t="shared" si="100"/>
        <v>0</v>
      </c>
      <c r="O93" s="1005">
        <f t="shared" si="100"/>
        <v>0</v>
      </c>
      <c r="P93" s="1005">
        <f t="shared" si="100"/>
        <v>0</v>
      </c>
      <c r="Q93" s="1005">
        <f t="shared" si="100"/>
        <v>0</v>
      </c>
      <c r="R93" s="1005">
        <f t="shared" si="100"/>
        <v>0</v>
      </c>
      <c r="S93" s="1007">
        <f t="shared" si="100"/>
        <v>0</v>
      </c>
      <c r="T93" s="1008">
        <f>IF(T110=0,0,ROUND(T182/T110,3))</f>
        <v>0</v>
      </c>
    </row>
    <row r="94" spans="1:20" ht="14.85" customHeight="1">
      <c r="A94" s="959" t="s">
        <v>612</v>
      </c>
      <c r="B94" s="1163">
        <f t="shared" ref="B94:I94" si="101">IF(B111=0,0,ROUND(B184/B111,3))</f>
        <v>0</v>
      </c>
      <c r="C94" s="1005">
        <f t="shared" si="101"/>
        <v>0</v>
      </c>
      <c r="D94" s="1005">
        <f t="shared" si="101"/>
        <v>0</v>
      </c>
      <c r="E94" s="1005">
        <f t="shared" si="101"/>
        <v>0</v>
      </c>
      <c r="F94" s="1005">
        <f t="shared" si="101"/>
        <v>0</v>
      </c>
      <c r="G94" s="1005">
        <f t="shared" si="101"/>
        <v>0</v>
      </c>
      <c r="H94" s="1005">
        <f t="shared" si="101"/>
        <v>0</v>
      </c>
      <c r="I94" s="1005">
        <f t="shared" si="101"/>
        <v>0</v>
      </c>
      <c r="J94" s="1006">
        <f>IF(J111=0,0,ROUND(J184/J111,3))</f>
        <v>0</v>
      </c>
      <c r="K94" s="959" t="s">
        <v>612</v>
      </c>
      <c r="L94" s="1163">
        <f t="shared" ref="L94:S94" si="102">IF(L111=0,0,ROUND(L184/L111,3))</f>
        <v>0</v>
      </c>
      <c r="M94" s="1005">
        <f t="shared" si="102"/>
        <v>0</v>
      </c>
      <c r="N94" s="1005">
        <f t="shared" si="102"/>
        <v>0</v>
      </c>
      <c r="O94" s="1005">
        <f t="shared" si="102"/>
        <v>0</v>
      </c>
      <c r="P94" s="1005">
        <f t="shared" si="102"/>
        <v>0</v>
      </c>
      <c r="Q94" s="1005">
        <f t="shared" si="102"/>
        <v>0</v>
      </c>
      <c r="R94" s="1005">
        <f t="shared" si="102"/>
        <v>0</v>
      </c>
      <c r="S94" s="1007">
        <f t="shared" si="102"/>
        <v>0</v>
      </c>
      <c r="T94" s="1008">
        <f>IF(T111=0,0,ROUND(T184/T111,3))</f>
        <v>0</v>
      </c>
    </row>
    <row r="95" spans="1:20" ht="14.85" customHeight="1">
      <c r="A95" s="959" t="s">
        <v>613</v>
      </c>
      <c r="B95" s="1163">
        <f>IF(B112=0,0,ROUND(B186/B112,3))</f>
        <v>0</v>
      </c>
      <c r="C95" s="1005">
        <f t="shared" ref="C95:I95" si="103">IF(C112=0,0,ROUND(C184/C112,3))</f>
        <v>0</v>
      </c>
      <c r="D95" s="1005">
        <f t="shared" si="103"/>
        <v>0</v>
      </c>
      <c r="E95" s="1005">
        <f t="shared" si="103"/>
        <v>0</v>
      </c>
      <c r="F95" s="1005">
        <f t="shared" si="103"/>
        <v>0</v>
      </c>
      <c r="G95" s="1005">
        <f t="shared" si="103"/>
        <v>0</v>
      </c>
      <c r="H95" s="1005">
        <f t="shared" si="103"/>
        <v>0</v>
      </c>
      <c r="I95" s="1005">
        <f t="shared" si="103"/>
        <v>0</v>
      </c>
      <c r="J95" s="1006">
        <f>IF(J112=0,0,ROUND(J184/J112,3))</f>
        <v>0</v>
      </c>
      <c r="K95" s="959" t="s">
        <v>613</v>
      </c>
      <c r="L95" s="1163">
        <f>IF(L112=0,0,ROUND(L186/L112,3))</f>
        <v>0</v>
      </c>
      <c r="M95" s="1005">
        <f t="shared" ref="M95:S95" si="104">IF(M112=0,0,ROUND(M184/M112,3))</f>
        <v>0</v>
      </c>
      <c r="N95" s="1005">
        <f t="shared" si="104"/>
        <v>0</v>
      </c>
      <c r="O95" s="1005">
        <f t="shared" si="104"/>
        <v>0</v>
      </c>
      <c r="P95" s="1005">
        <f t="shared" si="104"/>
        <v>0</v>
      </c>
      <c r="Q95" s="1005">
        <f t="shared" si="104"/>
        <v>0</v>
      </c>
      <c r="R95" s="1005">
        <f t="shared" si="104"/>
        <v>0</v>
      </c>
      <c r="S95" s="1007">
        <f t="shared" si="104"/>
        <v>0</v>
      </c>
      <c r="T95" s="1008">
        <f>IF(T112=0,0,ROUND(T184/T112,3))</f>
        <v>0</v>
      </c>
    </row>
    <row r="96" spans="1:20" ht="14.85" customHeight="1">
      <c r="A96" s="959" t="s">
        <v>614</v>
      </c>
      <c r="B96" s="1163">
        <f t="shared" ref="B96:I96" si="105">IF(B113=0,0,ROUND(B183/B113,3))</f>
        <v>0</v>
      </c>
      <c r="C96" s="1005">
        <f t="shared" si="105"/>
        <v>30</v>
      </c>
      <c r="D96" s="1005">
        <f t="shared" si="105"/>
        <v>0</v>
      </c>
      <c r="E96" s="1005">
        <f t="shared" si="105"/>
        <v>0</v>
      </c>
      <c r="F96" s="1005">
        <f t="shared" si="105"/>
        <v>0</v>
      </c>
      <c r="G96" s="1005">
        <f t="shared" si="105"/>
        <v>0</v>
      </c>
      <c r="H96" s="1005">
        <f t="shared" si="105"/>
        <v>0</v>
      </c>
      <c r="I96" s="1005">
        <f t="shared" si="105"/>
        <v>0</v>
      </c>
      <c r="J96" s="1006">
        <f>IF(J113=0,0,ROUND(J183/J113,3))</f>
        <v>0</v>
      </c>
      <c r="K96" s="959" t="s">
        <v>614</v>
      </c>
      <c r="L96" s="1163">
        <f t="shared" ref="L96:S96" si="106">IF(L113=0,0,ROUND(L183/L113,3))</f>
        <v>0</v>
      </c>
      <c r="M96" s="1005">
        <f t="shared" si="106"/>
        <v>30</v>
      </c>
      <c r="N96" s="1005">
        <f t="shared" si="106"/>
        <v>0</v>
      </c>
      <c r="O96" s="1005">
        <f t="shared" si="106"/>
        <v>0</v>
      </c>
      <c r="P96" s="1005">
        <f t="shared" si="106"/>
        <v>0</v>
      </c>
      <c r="Q96" s="1005">
        <f t="shared" si="106"/>
        <v>0</v>
      </c>
      <c r="R96" s="1005">
        <f t="shared" si="106"/>
        <v>0</v>
      </c>
      <c r="S96" s="1007">
        <f t="shared" si="106"/>
        <v>0</v>
      </c>
      <c r="T96" s="1008">
        <f>IF(T113=0,0,ROUND(T183/T113,3))</f>
        <v>0</v>
      </c>
    </row>
    <row r="97" spans="1:20" ht="14.85" customHeight="1">
      <c r="A97" s="959" t="s">
        <v>615</v>
      </c>
      <c r="B97" s="1163">
        <f t="shared" ref="B97:I97" si="107">IF(B114=0,0,ROUND(B185/B114,3))</f>
        <v>0</v>
      </c>
      <c r="C97" s="1005">
        <f t="shared" si="107"/>
        <v>0</v>
      </c>
      <c r="D97" s="1005">
        <f t="shared" si="107"/>
        <v>0</v>
      </c>
      <c r="E97" s="1005">
        <f t="shared" si="107"/>
        <v>0</v>
      </c>
      <c r="F97" s="1005">
        <f t="shared" si="107"/>
        <v>0</v>
      </c>
      <c r="G97" s="1005">
        <f t="shared" si="107"/>
        <v>0</v>
      </c>
      <c r="H97" s="1005">
        <f t="shared" si="107"/>
        <v>0</v>
      </c>
      <c r="I97" s="1005">
        <f t="shared" si="107"/>
        <v>0</v>
      </c>
      <c r="J97" s="1006">
        <f>IF(J114=0,0,ROUND(J185/J114,3))</f>
        <v>0</v>
      </c>
      <c r="K97" s="959" t="s">
        <v>615</v>
      </c>
      <c r="L97" s="1163">
        <f t="shared" ref="L97:S97" si="108">IF(L114=0,0,ROUND(L185/L114,3))</f>
        <v>0</v>
      </c>
      <c r="M97" s="1005">
        <f t="shared" si="108"/>
        <v>0</v>
      </c>
      <c r="N97" s="1005">
        <f t="shared" si="108"/>
        <v>0</v>
      </c>
      <c r="O97" s="1005">
        <f t="shared" si="108"/>
        <v>0</v>
      </c>
      <c r="P97" s="1005">
        <f t="shared" si="108"/>
        <v>0</v>
      </c>
      <c r="Q97" s="1005">
        <f t="shared" si="108"/>
        <v>0</v>
      </c>
      <c r="R97" s="1005">
        <f t="shared" si="108"/>
        <v>0</v>
      </c>
      <c r="S97" s="1007">
        <f t="shared" si="108"/>
        <v>0</v>
      </c>
      <c r="T97" s="1008">
        <f>IF(T114=0,0,ROUND(T185/T114,3))</f>
        <v>0</v>
      </c>
    </row>
    <row r="98" spans="1:20" ht="14.85" customHeight="1">
      <c r="A98" s="959" t="s">
        <v>616</v>
      </c>
      <c r="B98" s="1163">
        <f t="shared" ref="B98:I98" si="109">IF(B115=0,0,ROUND(B187/B115,3))</f>
        <v>0</v>
      </c>
      <c r="C98" s="1005">
        <f t="shared" si="109"/>
        <v>0</v>
      </c>
      <c r="D98" s="1005">
        <f t="shared" si="109"/>
        <v>0</v>
      </c>
      <c r="E98" s="1005">
        <f t="shared" si="109"/>
        <v>0</v>
      </c>
      <c r="F98" s="1005">
        <f t="shared" si="109"/>
        <v>0</v>
      </c>
      <c r="G98" s="1005">
        <f t="shared" si="109"/>
        <v>0</v>
      </c>
      <c r="H98" s="1005">
        <f t="shared" si="109"/>
        <v>0</v>
      </c>
      <c r="I98" s="1005">
        <f t="shared" si="109"/>
        <v>0</v>
      </c>
      <c r="J98" s="1006">
        <f>IF(J115=0,0,ROUND(J187/J115,3))</f>
        <v>0</v>
      </c>
      <c r="K98" s="959" t="s">
        <v>616</v>
      </c>
      <c r="L98" s="1163">
        <f t="shared" ref="L98:S98" si="110">IF(L115=0,0,ROUND(L187/L115,3))</f>
        <v>0</v>
      </c>
      <c r="M98" s="1005">
        <f t="shared" si="110"/>
        <v>0</v>
      </c>
      <c r="N98" s="1005">
        <f t="shared" si="110"/>
        <v>0</v>
      </c>
      <c r="O98" s="1005">
        <f t="shared" si="110"/>
        <v>0</v>
      </c>
      <c r="P98" s="1005">
        <f t="shared" si="110"/>
        <v>0</v>
      </c>
      <c r="Q98" s="1005">
        <f t="shared" si="110"/>
        <v>0</v>
      </c>
      <c r="R98" s="1005">
        <f t="shared" si="110"/>
        <v>0</v>
      </c>
      <c r="S98" s="1007">
        <f t="shared" si="110"/>
        <v>0</v>
      </c>
      <c r="T98" s="1008">
        <f>IF(T115=0,0,ROUND(T187/T115,3))</f>
        <v>0</v>
      </c>
    </row>
    <row r="99" spans="1:20" ht="14.85" customHeight="1">
      <c r="A99" s="959"/>
      <c r="B99" s="1163"/>
      <c r="C99" s="1005"/>
      <c r="D99" s="1005"/>
      <c r="E99" s="1005"/>
      <c r="F99" s="1005"/>
      <c r="G99" s="1005"/>
      <c r="H99" s="1005"/>
      <c r="I99" s="1005"/>
      <c r="J99" s="1006"/>
      <c r="K99" s="959"/>
      <c r="L99" s="1163"/>
      <c r="M99" s="1005"/>
      <c r="N99" s="1005"/>
      <c r="O99" s="1005"/>
      <c r="P99" s="1005"/>
      <c r="Q99" s="1005"/>
      <c r="R99" s="1005"/>
      <c r="S99" s="1007"/>
      <c r="T99" s="1008"/>
    </row>
    <row r="100" spans="1:20" s="947" customFormat="1" ht="14.85" customHeight="1">
      <c r="A100" s="965" t="s">
        <v>617</v>
      </c>
      <c r="B100" s="1164">
        <v>5</v>
      </c>
      <c r="C100" s="1009">
        <f t="shared" ref="C100:J100" si="111">B100</f>
        <v>5</v>
      </c>
      <c r="D100" s="1009">
        <f t="shared" si="111"/>
        <v>5</v>
      </c>
      <c r="E100" s="1009">
        <f t="shared" si="111"/>
        <v>5</v>
      </c>
      <c r="F100" s="1009">
        <f t="shared" si="111"/>
        <v>5</v>
      </c>
      <c r="G100" s="1009">
        <f t="shared" si="111"/>
        <v>5</v>
      </c>
      <c r="H100" s="1009">
        <f t="shared" si="111"/>
        <v>5</v>
      </c>
      <c r="I100" s="1009">
        <f t="shared" si="111"/>
        <v>5</v>
      </c>
      <c r="J100" s="1010">
        <f t="shared" si="111"/>
        <v>5</v>
      </c>
      <c r="K100" s="965" t="s">
        <v>618</v>
      </c>
      <c r="L100" s="1172">
        <v>5</v>
      </c>
      <c r="M100" s="1009">
        <f t="shared" ref="M100:T100" si="112">L100</f>
        <v>5</v>
      </c>
      <c r="N100" s="1009">
        <f t="shared" si="112"/>
        <v>5</v>
      </c>
      <c r="O100" s="1009">
        <f t="shared" si="112"/>
        <v>5</v>
      </c>
      <c r="P100" s="1009">
        <f t="shared" si="112"/>
        <v>5</v>
      </c>
      <c r="Q100" s="1009">
        <f t="shared" si="112"/>
        <v>5</v>
      </c>
      <c r="R100" s="1009">
        <f t="shared" si="112"/>
        <v>5</v>
      </c>
      <c r="S100" s="1012">
        <f t="shared" si="112"/>
        <v>5</v>
      </c>
      <c r="T100" s="1013">
        <f t="shared" si="112"/>
        <v>5</v>
      </c>
    </row>
    <row r="101" spans="1:20" ht="14.85" customHeight="1">
      <c r="A101" s="965"/>
      <c r="B101" s="1165"/>
      <c r="C101" s="1009"/>
      <c r="D101" s="1009"/>
      <c r="E101" s="1009"/>
      <c r="F101" s="1009"/>
      <c r="G101" s="1009"/>
      <c r="H101" s="1009"/>
      <c r="I101" s="1009"/>
      <c r="J101" s="1010"/>
      <c r="K101" s="965"/>
      <c r="L101" s="1165"/>
      <c r="M101" s="1009"/>
      <c r="N101" s="1009"/>
      <c r="O101" s="1009"/>
      <c r="P101" s="1009"/>
      <c r="Q101" s="1009"/>
      <c r="R101" s="1009"/>
      <c r="S101" s="1012"/>
      <c r="T101" s="1013"/>
    </row>
    <row r="102" spans="1:20" s="947" customFormat="1" ht="14.85" customHeight="1">
      <c r="A102" s="965" t="s">
        <v>619</v>
      </c>
      <c r="B102" s="1164">
        <v>30</v>
      </c>
      <c r="C102" s="1009">
        <f t="shared" ref="C102:J102" si="113">B102</f>
        <v>30</v>
      </c>
      <c r="D102" s="1009">
        <f t="shared" si="113"/>
        <v>30</v>
      </c>
      <c r="E102" s="1009">
        <f t="shared" si="113"/>
        <v>30</v>
      </c>
      <c r="F102" s="1009">
        <f t="shared" si="113"/>
        <v>30</v>
      </c>
      <c r="G102" s="1009">
        <f t="shared" si="113"/>
        <v>30</v>
      </c>
      <c r="H102" s="1009">
        <f t="shared" si="113"/>
        <v>30</v>
      </c>
      <c r="I102" s="1009">
        <f t="shared" si="113"/>
        <v>30</v>
      </c>
      <c r="J102" s="1010">
        <f t="shared" si="113"/>
        <v>30</v>
      </c>
      <c r="K102" s="965" t="s">
        <v>619</v>
      </c>
      <c r="L102" s="1172">
        <v>30</v>
      </c>
      <c r="M102" s="1009">
        <f t="shared" ref="M102:T102" si="114">L102</f>
        <v>30</v>
      </c>
      <c r="N102" s="1009">
        <f t="shared" si="114"/>
        <v>30</v>
      </c>
      <c r="O102" s="1009">
        <f t="shared" si="114"/>
        <v>30</v>
      </c>
      <c r="P102" s="1009">
        <f t="shared" si="114"/>
        <v>30</v>
      </c>
      <c r="Q102" s="1009">
        <f t="shared" si="114"/>
        <v>30</v>
      </c>
      <c r="R102" s="1009">
        <f t="shared" si="114"/>
        <v>30</v>
      </c>
      <c r="S102" s="1012">
        <f t="shared" si="114"/>
        <v>30</v>
      </c>
      <c r="T102" s="1013">
        <f t="shared" si="114"/>
        <v>30</v>
      </c>
    </row>
    <row r="103" spans="1:20" ht="14.85" customHeight="1">
      <c r="A103" s="965"/>
      <c r="B103" s="1165"/>
      <c r="C103" s="1009"/>
      <c r="D103" s="1009"/>
      <c r="E103" s="1009"/>
      <c r="F103" s="1009"/>
      <c r="G103" s="1009"/>
      <c r="H103" s="1009"/>
      <c r="I103" s="1009"/>
      <c r="J103" s="1010"/>
      <c r="K103" s="965"/>
      <c r="L103" s="1165"/>
      <c r="M103" s="1009"/>
      <c r="N103" s="1009"/>
      <c r="O103" s="1009"/>
      <c r="P103" s="1009"/>
      <c r="Q103" s="1009"/>
      <c r="R103" s="1009"/>
      <c r="S103" s="1012"/>
      <c r="T103" s="1013"/>
    </row>
    <row r="104" spans="1:20" ht="14.85" customHeight="1">
      <c r="A104" s="965" t="s">
        <v>620</v>
      </c>
      <c r="B104" s="1165"/>
      <c r="C104" s="1009"/>
      <c r="D104" s="1009"/>
      <c r="E104" s="1009"/>
      <c r="F104" s="1009"/>
      <c r="G104" s="1009"/>
      <c r="H104" s="1009"/>
      <c r="I104" s="1009"/>
      <c r="J104" s="1010"/>
      <c r="K104" s="965" t="s">
        <v>620</v>
      </c>
      <c r="L104" s="1165"/>
      <c r="M104" s="1009"/>
      <c r="N104" s="1009"/>
      <c r="O104" s="1009"/>
      <c r="P104" s="1009"/>
      <c r="Q104" s="1009"/>
      <c r="R104" s="1009"/>
      <c r="S104" s="1012"/>
      <c r="T104" s="1013"/>
    </row>
    <row r="105" spans="1:20" ht="14.85" customHeight="1">
      <c r="A105" s="959" t="s">
        <v>621</v>
      </c>
      <c r="B105" s="1166">
        <f t="shared" ref="B105:I105" si="115">IF(B172=0,0,IF(B102=0,0,IF(B102&gt;0,ROUND(B175/B102,2))))</f>
        <v>0</v>
      </c>
      <c r="C105" s="1009">
        <f t="shared" si="115"/>
        <v>0</v>
      </c>
      <c r="D105" s="1009">
        <f t="shared" si="115"/>
        <v>0</v>
      </c>
      <c r="E105" s="1009">
        <f t="shared" si="115"/>
        <v>0</v>
      </c>
      <c r="F105" s="1009">
        <f t="shared" si="115"/>
        <v>0</v>
      </c>
      <c r="G105" s="1009">
        <f t="shared" si="115"/>
        <v>0</v>
      </c>
      <c r="H105" s="1009">
        <f t="shared" si="115"/>
        <v>0</v>
      </c>
      <c r="I105" s="1009">
        <f t="shared" si="115"/>
        <v>0</v>
      </c>
      <c r="J105" s="1010">
        <f>IF(J172=0,0,IF(J102=0,0,IF(J102&gt;0,ROUND(J175/J102,2))))</f>
        <v>0</v>
      </c>
      <c r="K105" s="959" t="s">
        <v>621</v>
      </c>
      <c r="L105" s="1166">
        <f t="shared" ref="L105:S105" si="116">IF(L172=0,0,IF(L102=0,0,IF(L102&gt;0,ROUND(L175/L102,2))))</f>
        <v>0</v>
      </c>
      <c r="M105" s="1009">
        <f t="shared" si="116"/>
        <v>0</v>
      </c>
      <c r="N105" s="1009">
        <f t="shared" si="116"/>
        <v>0</v>
      </c>
      <c r="O105" s="1009">
        <f t="shared" si="116"/>
        <v>0</v>
      </c>
      <c r="P105" s="1009">
        <f t="shared" si="116"/>
        <v>0</v>
      </c>
      <c r="Q105" s="1009">
        <f t="shared" si="116"/>
        <v>0</v>
      </c>
      <c r="R105" s="1009">
        <f t="shared" si="116"/>
        <v>0</v>
      </c>
      <c r="S105" s="1012">
        <f t="shared" si="116"/>
        <v>0</v>
      </c>
      <c r="T105" s="1013">
        <f>IF(T172=0,0,IF(T102=0,0,IF(T102&gt;0,ROUND(T175/T102,2))))</f>
        <v>0</v>
      </c>
    </row>
    <row r="106" spans="1:20" ht="14.85" customHeight="1">
      <c r="A106" s="959" t="s">
        <v>622</v>
      </c>
      <c r="B106" s="1166">
        <f t="shared" ref="B106:I106" si="117">IF(B172=0,0,IF(B102=0,0,IF(B102&gt;0,ROUND(B176/B102,2))))</f>
        <v>0</v>
      </c>
      <c r="C106" s="1009">
        <f t="shared" si="117"/>
        <v>0</v>
      </c>
      <c r="D106" s="1009">
        <f t="shared" si="117"/>
        <v>0</v>
      </c>
      <c r="E106" s="1009">
        <f t="shared" si="117"/>
        <v>0</v>
      </c>
      <c r="F106" s="1009">
        <f t="shared" si="117"/>
        <v>0</v>
      </c>
      <c r="G106" s="1009">
        <f t="shared" si="117"/>
        <v>0</v>
      </c>
      <c r="H106" s="1009">
        <f t="shared" si="117"/>
        <v>0</v>
      </c>
      <c r="I106" s="1009">
        <f t="shared" si="117"/>
        <v>0</v>
      </c>
      <c r="J106" s="1010">
        <f>IF(J172=0,0,IF(J102=0,0,IF(J102&gt;0,ROUND(J176/J102,2))))</f>
        <v>0</v>
      </c>
      <c r="K106" s="959" t="s">
        <v>622</v>
      </c>
      <c r="L106" s="1166">
        <f t="shared" ref="L106:S106" si="118">IF(L172=0,0,IF(L102=0,0,IF(L102&gt;0,ROUND(L176/L102,2))))</f>
        <v>0</v>
      </c>
      <c r="M106" s="1009">
        <f t="shared" si="118"/>
        <v>0</v>
      </c>
      <c r="N106" s="1009">
        <f t="shared" si="118"/>
        <v>0</v>
      </c>
      <c r="O106" s="1009">
        <f t="shared" si="118"/>
        <v>0</v>
      </c>
      <c r="P106" s="1009">
        <f t="shared" si="118"/>
        <v>0</v>
      </c>
      <c r="Q106" s="1009">
        <f t="shared" si="118"/>
        <v>0</v>
      </c>
      <c r="R106" s="1009">
        <f t="shared" si="118"/>
        <v>0</v>
      </c>
      <c r="S106" s="1012">
        <f t="shared" si="118"/>
        <v>0</v>
      </c>
      <c r="T106" s="1013">
        <f>IF(T172=0,0,IF(T102=0,0,IF(T102&gt;0,ROUND(T176/T102,2))))</f>
        <v>0</v>
      </c>
    </row>
    <row r="107" spans="1:20" ht="14.85" customHeight="1">
      <c r="A107" s="959" t="s">
        <v>623</v>
      </c>
      <c r="B107" s="1166">
        <f t="shared" ref="B107:I107" si="119">IF(B172=0,0,IF(B102=0,0,IF(B102&gt;0,ROUND(B177/B102,2))))</f>
        <v>0</v>
      </c>
      <c r="C107" s="1009">
        <f t="shared" si="119"/>
        <v>0</v>
      </c>
      <c r="D107" s="1009">
        <f t="shared" si="119"/>
        <v>0</v>
      </c>
      <c r="E107" s="1009">
        <f t="shared" si="119"/>
        <v>0</v>
      </c>
      <c r="F107" s="1009">
        <f t="shared" si="119"/>
        <v>0</v>
      </c>
      <c r="G107" s="1009">
        <f t="shared" si="119"/>
        <v>0</v>
      </c>
      <c r="H107" s="1009">
        <f t="shared" si="119"/>
        <v>0</v>
      </c>
      <c r="I107" s="1009">
        <f t="shared" si="119"/>
        <v>0</v>
      </c>
      <c r="J107" s="1010">
        <f>IF(J172=0,0,IF(J102=0,0,IF(J102&gt;0,ROUND(J177/J102,2))))</f>
        <v>0</v>
      </c>
      <c r="K107" s="959" t="s">
        <v>623</v>
      </c>
      <c r="L107" s="1166">
        <f t="shared" ref="L107:S107" si="120">IF(L172=0,0,IF(L102=0,0,IF(L102&gt;0,ROUND(L177/L102,2))))</f>
        <v>0</v>
      </c>
      <c r="M107" s="1009">
        <f t="shared" si="120"/>
        <v>0</v>
      </c>
      <c r="N107" s="1009">
        <f t="shared" si="120"/>
        <v>0</v>
      </c>
      <c r="O107" s="1009">
        <f t="shared" si="120"/>
        <v>0</v>
      </c>
      <c r="P107" s="1009">
        <f t="shared" si="120"/>
        <v>0</v>
      </c>
      <c r="Q107" s="1009">
        <f t="shared" si="120"/>
        <v>0</v>
      </c>
      <c r="R107" s="1009">
        <f t="shared" si="120"/>
        <v>0</v>
      </c>
      <c r="S107" s="1012">
        <f t="shared" si="120"/>
        <v>0</v>
      </c>
      <c r="T107" s="1013">
        <f>IF(T172=0,0,IF(T102=0,0,IF(T102&gt;0,ROUND(T177/T102,2))))</f>
        <v>0</v>
      </c>
    </row>
    <row r="108" spans="1:20" ht="14.85" customHeight="1">
      <c r="A108" s="959"/>
      <c r="B108" s="1166"/>
      <c r="C108" s="1009"/>
      <c r="D108" s="1009"/>
      <c r="E108" s="1009"/>
      <c r="F108" s="1009"/>
      <c r="G108" s="1009"/>
      <c r="H108" s="1009"/>
      <c r="I108" s="1009"/>
      <c r="J108" s="1010"/>
      <c r="K108" s="959"/>
      <c r="L108" s="1166"/>
      <c r="M108" s="1009"/>
      <c r="N108" s="1009"/>
      <c r="O108" s="1009"/>
      <c r="P108" s="1009"/>
      <c r="Q108" s="1009"/>
      <c r="R108" s="1009"/>
      <c r="S108" s="1012"/>
      <c r="T108" s="1013"/>
    </row>
    <row r="109" spans="1:20" ht="14.85" customHeight="1">
      <c r="A109" s="965" t="s">
        <v>624</v>
      </c>
      <c r="B109" s="1166"/>
      <c r="C109" s="1009"/>
      <c r="D109" s="1009"/>
      <c r="E109" s="1009"/>
      <c r="F109" s="1009"/>
      <c r="G109" s="1009"/>
      <c r="H109" s="1009"/>
      <c r="I109" s="1009"/>
      <c r="J109" s="1010"/>
      <c r="K109" s="965" t="s">
        <v>624</v>
      </c>
      <c r="L109" s="1166"/>
      <c r="M109" s="1009"/>
      <c r="N109" s="1009"/>
      <c r="O109" s="1009"/>
      <c r="P109" s="1009"/>
      <c r="Q109" s="1009"/>
      <c r="R109" s="1009"/>
      <c r="S109" s="1012"/>
      <c r="T109" s="1013"/>
    </row>
    <row r="110" spans="1:20" ht="14.85" customHeight="1">
      <c r="A110" s="959" t="s">
        <v>625</v>
      </c>
      <c r="B110" s="1167">
        <f>ROUNDUP(MAX(B182:I182)/30,2)</f>
        <v>1</v>
      </c>
      <c r="C110" s="1014">
        <f t="shared" ref="C110:J115" si="121">B110</f>
        <v>1</v>
      </c>
      <c r="D110" s="1014">
        <f t="shared" si="121"/>
        <v>1</v>
      </c>
      <c r="E110" s="1014">
        <f t="shared" si="121"/>
        <v>1</v>
      </c>
      <c r="F110" s="1014">
        <f t="shared" si="121"/>
        <v>1</v>
      </c>
      <c r="G110" s="1014">
        <f t="shared" si="121"/>
        <v>1</v>
      </c>
      <c r="H110" s="1014">
        <f t="shared" si="121"/>
        <v>1</v>
      </c>
      <c r="I110" s="1014">
        <f t="shared" si="121"/>
        <v>1</v>
      </c>
      <c r="J110" s="1015">
        <f t="shared" si="121"/>
        <v>1</v>
      </c>
      <c r="K110" s="959" t="s">
        <v>625</v>
      </c>
      <c r="L110" s="1167">
        <f>ROUNDUP(MAX(L182:S182)/30,2)</f>
        <v>1</v>
      </c>
      <c r="M110" s="1014">
        <f t="shared" ref="M110:T115" si="122">L110</f>
        <v>1</v>
      </c>
      <c r="N110" s="1014">
        <f t="shared" si="122"/>
        <v>1</v>
      </c>
      <c r="O110" s="1014">
        <f t="shared" si="122"/>
        <v>1</v>
      </c>
      <c r="P110" s="1014">
        <f t="shared" si="122"/>
        <v>1</v>
      </c>
      <c r="Q110" s="1014">
        <f t="shared" si="122"/>
        <v>1</v>
      </c>
      <c r="R110" s="1014">
        <f t="shared" si="122"/>
        <v>1</v>
      </c>
      <c r="S110" s="1016">
        <f t="shared" si="122"/>
        <v>1</v>
      </c>
      <c r="T110" s="1017">
        <f t="shared" si="122"/>
        <v>1</v>
      </c>
    </row>
    <row r="111" spans="1:20" ht="14.85" customHeight="1">
      <c r="A111" s="959" t="s">
        <v>626</v>
      </c>
      <c r="B111" s="1167">
        <f>ROUNDUP(MAX(B184:I184)/30,2)</f>
        <v>0</v>
      </c>
      <c r="C111" s="1014">
        <f t="shared" si="121"/>
        <v>0</v>
      </c>
      <c r="D111" s="1014">
        <f t="shared" si="121"/>
        <v>0</v>
      </c>
      <c r="E111" s="1014">
        <f t="shared" si="121"/>
        <v>0</v>
      </c>
      <c r="F111" s="1014">
        <f t="shared" si="121"/>
        <v>0</v>
      </c>
      <c r="G111" s="1014">
        <f t="shared" si="121"/>
        <v>0</v>
      </c>
      <c r="H111" s="1014">
        <f t="shared" si="121"/>
        <v>0</v>
      </c>
      <c r="I111" s="1014">
        <f t="shared" si="121"/>
        <v>0</v>
      </c>
      <c r="J111" s="1015">
        <f t="shared" si="121"/>
        <v>0</v>
      </c>
      <c r="K111" s="959" t="s">
        <v>626</v>
      </c>
      <c r="L111" s="1167">
        <f>ROUNDUP(MAX(L184:S184)/30,2)</f>
        <v>0</v>
      </c>
      <c r="M111" s="1014">
        <f t="shared" si="122"/>
        <v>0</v>
      </c>
      <c r="N111" s="1014">
        <f t="shared" si="122"/>
        <v>0</v>
      </c>
      <c r="O111" s="1014">
        <f t="shared" si="122"/>
        <v>0</v>
      </c>
      <c r="P111" s="1014">
        <f t="shared" si="122"/>
        <v>0</v>
      </c>
      <c r="Q111" s="1014">
        <f t="shared" si="122"/>
        <v>0</v>
      </c>
      <c r="R111" s="1014">
        <f t="shared" si="122"/>
        <v>0</v>
      </c>
      <c r="S111" s="1016">
        <f t="shared" si="122"/>
        <v>0</v>
      </c>
      <c r="T111" s="1017">
        <f t="shared" si="122"/>
        <v>0</v>
      </c>
    </row>
    <row r="112" spans="1:20" ht="14.85" customHeight="1">
      <c r="A112" s="959" t="s">
        <v>627</v>
      </c>
      <c r="B112" s="1167">
        <f>ROUNDUP(MAX(B186:I186)/30,2)</f>
        <v>0</v>
      </c>
      <c r="C112" s="1014">
        <f t="shared" si="121"/>
        <v>0</v>
      </c>
      <c r="D112" s="1014">
        <f t="shared" si="121"/>
        <v>0</v>
      </c>
      <c r="E112" s="1014">
        <f t="shared" si="121"/>
        <v>0</v>
      </c>
      <c r="F112" s="1014">
        <f t="shared" si="121"/>
        <v>0</v>
      </c>
      <c r="G112" s="1014">
        <f t="shared" si="121"/>
        <v>0</v>
      </c>
      <c r="H112" s="1014">
        <f t="shared" si="121"/>
        <v>0</v>
      </c>
      <c r="I112" s="1014">
        <f t="shared" si="121"/>
        <v>0</v>
      </c>
      <c r="J112" s="1015">
        <f t="shared" si="121"/>
        <v>0</v>
      </c>
      <c r="K112" s="959" t="s">
        <v>627</v>
      </c>
      <c r="L112" s="1167">
        <f>ROUNDUP(MAX(L186:S186)/30,2)</f>
        <v>0</v>
      </c>
      <c r="M112" s="1014">
        <f t="shared" si="122"/>
        <v>0</v>
      </c>
      <c r="N112" s="1014">
        <f t="shared" si="122"/>
        <v>0</v>
      </c>
      <c r="O112" s="1014">
        <f t="shared" si="122"/>
        <v>0</v>
      </c>
      <c r="P112" s="1014">
        <f t="shared" si="122"/>
        <v>0</v>
      </c>
      <c r="Q112" s="1014">
        <f t="shared" si="122"/>
        <v>0</v>
      </c>
      <c r="R112" s="1014">
        <f t="shared" si="122"/>
        <v>0</v>
      </c>
      <c r="S112" s="1016">
        <f t="shared" si="122"/>
        <v>0</v>
      </c>
      <c r="T112" s="1017">
        <f t="shared" si="122"/>
        <v>0</v>
      </c>
    </row>
    <row r="113" spans="1:20" ht="14.85" customHeight="1">
      <c r="A113" s="959" t="s">
        <v>628</v>
      </c>
      <c r="B113" s="1167">
        <f>ROUNDUP(MAX(B183:I183)/30,2)</f>
        <v>1</v>
      </c>
      <c r="C113" s="1014">
        <f t="shared" si="121"/>
        <v>1</v>
      </c>
      <c r="D113" s="1014">
        <f t="shared" si="121"/>
        <v>1</v>
      </c>
      <c r="E113" s="1014">
        <f t="shared" si="121"/>
        <v>1</v>
      </c>
      <c r="F113" s="1014">
        <f t="shared" si="121"/>
        <v>1</v>
      </c>
      <c r="G113" s="1014">
        <f t="shared" si="121"/>
        <v>1</v>
      </c>
      <c r="H113" s="1014">
        <f t="shared" si="121"/>
        <v>1</v>
      </c>
      <c r="I113" s="1014">
        <f t="shared" si="121"/>
        <v>1</v>
      </c>
      <c r="J113" s="1015">
        <f t="shared" si="121"/>
        <v>1</v>
      </c>
      <c r="K113" s="959" t="s">
        <v>628</v>
      </c>
      <c r="L113" s="1167">
        <f>ROUNDUP(MAX(L183:S183)/30,2)</f>
        <v>1</v>
      </c>
      <c r="M113" s="1014">
        <f t="shared" si="122"/>
        <v>1</v>
      </c>
      <c r="N113" s="1014">
        <f t="shared" si="122"/>
        <v>1</v>
      </c>
      <c r="O113" s="1014">
        <f t="shared" si="122"/>
        <v>1</v>
      </c>
      <c r="P113" s="1014">
        <f t="shared" si="122"/>
        <v>1</v>
      </c>
      <c r="Q113" s="1014">
        <f t="shared" si="122"/>
        <v>1</v>
      </c>
      <c r="R113" s="1014">
        <f t="shared" si="122"/>
        <v>1</v>
      </c>
      <c r="S113" s="1016">
        <f t="shared" si="122"/>
        <v>1</v>
      </c>
      <c r="T113" s="1017">
        <f t="shared" si="122"/>
        <v>1</v>
      </c>
    </row>
    <row r="114" spans="1:20" ht="14.85" customHeight="1">
      <c r="A114" s="959" t="s">
        <v>629</v>
      </c>
      <c r="B114" s="1167">
        <f>ROUNDUP(MAX(B185:I185)/30,2)</f>
        <v>0</v>
      </c>
      <c r="C114" s="1014">
        <f t="shared" si="121"/>
        <v>0</v>
      </c>
      <c r="D114" s="1014">
        <f t="shared" si="121"/>
        <v>0</v>
      </c>
      <c r="E114" s="1014">
        <f t="shared" si="121"/>
        <v>0</v>
      </c>
      <c r="F114" s="1014">
        <f t="shared" si="121"/>
        <v>0</v>
      </c>
      <c r="G114" s="1014">
        <f t="shared" si="121"/>
        <v>0</v>
      </c>
      <c r="H114" s="1014">
        <f t="shared" si="121"/>
        <v>0</v>
      </c>
      <c r="I114" s="1014">
        <f t="shared" si="121"/>
        <v>0</v>
      </c>
      <c r="J114" s="1015">
        <f t="shared" si="121"/>
        <v>0</v>
      </c>
      <c r="K114" s="959" t="s">
        <v>629</v>
      </c>
      <c r="L114" s="1167">
        <f>ROUNDUP(MAX(L185:S185)/30,2)</f>
        <v>0</v>
      </c>
      <c r="M114" s="1014">
        <f t="shared" si="122"/>
        <v>0</v>
      </c>
      <c r="N114" s="1014">
        <f t="shared" si="122"/>
        <v>0</v>
      </c>
      <c r="O114" s="1014">
        <f t="shared" si="122"/>
        <v>0</v>
      </c>
      <c r="P114" s="1014">
        <f t="shared" si="122"/>
        <v>0</v>
      </c>
      <c r="Q114" s="1014">
        <f t="shared" si="122"/>
        <v>0</v>
      </c>
      <c r="R114" s="1014">
        <f t="shared" si="122"/>
        <v>0</v>
      </c>
      <c r="S114" s="1016">
        <f t="shared" si="122"/>
        <v>0</v>
      </c>
      <c r="T114" s="1017">
        <f t="shared" si="122"/>
        <v>0</v>
      </c>
    </row>
    <row r="115" spans="1:20" ht="14.85" customHeight="1">
      <c r="A115" s="959" t="s">
        <v>630</v>
      </c>
      <c r="B115" s="1167">
        <f>ROUNDUP(MAX(B187:I187)/30,2)</f>
        <v>0</v>
      </c>
      <c r="C115" s="1014">
        <f t="shared" si="121"/>
        <v>0</v>
      </c>
      <c r="D115" s="1014">
        <f t="shared" si="121"/>
        <v>0</v>
      </c>
      <c r="E115" s="1014">
        <f t="shared" si="121"/>
        <v>0</v>
      </c>
      <c r="F115" s="1014">
        <f t="shared" si="121"/>
        <v>0</v>
      </c>
      <c r="G115" s="1014">
        <f t="shared" si="121"/>
        <v>0</v>
      </c>
      <c r="H115" s="1014">
        <f t="shared" si="121"/>
        <v>0</v>
      </c>
      <c r="I115" s="1014">
        <f t="shared" si="121"/>
        <v>0</v>
      </c>
      <c r="J115" s="1015">
        <f t="shared" si="121"/>
        <v>0</v>
      </c>
      <c r="K115" s="959" t="s">
        <v>630</v>
      </c>
      <c r="L115" s="1167">
        <f>ROUNDUP(MAX(L187:S187)/30,2)</f>
        <v>0</v>
      </c>
      <c r="M115" s="1014">
        <f t="shared" si="122"/>
        <v>0</v>
      </c>
      <c r="N115" s="1014">
        <f t="shared" si="122"/>
        <v>0</v>
      </c>
      <c r="O115" s="1014">
        <f t="shared" si="122"/>
        <v>0</v>
      </c>
      <c r="P115" s="1014">
        <f t="shared" si="122"/>
        <v>0</v>
      </c>
      <c r="Q115" s="1014">
        <f t="shared" si="122"/>
        <v>0</v>
      </c>
      <c r="R115" s="1014">
        <f t="shared" si="122"/>
        <v>0</v>
      </c>
      <c r="S115" s="1016">
        <f t="shared" si="122"/>
        <v>0</v>
      </c>
      <c r="T115" s="1017">
        <f t="shared" si="122"/>
        <v>0</v>
      </c>
    </row>
    <row r="116" spans="1:20" ht="14.85" customHeight="1" thickBot="1">
      <c r="A116" s="987"/>
      <c r="B116" s="1168"/>
      <c r="C116" s="1018"/>
      <c r="D116" s="1018"/>
      <c r="E116" s="1018"/>
      <c r="F116" s="1018"/>
      <c r="G116" s="1018"/>
      <c r="H116" s="1018"/>
      <c r="I116" s="1018"/>
      <c r="J116" s="1019"/>
      <c r="K116" s="987"/>
      <c r="L116" s="1168"/>
      <c r="M116" s="1018"/>
      <c r="N116" s="1018"/>
      <c r="O116" s="1018"/>
      <c r="P116" s="1018"/>
      <c r="Q116" s="1018"/>
      <c r="R116" s="1018"/>
      <c r="S116" s="1020"/>
      <c r="T116" s="1021"/>
    </row>
    <row r="117" spans="1:20" ht="14.85" customHeight="1">
      <c r="I117" s="1022"/>
    </row>
    <row r="118" spans="1:20" ht="14.85" customHeight="1" thickBot="1">
      <c r="I118" s="1022"/>
    </row>
    <row r="119" spans="1:20" ht="14.85" customHeight="1">
      <c r="A119" s="992" t="s">
        <v>631</v>
      </c>
      <c r="B119" s="1170"/>
      <c r="C119" s="1023"/>
      <c r="D119" s="1023"/>
      <c r="E119" s="1023"/>
      <c r="F119" s="1023"/>
      <c r="G119" s="1023"/>
      <c r="H119" s="1023"/>
      <c r="I119" s="1023"/>
      <c r="J119" s="1024"/>
      <c r="K119" s="992" t="s">
        <v>631</v>
      </c>
      <c r="L119" s="1170"/>
      <c r="M119" s="1023"/>
      <c r="N119" s="1023"/>
      <c r="O119" s="1023"/>
      <c r="P119" s="1023"/>
      <c r="Q119" s="1023"/>
      <c r="R119" s="1023"/>
      <c r="S119" s="1025"/>
      <c r="T119" s="1026"/>
    </row>
    <row r="120" spans="1:20" ht="14.85" customHeight="1">
      <c r="A120" s="965" t="s">
        <v>632</v>
      </c>
      <c r="B120" s="1166"/>
      <c r="C120" s="1009"/>
      <c r="D120" s="1009"/>
      <c r="E120" s="1009"/>
      <c r="F120" s="1009"/>
      <c r="G120" s="1009"/>
      <c r="H120" s="1009"/>
      <c r="I120" s="1009"/>
      <c r="J120" s="1010"/>
      <c r="K120" s="965" t="s">
        <v>632</v>
      </c>
      <c r="L120" s="1166"/>
      <c r="M120" s="1009"/>
      <c r="N120" s="1009"/>
      <c r="O120" s="1009"/>
      <c r="P120" s="1009"/>
      <c r="Q120" s="1009"/>
      <c r="R120" s="1009"/>
      <c r="S120" s="1012"/>
      <c r="T120" s="1013"/>
    </row>
    <row r="121" spans="1:20" ht="14.85" customHeight="1">
      <c r="A121" s="959" t="s">
        <v>633</v>
      </c>
      <c r="B121" s="1161">
        <f>ROUND(B53*(B216/$B$23)^2,4)</f>
        <v>-7.5200000000000003E-2</v>
      </c>
      <c r="C121" s="997">
        <f>ROUND(C53*(C216/$C$23)^2,4)</f>
        <v>-64.761399999999995</v>
      </c>
      <c r="D121" s="997">
        <f>ROUND(D53*(D216/$D$23)^2,4)</f>
        <v>-0.79410000000000003</v>
      </c>
      <c r="E121" s="997">
        <f>ROUND(E53*(E216/$E$23)^2,4)</f>
        <v>-3.1276999999999999</v>
      </c>
      <c r="F121" s="997">
        <f>ROUND(F53*(F216/$F$23)^2,4)</f>
        <v>-5.7558999999999996</v>
      </c>
      <c r="G121" s="997">
        <f>ROUND(G53*(G216/$G$23)^2,4)</f>
        <v>-8.7690000000000001</v>
      </c>
      <c r="H121" s="997">
        <f>ROUND(H53*(H216/$H$23)^2,4)</f>
        <v>-11.5596</v>
      </c>
      <c r="I121" s="997">
        <f>ROUND(I53*(I216/$I$23)^2,4)</f>
        <v>-14.9465</v>
      </c>
      <c r="J121" s="997">
        <f>ROUND(J53*(J216/$J$23)^2,4)</f>
        <v>-18.4132</v>
      </c>
      <c r="K121" s="959" t="s">
        <v>633</v>
      </c>
      <c r="L121" s="1161">
        <f>ROUND(L53*(L216/$L$23)^2,4)</f>
        <v>-1.3573</v>
      </c>
      <c r="M121" s="997">
        <f>ROUND(M53*(M216/$M$23)^2,4)</f>
        <v>-680.29229999999995</v>
      </c>
      <c r="N121" s="997">
        <f>ROUND(N53*(N216/$N$23)^2,4)</f>
        <v>-14.026300000000001</v>
      </c>
      <c r="O121" s="997">
        <f>ROUND(O53*(O216/$O$23)^2,4)</f>
        <v>-36.632199999999997</v>
      </c>
      <c r="P121" s="997">
        <f>ROUND(P53*(P216/$P$23)^2,4)</f>
        <v>-62.8063</v>
      </c>
      <c r="Q121" s="997">
        <f>ROUND(Q53*(Q216/$Q$23)^2,4)</f>
        <v>-92.745199999999997</v>
      </c>
      <c r="R121" s="997">
        <f>ROUND(R53*(R216/$R$23)^2,4)</f>
        <v>-121.0314</v>
      </c>
      <c r="S121" s="1027">
        <f>ROUND(S53*(S216/$S$23)^2,4)</f>
        <v>-152.25059999999999</v>
      </c>
      <c r="T121" s="1001">
        <f>ROUND(T53*(T216/$T$23)^2,4)</f>
        <v>-185.22309999999999</v>
      </c>
    </row>
    <row r="122" spans="1:20" ht="14.85" customHeight="1">
      <c r="A122" s="959" t="s">
        <v>634</v>
      </c>
      <c r="B122" s="1161">
        <f>ROUND(B54*(B217/$B$23)^2,4)</f>
        <v>0.33779999999999999</v>
      </c>
      <c r="C122" s="997">
        <f>ROUND(C54*(C217/$C$23)^2,4)</f>
        <v>290.98590000000002</v>
      </c>
      <c r="D122" s="997">
        <f>ROUND(D54*(D217/$D$23)^2,4)</f>
        <v>3.5680000000000001</v>
      </c>
      <c r="E122" s="997">
        <f>ROUND(E54*(E217/$E$23)^2,4)</f>
        <v>14.0532</v>
      </c>
      <c r="F122" s="997">
        <f>ROUND(F54*(F217/$F$23)^2,4)</f>
        <v>25.8626</v>
      </c>
      <c r="G122" s="997">
        <f>ROUND(G54*(G217/$G$23)^2,4)</f>
        <v>39.400599999999997</v>
      </c>
      <c r="H122" s="997">
        <f>ROUND(H54*(H217/$H$23)^2,4)</f>
        <v>51.939700000000002</v>
      </c>
      <c r="I122" s="997">
        <f>ROUND(I54*(I217/$I$23)^2,4)</f>
        <v>67.157399999999996</v>
      </c>
      <c r="J122" s="997">
        <f>ROUND(J54*(J217/$J$23)^2,4)</f>
        <v>82.734099999999998</v>
      </c>
      <c r="K122" s="959" t="s">
        <v>634</v>
      </c>
      <c r="L122" s="1161">
        <f>ROUND(L54*(L217/$L$23)^2,4)</f>
        <v>2.1038000000000001</v>
      </c>
      <c r="M122" s="997">
        <f>ROUND(M54*(M217/$M$23)^2,4)</f>
        <v>1047.6557</v>
      </c>
      <c r="N122" s="997">
        <f>ROUND(N54*(N217/$N$23)^2,4)</f>
        <v>21.6006</v>
      </c>
      <c r="O122" s="997">
        <f>ROUND(O54*(O217/$O$23)^2,4)</f>
        <v>56.414000000000001</v>
      </c>
      <c r="P122" s="997">
        <f>ROUND(P54*(P217/$P$23)^2,4)</f>
        <v>96.722200000000001</v>
      </c>
      <c r="Q122" s="997">
        <f>ROUND(Q54*(Q217/$Q$23)^2,4)</f>
        <v>142.82830000000001</v>
      </c>
      <c r="R122" s="997">
        <f>ROUND(R54*(R217/$R$23)^2,4)</f>
        <v>186.38939999999999</v>
      </c>
      <c r="S122" s="1027">
        <f>ROUND(S54*(S217/$S$23)^2,4)</f>
        <v>234.46719999999999</v>
      </c>
      <c r="T122" s="1001">
        <f>ROUND(T54*(T217/$T$23)^2,4)</f>
        <v>285.24509999999998</v>
      </c>
    </row>
    <row r="123" spans="1:20" ht="14.85" customHeight="1">
      <c r="A123" s="959" t="s">
        <v>635</v>
      </c>
      <c r="B123" s="1161">
        <f>ROUND(B55*(B218/$B$23)^2,4)</f>
        <v>0</v>
      </c>
      <c r="C123" s="997">
        <f>ROUND(C55*(C218/$C$23)^2,4)</f>
        <v>0</v>
      </c>
      <c r="D123" s="997">
        <f>ROUND(D55*(D218/$D$23)^2,4)</f>
        <v>0</v>
      </c>
      <c r="E123" s="997">
        <f>ROUND(E55*(E218/$E$23)^2,4)</f>
        <v>0</v>
      </c>
      <c r="F123" s="997">
        <f>ROUND(F55*(F218/$F$23)^2,4)</f>
        <v>0</v>
      </c>
      <c r="G123" s="997">
        <f>ROUND(G55*(G218/$G$23)^2,4)</f>
        <v>0</v>
      </c>
      <c r="H123" s="997">
        <f>ROUND(H55*(H218/$H$23)^2,4)</f>
        <v>0</v>
      </c>
      <c r="I123" s="997">
        <f>ROUND(I55*(I218/$I$23)^2,4)</f>
        <v>0</v>
      </c>
      <c r="J123" s="997">
        <f>ROUND(J55*(J218/$J$23)^2,4)</f>
        <v>0</v>
      </c>
      <c r="K123" s="959" t="s">
        <v>635</v>
      </c>
      <c r="L123" s="1161">
        <f>ROUND(L55*(L218/$L$23)^2,4)</f>
        <v>0</v>
      </c>
      <c r="M123" s="997">
        <f>ROUND(M55*(M218/$M$23)^2,4)</f>
        <v>0</v>
      </c>
      <c r="N123" s="997">
        <f>ROUND(N55*(N218/$N$23)^2,4)</f>
        <v>0</v>
      </c>
      <c r="O123" s="997">
        <f>ROUND(O55*(O218/$O$23)^2,4)</f>
        <v>0</v>
      </c>
      <c r="P123" s="997">
        <f>ROUND(P55*(P218/$P$23)^2,4)</f>
        <v>0</v>
      </c>
      <c r="Q123" s="997">
        <f>ROUND(Q55*(Q218/$Q$23)^2,4)</f>
        <v>0</v>
      </c>
      <c r="R123" s="997">
        <f>ROUND(R55*(R218/$R$23)^2,4)</f>
        <v>0</v>
      </c>
      <c r="S123" s="1027">
        <f>ROUND(S55*(S218/$S$23)^2,4)</f>
        <v>0</v>
      </c>
      <c r="T123" s="1001">
        <f>ROUND(T55*(T218/$T$23)^2,4)</f>
        <v>0</v>
      </c>
    </row>
    <row r="124" spans="1:20" ht="14.85" customHeight="1">
      <c r="A124" s="959" t="s">
        <v>636</v>
      </c>
      <c r="B124" s="1161">
        <f>ROUND(B56*(B219/$B$23)^2,4)</f>
        <v>0</v>
      </c>
      <c r="C124" s="997">
        <f>ROUND(C56*(C219/$C$23)^2,4)</f>
        <v>0</v>
      </c>
      <c r="D124" s="997">
        <f>ROUND(D56*(D219/$D$23)^2,4)</f>
        <v>0</v>
      </c>
      <c r="E124" s="997">
        <f>ROUND(E56*(E219/$E$23)^2,4)</f>
        <v>0</v>
      </c>
      <c r="F124" s="997">
        <f>ROUND(F56*(F219/$F$23)^2,4)</f>
        <v>0</v>
      </c>
      <c r="G124" s="997">
        <f>ROUND(G56*(G219/$G$23)^2,4)</f>
        <v>0</v>
      </c>
      <c r="H124" s="997">
        <f>ROUND(H56*(H219/$H$23)^2,4)</f>
        <v>0</v>
      </c>
      <c r="I124" s="997">
        <f>ROUND(I56*(I219/$I$23)^2,4)</f>
        <v>0</v>
      </c>
      <c r="J124" s="997">
        <f>ROUND(J56*(J219/$J$23)^2,4)</f>
        <v>0</v>
      </c>
      <c r="K124" s="959" t="s">
        <v>636</v>
      </c>
      <c r="L124" s="1161">
        <f>ROUND(L56*(L219/$L$23)^2,4)</f>
        <v>0</v>
      </c>
      <c r="M124" s="997">
        <f>ROUND(M56*(M219/$M$23)^2,4)</f>
        <v>0</v>
      </c>
      <c r="N124" s="997">
        <f>ROUND(N56*(N219/$N$23)^2,4)</f>
        <v>0</v>
      </c>
      <c r="O124" s="997">
        <f>ROUND(O56*(O219/$O$23)^2,4)</f>
        <v>0</v>
      </c>
      <c r="P124" s="997">
        <f>ROUND(P56*(P219/$P$23)^2,4)</f>
        <v>0</v>
      </c>
      <c r="Q124" s="997">
        <f>ROUND(Q56*(Q219/$Q$23)^2,4)</f>
        <v>0</v>
      </c>
      <c r="R124" s="997">
        <f>ROUND(R56*(R219/$R$23)^2,4)</f>
        <v>0</v>
      </c>
      <c r="S124" s="1027">
        <f>ROUND(S56*(S219/$S$23)^2,4)</f>
        <v>0</v>
      </c>
      <c r="T124" s="1001">
        <f>ROUND(T56*(T219/$T$23)^2,4)</f>
        <v>0</v>
      </c>
    </row>
    <row r="125" spans="1:20" ht="14.85" customHeight="1">
      <c r="A125" s="959" t="s">
        <v>637</v>
      </c>
      <c r="B125" s="1161">
        <f>SUM(B121:B124)</f>
        <v>0.2626</v>
      </c>
      <c r="C125" s="998">
        <f t="shared" ref="C125:I125" si="123">SUM(C121:C123)</f>
        <v>226.22450000000003</v>
      </c>
      <c r="D125" s="998">
        <f t="shared" si="123"/>
        <v>2.7739000000000003</v>
      </c>
      <c r="E125" s="998">
        <f t="shared" si="123"/>
        <v>10.9255</v>
      </c>
      <c r="F125" s="998">
        <f t="shared" si="123"/>
        <v>20.1067</v>
      </c>
      <c r="G125" s="998">
        <f t="shared" si="123"/>
        <v>30.631599999999999</v>
      </c>
      <c r="H125" s="998">
        <f t="shared" si="123"/>
        <v>40.380099999999999</v>
      </c>
      <c r="I125" s="998">
        <f t="shared" si="123"/>
        <v>52.210899999999995</v>
      </c>
      <c r="J125" s="999">
        <f>SUM(J121:J123)</f>
        <v>64.320899999999995</v>
      </c>
      <c r="K125" s="959" t="s">
        <v>637</v>
      </c>
      <c r="L125" s="1161">
        <f>SUM(L121:L124)</f>
        <v>0.74650000000000016</v>
      </c>
      <c r="M125" s="998">
        <f t="shared" ref="M125:S125" si="124">SUM(M121:M123)</f>
        <v>367.36340000000007</v>
      </c>
      <c r="N125" s="998">
        <f t="shared" si="124"/>
        <v>7.5742999999999991</v>
      </c>
      <c r="O125" s="998">
        <f t="shared" si="124"/>
        <v>19.781800000000004</v>
      </c>
      <c r="P125" s="998">
        <f t="shared" si="124"/>
        <v>33.915900000000001</v>
      </c>
      <c r="Q125" s="998">
        <f t="shared" si="124"/>
        <v>50.083100000000016</v>
      </c>
      <c r="R125" s="998">
        <f t="shared" si="124"/>
        <v>65.35799999999999</v>
      </c>
      <c r="S125" s="1000">
        <f t="shared" si="124"/>
        <v>82.2166</v>
      </c>
      <c r="T125" s="1001">
        <f>SUM(T121:T123)</f>
        <v>100.02199999999999</v>
      </c>
    </row>
    <row r="126" spans="1:20" ht="14.85" customHeight="1">
      <c r="A126" s="959"/>
      <c r="B126" s="1161"/>
      <c r="C126" s="998"/>
      <c r="D126" s="998"/>
      <c r="E126" s="998"/>
      <c r="F126" s="998"/>
      <c r="G126" s="998"/>
      <c r="H126" s="998"/>
      <c r="I126" s="998"/>
      <c r="J126" s="999"/>
      <c r="K126" s="959"/>
      <c r="L126" s="1161"/>
      <c r="M126" s="998"/>
      <c r="N126" s="998"/>
      <c r="O126" s="998"/>
      <c r="P126" s="998"/>
      <c r="Q126" s="998"/>
      <c r="R126" s="998"/>
      <c r="S126" s="1000"/>
      <c r="T126" s="1001"/>
    </row>
    <row r="127" spans="1:20" ht="14.85" customHeight="1">
      <c r="A127" s="965" t="s">
        <v>638</v>
      </c>
      <c r="B127" s="1161"/>
      <c r="C127" s="998"/>
      <c r="D127" s="998"/>
      <c r="E127" s="998"/>
      <c r="F127" s="998"/>
      <c r="G127" s="998"/>
      <c r="H127" s="998"/>
      <c r="I127" s="998"/>
      <c r="J127" s="999"/>
      <c r="K127" s="965" t="s">
        <v>638</v>
      </c>
      <c r="L127" s="1161"/>
      <c r="M127" s="998"/>
      <c r="N127" s="998"/>
      <c r="O127" s="998"/>
      <c r="P127" s="998"/>
      <c r="Q127" s="998"/>
      <c r="R127" s="998"/>
      <c r="S127" s="1000"/>
      <c r="T127" s="1001"/>
    </row>
    <row r="128" spans="1:20" ht="14.85" customHeight="1">
      <c r="A128" s="959" t="s">
        <v>639</v>
      </c>
      <c r="B128" s="1161">
        <f t="shared" ref="B128:I128" si="125">ROUND(B53*B19^2,4)</f>
        <v>-4.0438000000000001</v>
      </c>
      <c r="C128" s="998">
        <f t="shared" si="125"/>
        <v>-4.0438000000000001</v>
      </c>
      <c r="D128" s="998">
        <f t="shared" si="125"/>
        <v>-4.0438000000000001</v>
      </c>
      <c r="E128" s="998">
        <f t="shared" si="125"/>
        <v>-4.0438000000000001</v>
      </c>
      <c r="F128" s="998">
        <f t="shared" si="125"/>
        <v>-4.0438000000000001</v>
      </c>
      <c r="G128" s="998">
        <f t="shared" si="125"/>
        <v>-4.0438000000000001</v>
      </c>
      <c r="H128" s="998">
        <f t="shared" si="125"/>
        <v>-4.0438000000000001</v>
      </c>
      <c r="I128" s="998">
        <f t="shared" si="125"/>
        <v>-4.0438000000000001</v>
      </c>
      <c r="J128" s="999">
        <f>ROUND(J53*J19^2,4)</f>
        <v>-4.0438000000000001</v>
      </c>
      <c r="K128" s="959" t="s">
        <v>639</v>
      </c>
      <c r="L128" s="1161">
        <f t="shared" ref="L128:S128" si="126">ROUND(L53*L19^2,4)</f>
        <v>-22.3675</v>
      </c>
      <c r="M128" s="998">
        <f t="shared" si="126"/>
        <v>-24.057500000000001</v>
      </c>
      <c r="N128" s="998">
        <f t="shared" si="126"/>
        <v>-24.057500000000001</v>
      </c>
      <c r="O128" s="998">
        <f t="shared" si="126"/>
        <v>-24.057500000000001</v>
      </c>
      <c r="P128" s="998">
        <f t="shared" si="126"/>
        <v>-24.057500000000001</v>
      </c>
      <c r="Q128" s="998">
        <f t="shared" si="126"/>
        <v>-24.057500000000001</v>
      </c>
      <c r="R128" s="998">
        <f t="shared" si="126"/>
        <v>-24.057500000000001</v>
      </c>
      <c r="S128" s="1000">
        <f t="shared" si="126"/>
        <v>-24.057500000000001</v>
      </c>
      <c r="T128" s="1001">
        <f>ROUND(T53*T19^2,4)</f>
        <v>-24.057500000000001</v>
      </c>
    </row>
    <row r="129" spans="1:20" ht="14.85" customHeight="1">
      <c r="A129" s="959" t="s">
        <v>640</v>
      </c>
      <c r="B129" s="1161">
        <f t="shared" ref="B129:I129" si="127">ROUND(B54*B19^2,4)</f>
        <v>18.1694</v>
      </c>
      <c r="C129" s="998">
        <f t="shared" si="127"/>
        <v>18.1694</v>
      </c>
      <c r="D129" s="998">
        <f t="shared" si="127"/>
        <v>18.1694</v>
      </c>
      <c r="E129" s="998">
        <f t="shared" si="127"/>
        <v>18.1694</v>
      </c>
      <c r="F129" s="998">
        <f t="shared" si="127"/>
        <v>18.1694</v>
      </c>
      <c r="G129" s="998">
        <f t="shared" si="127"/>
        <v>18.1694</v>
      </c>
      <c r="H129" s="998">
        <f t="shared" si="127"/>
        <v>18.1694</v>
      </c>
      <c r="I129" s="998">
        <f t="shared" si="127"/>
        <v>18.1694</v>
      </c>
      <c r="J129" s="999">
        <f>ROUND(J54*J19^2,4)</f>
        <v>18.1694</v>
      </c>
      <c r="K129" s="959" t="s">
        <v>640</v>
      </c>
      <c r="L129" s="1161">
        <f t="shared" ref="L129:S129" si="128">ROUND(L54*L19^2,4)</f>
        <v>34.668799999999997</v>
      </c>
      <c r="M129" s="998">
        <f t="shared" si="128"/>
        <v>37.0488</v>
      </c>
      <c r="N129" s="998">
        <f t="shared" si="128"/>
        <v>37.0488</v>
      </c>
      <c r="O129" s="998">
        <f t="shared" si="128"/>
        <v>37.0488</v>
      </c>
      <c r="P129" s="998">
        <f t="shared" si="128"/>
        <v>37.0488</v>
      </c>
      <c r="Q129" s="998">
        <f t="shared" si="128"/>
        <v>37.0488</v>
      </c>
      <c r="R129" s="998">
        <f t="shared" si="128"/>
        <v>37.0488</v>
      </c>
      <c r="S129" s="1000">
        <f t="shared" si="128"/>
        <v>37.0488</v>
      </c>
      <c r="T129" s="1001">
        <f>ROUND(T54*T19^2,4)</f>
        <v>37.0488</v>
      </c>
    </row>
    <row r="130" spans="1:20" ht="14.85" customHeight="1">
      <c r="A130" s="959" t="s">
        <v>641</v>
      </c>
      <c r="B130" s="1161">
        <f t="shared" ref="B130:I130" si="129">ROUND(B55*B19^2,4)</f>
        <v>0</v>
      </c>
      <c r="C130" s="998">
        <f t="shared" si="129"/>
        <v>0</v>
      </c>
      <c r="D130" s="998">
        <f t="shared" si="129"/>
        <v>0</v>
      </c>
      <c r="E130" s="998">
        <f t="shared" si="129"/>
        <v>0</v>
      </c>
      <c r="F130" s="998">
        <f t="shared" si="129"/>
        <v>0</v>
      </c>
      <c r="G130" s="998">
        <f t="shared" si="129"/>
        <v>0</v>
      </c>
      <c r="H130" s="998">
        <f t="shared" si="129"/>
        <v>0</v>
      </c>
      <c r="I130" s="998">
        <f t="shared" si="129"/>
        <v>0</v>
      </c>
      <c r="J130" s="999">
        <f>ROUND(J55*J19^2,4)</f>
        <v>0</v>
      </c>
      <c r="K130" s="959" t="s">
        <v>641</v>
      </c>
      <c r="L130" s="1161">
        <f t="shared" ref="L130:S130" si="130">ROUND(L55*L19^2,4)</f>
        <v>0</v>
      </c>
      <c r="M130" s="998">
        <f t="shared" si="130"/>
        <v>0</v>
      </c>
      <c r="N130" s="998">
        <f t="shared" si="130"/>
        <v>0</v>
      </c>
      <c r="O130" s="998">
        <f t="shared" si="130"/>
        <v>0</v>
      </c>
      <c r="P130" s="998">
        <f t="shared" si="130"/>
        <v>0</v>
      </c>
      <c r="Q130" s="998">
        <f t="shared" si="130"/>
        <v>0</v>
      </c>
      <c r="R130" s="998">
        <f t="shared" si="130"/>
        <v>0</v>
      </c>
      <c r="S130" s="1000">
        <f t="shared" si="130"/>
        <v>0</v>
      </c>
      <c r="T130" s="1001">
        <f>ROUND(T55*T19^2,4)</f>
        <v>0</v>
      </c>
    </row>
    <row r="131" spans="1:20" ht="14.85" customHeight="1">
      <c r="A131" s="959" t="s">
        <v>642</v>
      </c>
      <c r="B131" s="1161">
        <f t="shared" ref="B131:I131" si="131">ROUND(B56*B19^2,4)</f>
        <v>0</v>
      </c>
      <c r="C131" s="998">
        <f t="shared" si="131"/>
        <v>0</v>
      </c>
      <c r="D131" s="998">
        <f t="shared" si="131"/>
        <v>0</v>
      </c>
      <c r="E131" s="998">
        <f t="shared" si="131"/>
        <v>0</v>
      </c>
      <c r="F131" s="998">
        <f t="shared" si="131"/>
        <v>0</v>
      </c>
      <c r="G131" s="998">
        <f t="shared" si="131"/>
        <v>0</v>
      </c>
      <c r="H131" s="998">
        <f t="shared" si="131"/>
        <v>0</v>
      </c>
      <c r="I131" s="998">
        <f t="shared" si="131"/>
        <v>0</v>
      </c>
      <c r="J131" s="999">
        <f>ROUND(J56*J19^2,4)</f>
        <v>0</v>
      </c>
      <c r="K131" s="959" t="s">
        <v>642</v>
      </c>
      <c r="L131" s="1161">
        <f t="shared" ref="L131:S131" si="132">ROUND(L56*L19^2,4)</f>
        <v>0</v>
      </c>
      <c r="M131" s="998">
        <f t="shared" si="132"/>
        <v>0</v>
      </c>
      <c r="N131" s="998">
        <f t="shared" si="132"/>
        <v>0</v>
      </c>
      <c r="O131" s="998">
        <f t="shared" si="132"/>
        <v>0</v>
      </c>
      <c r="P131" s="998">
        <f t="shared" si="132"/>
        <v>0</v>
      </c>
      <c r="Q131" s="998">
        <f t="shared" si="132"/>
        <v>0</v>
      </c>
      <c r="R131" s="998">
        <f t="shared" si="132"/>
        <v>0</v>
      </c>
      <c r="S131" s="1000">
        <f t="shared" si="132"/>
        <v>0</v>
      </c>
      <c r="T131" s="1001">
        <f>ROUND(T56*T19^2,4)</f>
        <v>0</v>
      </c>
    </row>
    <row r="132" spans="1:20" ht="14.85" customHeight="1">
      <c r="A132" s="959" t="s">
        <v>637</v>
      </c>
      <c r="B132" s="1161">
        <f t="shared" ref="B132:I132" si="133">SUM(B128:B131)</f>
        <v>14.125599999999999</v>
      </c>
      <c r="C132" s="998">
        <f t="shared" si="133"/>
        <v>14.125599999999999</v>
      </c>
      <c r="D132" s="998">
        <f t="shared" si="133"/>
        <v>14.125599999999999</v>
      </c>
      <c r="E132" s="998">
        <f t="shared" si="133"/>
        <v>14.125599999999999</v>
      </c>
      <c r="F132" s="998">
        <f t="shared" si="133"/>
        <v>14.125599999999999</v>
      </c>
      <c r="G132" s="998">
        <f t="shared" si="133"/>
        <v>14.125599999999999</v>
      </c>
      <c r="H132" s="998">
        <f t="shared" si="133"/>
        <v>14.125599999999999</v>
      </c>
      <c r="I132" s="998">
        <f t="shared" si="133"/>
        <v>14.125599999999999</v>
      </c>
      <c r="J132" s="999">
        <f>SUM(J128:J131)</f>
        <v>14.125599999999999</v>
      </c>
      <c r="K132" s="959" t="s">
        <v>637</v>
      </c>
      <c r="L132" s="1161">
        <f t="shared" ref="L132:S132" si="134">SUM(L128:L131)</f>
        <v>12.301299999999998</v>
      </c>
      <c r="M132" s="998">
        <f t="shared" si="134"/>
        <v>12.991299999999999</v>
      </c>
      <c r="N132" s="998">
        <f t="shared" si="134"/>
        <v>12.991299999999999</v>
      </c>
      <c r="O132" s="998">
        <f t="shared" si="134"/>
        <v>12.991299999999999</v>
      </c>
      <c r="P132" s="998">
        <f t="shared" si="134"/>
        <v>12.991299999999999</v>
      </c>
      <c r="Q132" s="998">
        <f t="shared" si="134"/>
        <v>12.991299999999999</v>
      </c>
      <c r="R132" s="998">
        <f t="shared" si="134"/>
        <v>12.991299999999999</v>
      </c>
      <c r="S132" s="1000">
        <f t="shared" si="134"/>
        <v>12.991299999999999</v>
      </c>
      <c r="T132" s="1001">
        <f>SUM(T128:T131)</f>
        <v>12.991299999999999</v>
      </c>
    </row>
    <row r="133" spans="1:20" ht="14.85" customHeight="1">
      <c r="A133" s="959"/>
      <c r="B133" s="1161"/>
      <c r="C133" s="998"/>
      <c r="D133" s="998"/>
      <c r="E133" s="998"/>
      <c r="F133" s="998"/>
      <c r="G133" s="998"/>
      <c r="H133" s="998"/>
      <c r="I133" s="998"/>
      <c r="J133" s="999"/>
      <c r="K133" s="959"/>
      <c r="L133" s="1161"/>
      <c r="M133" s="998"/>
      <c r="N133" s="998"/>
      <c r="O133" s="998"/>
      <c r="P133" s="998"/>
      <c r="Q133" s="998"/>
      <c r="R133" s="998"/>
      <c r="S133" s="1000"/>
      <c r="T133" s="1001"/>
    </row>
    <row r="134" spans="1:20" ht="14.85" customHeight="1">
      <c r="A134" s="965" t="s">
        <v>643</v>
      </c>
      <c r="B134" s="1161"/>
      <c r="C134" s="998"/>
      <c r="D134" s="998"/>
      <c r="E134" s="998"/>
      <c r="F134" s="998"/>
      <c r="G134" s="998"/>
      <c r="H134" s="998"/>
      <c r="I134" s="998"/>
      <c r="J134" s="999"/>
      <c r="K134" s="965" t="s">
        <v>643</v>
      </c>
      <c r="L134" s="1161"/>
      <c r="M134" s="998"/>
      <c r="N134" s="998"/>
      <c r="O134" s="998"/>
      <c r="P134" s="998"/>
      <c r="Q134" s="998"/>
      <c r="R134" s="998"/>
      <c r="S134" s="1000"/>
      <c r="T134" s="1001"/>
    </row>
    <row r="135" spans="1:20" ht="14.85" customHeight="1">
      <c r="A135" s="959" t="s">
        <v>644</v>
      </c>
      <c r="B135" s="1161">
        <f>ROUND(B60*($B$5-(B216/$B$23))^2,4)</f>
        <v>11.4717</v>
      </c>
      <c r="C135" s="997">
        <f>ROUND(C60*($C$5-(C216/$C$23))^2,4)</f>
        <v>-32.711799999999997</v>
      </c>
      <c r="D135" s="997">
        <f>ROUND(D60*($D$5-(D216/$D$23))^2,4)</f>
        <v>-8.9356000000000009</v>
      </c>
      <c r="E135" s="997">
        <f>ROUND(E60*($E$5-(E216/$E$23))^2,4)</f>
        <v>-13.225300000000001</v>
      </c>
      <c r="F135" s="997">
        <f>ROUND(F60*($F$5-(F216/$F$23))^2,4)</f>
        <v>-18.158100000000001</v>
      </c>
      <c r="G135" s="997">
        <f>ROUND(G60*($G$5-(G216/$G$23))^2,4)</f>
        <v>-24.062999999999999</v>
      </c>
      <c r="H135" s="997">
        <f>ROUND(H60*($H$5-(H216/$H$23))^2,4)</f>
        <v>-28.937999999999999</v>
      </c>
      <c r="I135" s="997">
        <f>ROUND(I60*($I$5-(I216/$I$23))^2,4)</f>
        <v>-35.312199999999997</v>
      </c>
      <c r="J135" s="997">
        <f>ROUND(J60*($J$5-(J216/$J$23))^2,4)</f>
        <v>-43.878799999999998</v>
      </c>
      <c r="K135" s="959" t="s">
        <v>644</v>
      </c>
      <c r="L135" s="1161">
        <f>ROUND(L60*($L$5-(L216/$L$23))^2,4)</f>
        <v>44.659700000000001</v>
      </c>
      <c r="M135" s="997">
        <f>ROUND(M60*($M$5-(M216/$M$23))^2,4)</f>
        <v>-572.4538</v>
      </c>
      <c r="N135" s="997">
        <f>ROUND(N60*($N$5-(N216/$N$23))^2,4)</f>
        <v>-49.977200000000003</v>
      </c>
      <c r="O135" s="997">
        <f>ROUND(O60*($O$5-(O216/$O$23))^2,4)</f>
        <v>-80.152299999999997</v>
      </c>
      <c r="P135" s="997">
        <f>ROUND(P60*($P$5-(P216/$P$23))^2,4)</f>
        <v>-114.875</v>
      </c>
      <c r="Q135" s="997">
        <f>ROUND(Q60*($Q$5-(Q216/$Q$23))^2,4)</f>
        <v>-154.31209999999999</v>
      </c>
      <c r="R135" s="997">
        <f>ROUND(R60*($R$5-(R216/$R$23))^2,4)</f>
        <v>-192.4066</v>
      </c>
      <c r="S135" s="1027">
        <f>ROUND(S60*($S$5-(S216/$S$23))^2,4)</f>
        <v>-233.87209999999999</v>
      </c>
      <c r="T135" s="1001">
        <f>ROUND(T60*($T$5-(T216/$T$23))^2,4)</f>
        <v>-277.34660000000002</v>
      </c>
    </row>
    <row r="136" spans="1:20" ht="14.85" customHeight="1">
      <c r="A136" s="959" t="s">
        <v>645</v>
      </c>
      <c r="B136" s="1161">
        <f>ROUND(B61*($B$5-(B217/$B$23))^2,4)</f>
        <v>-33.0961</v>
      </c>
      <c r="C136" s="997">
        <f>ROUND(C61*($C$5-(C217/$C$23))^2,4)</f>
        <v>93.542100000000005</v>
      </c>
      <c r="D136" s="997">
        <f>ROUND(D61*($D$5-(D217/$D$23))^2,4)</f>
        <v>25.714600000000001</v>
      </c>
      <c r="E136" s="997">
        <f>ROUND(E61*($E$5-(E217/$E$23))^2,4)</f>
        <v>38.025700000000001</v>
      </c>
      <c r="F136" s="997">
        <f>ROUND(F61*($F$5-(F217/$F$23))^2,4)</f>
        <v>52.2879</v>
      </c>
      <c r="G136" s="997">
        <f>ROUND(G61*($G$5-(G217/$G$23))^2,4)</f>
        <v>68.75</v>
      </c>
      <c r="H136" s="997">
        <f>ROUND(H61*($H$5-(H217/$H$23))^2,4)</f>
        <v>83.407600000000002</v>
      </c>
      <c r="I136" s="997">
        <f>ROUND(I61*($I$5-(I217/$I$23))^2,4)</f>
        <v>101.2469</v>
      </c>
      <c r="J136" s="997">
        <f>ROUND(J61*($J$5-(J217/$J$23))^2,4)</f>
        <v>122.25620000000001</v>
      </c>
      <c r="K136" s="959" t="s">
        <v>645</v>
      </c>
      <c r="L136" s="1161">
        <f>ROUND(L61*($L$5-(L217/$L$23))^2,4)</f>
        <v>-62.892200000000003</v>
      </c>
      <c r="M136" s="997">
        <f>ROUND(M61*($M$5-(M217/$M$23))^2,4)</f>
        <v>805.81089999999995</v>
      </c>
      <c r="N136" s="997">
        <f>ROUND(N61*($N$5-(N217/$N$23))^2,4)</f>
        <v>70.348699999999994</v>
      </c>
      <c r="O136" s="997">
        <f>ROUND(O61*($O$5-(O217/$O$23))^2,4)</f>
        <v>112.8185</v>
      </c>
      <c r="P136" s="997">
        <f>ROUND(P61*($P$5-(P217/$P$23))^2,4)</f>
        <v>161.59389999999999</v>
      </c>
      <c r="Q136" s="997">
        <f>ROUND(Q61*($Q$5-(Q217/$Q$23))^2,4)</f>
        <v>217.2792</v>
      </c>
      <c r="R136" s="997">
        <f>ROUND(R61*($R$5-(R217/$R$23))^2,4)</f>
        <v>270.4486</v>
      </c>
      <c r="S136" s="1027">
        <f>ROUND(S61*($S$5-(S217/$S$23))^2,4)</f>
        <v>328.93939999999998</v>
      </c>
      <c r="T136" s="1001">
        <f>ROUND(T61*($T$5-(T217/$T$23))^2,4)</f>
        <v>390.32659999999998</v>
      </c>
    </row>
    <row r="137" spans="1:20" ht="14.85" customHeight="1">
      <c r="A137" s="959" t="s">
        <v>646</v>
      </c>
      <c r="B137" s="1161">
        <f>ROUND(B62*($B$5-(B218/$B$23))^2,4)</f>
        <v>0</v>
      </c>
      <c r="C137" s="997">
        <f>ROUND(C62*($C$5-(C218/$C$23))^2,4)</f>
        <v>0</v>
      </c>
      <c r="D137" s="997">
        <f>ROUND(D62*($D$5-(D218/$D$23))^2,4)</f>
        <v>0</v>
      </c>
      <c r="E137" s="997">
        <f>ROUND(E62*($E$5-(E218/$E$23))^2,4)</f>
        <v>0</v>
      </c>
      <c r="F137" s="997">
        <f>ROUND(F62*($F$5-(F218/$F$23))^2,4)</f>
        <v>0</v>
      </c>
      <c r="G137" s="997">
        <f>ROUND(G62*($G$5-(G218/$G$23))^2,4)</f>
        <v>0</v>
      </c>
      <c r="H137" s="997">
        <f>ROUND(H62*($H$5-(H218/$H$23))^2,4)</f>
        <v>0</v>
      </c>
      <c r="I137" s="997">
        <f>ROUND(I62*($I$5-(I218/$I$23))^2,4)</f>
        <v>0</v>
      </c>
      <c r="J137" s="997">
        <f>ROUND(J62*($J$5-(J218/$J$23))^2,4)</f>
        <v>0</v>
      </c>
      <c r="K137" s="959" t="s">
        <v>646</v>
      </c>
      <c r="L137" s="1161">
        <f>ROUND(L62*($L$5-(L218/$L$23))^2,4)</f>
        <v>0</v>
      </c>
      <c r="M137" s="997">
        <f>ROUND(M62*($M$5-(M218/$M$23))^2,4)</f>
        <v>0</v>
      </c>
      <c r="N137" s="997">
        <f>ROUND(N62*($N$5-(N218/$N$23))^2,4)</f>
        <v>0</v>
      </c>
      <c r="O137" s="997">
        <f>ROUND(O62*($O$5-(O218/$O$23))^2,4)</f>
        <v>0</v>
      </c>
      <c r="P137" s="997">
        <f>ROUND(P62*($P$5-(P218/$P$23))^2,4)</f>
        <v>0</v>
      </c>
      <c r="Q137" s="997">
        <f>ROUND(Q62*($Q$5-(Q218/$Q$23))^2,4)</f>
        <v>0</v>
      </c>
      <c r="R137" s="997">
        <f>ROUND(R62*($R$5-(R218/$R$23))^2,4)</f>
        <v>0</v>
      </c>
      <c r="S137" s="1027">
        <f>ROUND(S62*($S$5-(S218/$S$23))^2,4)</f>
        <v>0</v>
      </c>
      <c r="T137" s="1001">
        <f>ROUND(T62*($T$5-(T218/$T$23))^2,4)</f>
        <v>0</v>
      </c>
    </row>
    <row r="138" spans="1:20" ht="14.85" customHeight="1">
      <c r="A138" s="959" t="s">
        <v>647</v>
      </c>
      <c r="B138" s="1161">
        <f>ROUND(B63*($B$5-(B219/$B$23))^2,4)</f>
        <v>0</v>
      </c>
      <c r="C138" s="997">
        <f>ROUND(C63*($C$5-(C219/$C$23))^2,4)</f>
        <v>0</v>
      </c>
      <c r="D138" s="997">
        <f>ROUND(D63*($D$5-(D219/$D$23))^2,4)</f>
        <v>0</v>
      </c>
      <c r="E138" s="997">
        <f>ROUND(E63*($E$5-(E219/$E$23))^2,4)</f>
        <v>0</v>
      </c>
      <c r="F138" s="997">
        <f>ROUND(F63*($F$5-(F219/$F$23))^2,4)</f>
        <v>0</v>
      </c>
      <c r="G138" s="997">
        <f>ROUND(G63*($G$5-(G219/$G$23))^2,4)</f>
        <v>0</v>
      </c>
      <c r="H138" s="997">
        <f>ROUND(H63*($H$5-(H219/$H$23))^2,4)</f>
        <v>0</v>
      </c>
      <c r="I138" s="997">
        <f>ROUND(I63*($I$5-(I219/$I$23))^2,4)</f>
        <v>0</v>
      </c>
      <c r="J138" s="997">
        <f>ROUND(J63*($J$5-(J219/$J$23))^2,4)</f>
        <v>0</v>
      </c>
      <c r="K138" s="959" t="s">
        <v>647</v>
      </c>
      <c r="L138" s="1161">
        <f>ROUND(L63*($L$5-(L219/$L$23))^2,4)</f>
        <v>0</v>
      </c>
      <c r="M138" s="997">
        <f>ROUND(M63*($M$5-(M219/$M$23))^2,4)</f>
        <v>0</v>
      </c>
      <c r="N138" s="997">
        <f>ROUND(N63*($N$5-(N219/$N$23))^2,4)</f>
        <v>0</v>
      </c>
      <c r="O138" s="997">
        <f>ROUND(O63*($O$5-(O219/$O$23))^2,4)</f>
        <v>0</v>
      </c>
      <c r="P138" s="997">
        <f>ROUND(P63*($P$5-(P219/$P$23))^2,4)</f>
        <v>0</v>
      </c>
      <c r="Q138" s="997">
        <f>ROUND(Q63*($Q$5-(Q219/$Q$23))^2,4)</f>
        <v>0</v>
      </c>
      <c r="R138" s="997">
        <f>ROUND(R63*($R$5-(R219/$R$23))^2,4)</f>
        <v>0</v>
      </c>
      <c r="S138" s="1027">
        <f>ROUND(S63*($S$5-(S219/$S$23))^2,4)</f>
        <v>0</v>
      </c>
      <c r="T138" s="1001">
        <f>ROUND(T63*($T$5-(T219/$T$23))^2,4)</f>
        <v>0</v>
      </c>
    </row>
    <row r="139" spans="1:20" ht="14.85" customHeight="1">
      <c r="A139" s="959" t="s">
        <v>637</v>
      </c>
      <c r="B139" s="1161">
        <f t="shared" ref="B139:I139" si="135">SUM(B135:B138)</f>
        <v>-21.624400000000001</v>
      </c>
      <c r="C139" s="998">
        <f t="shared" si="135"/>
        <v>60.830300000000008</v>
      </c>
      <c r="D139" s="998">
        <f t="shared" si="135"/>
        <v>16.779</v>
      </c>
      <c r="E139" s="998">
        <f t="shared" si="135"/>
        <v>24.8004</v>
      </c>
      <c r="F139" s="998">
        <f t="shared" si="135"/>
        <v>34.129800000000003</v>
      </c>
      <c r="G139" s="998">
        <f t="shared" si="135"/>
        <v>44.686999999999998</v>
      </c>
      <c r="H139" s="998">
        <f t="shared" si="135"/>
        <v>54.4696</v>
      </c>
      <c r="I139" s="998">
        <f t="shared" si="135"/>
        <v>65.934699999999992</v>
      </c>
      <c r="J139" s="999">
        <f>SUM(J135:J138)</f>
        <v>78.377400000000009</v>
      </c>
      <c r="K139" s="959" t="s">
        <v>637</v>
      </c>
      <c r="L139" s="1161">
        <f t="shared" ref="L139:S139" si="136">SUM(L135:L138)</f>
        <v>-18.232500000000002</v>
      </c>
      <c r="M139" s="998">
        <f t="shared" si="136"/>
        <v>233.35709999999995</v>
      </c>
      <c r="N139" s="998">
        <f t="shared" si="136"/>
        <v>20.37149999999999</v>
      </c>
      <c r="O139" s="998">
        <f t="shared" si="136"/>
        <v>32.666200000000003</v>
      </c>
      <c r="P139" s="998">
        <f t="shared" si="136"/>
        <v>46.718899999999991</v>
      </c>
      <c r="Q139" s="998">
        <f t="shared" si="136"/>
        <v>62.967100000000016</v>
      </c>
      <c r="R139" s="998">
        <f t="shared" si="136"/>
        <v>78.042000000000002</v>
      </c>
      <c r="S139" s="1000">
        <f t="shared" si="136"/>
        <v>95.067299999999989</v>
      </c>
      <c r="T139" s="1001">
        <f>SUM(T135:T138)</f>
        <v>112.97999999999996</v>
      </c>
    </row>
    <row r="140" spans="1:20" ht="14.85" customHeight="1">
      <c r="A140" s="959"/>
      <c r="B140" s="1161"/>
      <c r="C140" s="998"/>
      <c r="D140" s="998"/>
      <c r="E140" s="998"/>
      <c r="F140" s="998"/>
      <c r="G140" s="998"/>
      <c r="H140" s="998"/>
      <c r="I140" s="998"/>
      <c r="J140" s="999"/>
      <c r="K140" s="959"/>
      <c r="L140" s="1161"/>
      <c r="M140" s="998"/>
      <c r="N140" s="998"/>
      <c r="O140" s="998"/>
      <c r="P140" s="998"/>
      <c r="Q140" s="998"/>
      <c r="R140" s="998"/>
      <c r="S140" s="1000"/>
      <c r="T140" s="1001"/>
    </row>
    <row r="141" spans="1:20" ht="14.85" customHeight="1">
      <c r="A141" s="965" t="s">
        <v>648</v>
      </c>
      <c r="B141" s="1161"/>
      <c r="C141" s="998"/>
      <c r="D141" s="998"/>
      <c r="E141" s="998"/>
      <c r="F141" s="998"/>
      <c r="G141" s="998"/>
      <c r="H141" s="998"/>
      <c r="I141" s="998"/>
      <c r="J141" s="999"/>
      <c r="K141" s="965" t="s">
        <v>648</v>
      </c>
      <c r="L141" s="1161"/>
      <c r="M141" s="998"/>
      <c r="N141" s="998"/>
      <c r="O141" s="998"/>
      <c r="P141" s="998"/>
      <c r="Q141" s="998"/>
      <c r="R141" s="998"/>
      <c r="S141" s="1000"/>
      <c r="T141" s="1001"/>
    </row>
    <row r="142" spans="1:20" ht="14.85" customHeight="1">
      <c r="A142" s="959" t="s">
        <v>649</v>
      </c>
      <c r="B142" s="1161">
        <f t="shared" ref="B142:I144" si="137">ROUND((B67*B15)+B73,4)</f>
        <v>0</v>
      </c>
      <c r="C142" s="998">
        <f t="shared" si="137"/>
        <v>0</v>
      </c>
      <c r="D142" s="998">
        <f t="shared" si="137"/>
        <v>0</v>
      </c>
      <c r="E142" s="998">
        <f t="shared" si="137"/>
        <v>0</v>
      </c>
      <c r="F142" s="998">
        <f t="shared" si="137"/>
        <v>0</v>
      </c>
      <c r="G142" s="998">
        <f t="shared" si="137"/>
        <v>0</v>
      </c>
      <c r="H142" s="998">
        <f t="shared" si="137"/>
        <v>0</v>
      </c>
      <c r="I142" s="998">
        <f t="shared" si="137"/>
        <v>0</v>
      </c>
      <c r="J142" s="999">
        <f>ROUND((J67*J15)+J73,4)</f>
        <v>0</v>
      </c>
      <c r="K142" s="959" t="s">
        <v>649</v>
      </c>
      <c r="L142" s="1161">
        <f t="shared" ref="L142:S144" si="138">ROUND((L67*L15)+L73,4)</f>
        <v>0</v>
      </c>
      <c r="M142" s="998">
        <f t="shared" si="138"/>
        <v>0</v>
      </c>
      <c r="N142" s="998">
        <f t="shared" si="138"/>
        <v>0</v>
      </c>
      <c r="O142" s="998">
        <f t="shared" si="138"/>
        <v>0</v>
      </c>
      <c r="P142" s="998">
        <f t="shared" si="138"/>
        <v>0</v>
      </c>
      <c r="Q142" s="998">
        <f t="shared" si="138"/>
        <v>0</v>
      </c>
      <c r="R142" s="998">
        <f t="shared" si="138"/>
        <v>0</v>
      </c>
      <c r="S142" s="1000">
        <f t="shared" si="138"/>
        <v>0</v>
      </c>
      <c r="T142" s="1001">
        <f>ROUND((T67*T15)+T73,4)</f>
        <v>0</v>
      </c>
    </row>
    <row r="143" spans="1:20" ht="14.85" customHeight="1">
      <c r="A143" s="959" t="s">
        <v>650</v>
      </c>
      <c r="B143" s="1161">
        <f t="shared" si="137"/>
        <v>0</v>
      </c>
      <c r="C143" s="998">
        <f t="shared" si="137"/>
        <v>0</v>
      </c>
      <c r="D143" s="998">
        <f t="shared" si="137"/>
        <v>0</v>
      </c>
      <c r="E143" s="998">
        <f t="shared" si="137"/>
        <v>0</v>
      </c>
      <c r="F143" s="998">
        <f t="shared" si="137"/>
        <v>0</v>
      </c>
      <c r="G143" s="998">
        <f t="shared" si="137"/>
        <v>0</v>
      </c>
      <c r="H143" s="998">
        <f t="shared" si="137"/>
        <v>0</v>
      </c>
      <c r="I143" s="998">
        <f t="shared" si="137"/>
        <v>0</v>
      </c>
      <c r="J143" s="999">
        <f>ROUND((J68*J16)+J74,4)</f>
        <v>0</v>
      </c>
      <c r="K143" s="959" t="s">
        <v>650</v>
      </c>
      <c r="L143" s="1161">
        <f t="shared" si="138"/>
        <v>0</v>
      </c>
      <c r="M143" s="998">
        <f t="shared" si="138"/>
        <v>0</v>
      </c>
      <c r="N143" s="998">
        <f t="shared" si="138"/>
        <v>0</v>
      </c>
      <c r="O143" s="998">
        <f t="shared" si="138"/>
        <v>0</v>
      </c>
      <c r="P143" s="998">
        <f t="shared" si="138"/>
        <v>0</v>
      </c>
      <c r="Q143" s="998">
        <f t="shared" si="138"/>
        <v>0</v>
      </c>
      <c r="R143" s="998">
        <f t="shared" si="138"/>
        <v>0</v>
      </c>
      <c r="S143" s="1000">
        <f t="shared" si="138"/>
        <v>0</v>
      </c>
      <c r="T143" s="1001">
        <f>ROUND((T68*T16)+T74,4)</f>
        <v>0</v>
      </c>
    </row>
    <row r="144" spans="1:20" ht="14.85" customHeight="1">
      <c r="A144" s="959" t="s">
        <v>651</v>
      </c>
      <c r="B144" s="1161">
        <f t="shared" si="137"/>
        <v>0</v>
      </c>
      <c r="C144" s="998">
        <f t="shared" si="137"/>
        <v>0</v>
      </c>
      <c r="D144" s="998">
        <f t="shared" si="137"/>
        <v>0</v>
      </c>
      <c r="E144" s="998">
        <f t="shared" si="137"/>
        <v>0</v>
      </c>
      <c r="F144" s="998">
        <f t="shared" si="137"/>
        <v>0</v>
      </c>
      <c r="G144" s="998">
        <f t="shared" si="137"/>
        <v>0</v>
      </c>
      <c r="H144" s="998">
        <f t="shared" si="137"/>
        <v>0</v>
      </c>
      <c r="I144" s="998">
        <f t="shared" si="137"/>
        <v>0</v>
      </c>
      <c r="J144" s="999">
        <f>ROUND((J69*J17)+J75,4)</f>
        <v>0</v>
      </c>
      <c r="K144" s="959" t="s">
        <v>651</v>
      </c>
      <c r="L144" s="1161">
        <f t="shared" si="138"/>
        <v>0</v>
      </c>
      <c r="M144" s="998">
        <f t="shared" si="138"/>
        <v>0</v>
      </c>
      <c r="N144" s="998">
        <f t="shared" si="138"/>
        <v>0</v>
      </c>
      <c r="O144" s="998">
        <f t="shared" si="138"/>
        <v>0</v>
      </c>
      <c r="P144" s="998">
        <f t="shared" si="138"/>
        <v>0</v>
      </c>
      <c r="Q144" s="998">
        <f t="shared" si="138"/>
        <v>0</v>
      </c>
      <c r="R144" s="998">
        <f t="shared" si="138"/>
        <v>0</v>
      </c>
      <c r="S144" s="1000">
        <f t="shared" si="138"/>
        <v>0</v>
      </c>
      <c r="T144" s="1001">
        <f>ROUND((T69*T17)+T75,4)</f>
        <v>0</v>
      </c>
    </row>
    <row r="145" spans="1:20" ht="14.85" customHeight="1">
      <c r="A145" s="959" t="s">
        <v>637</v>
      </c>
      <c r="B145" s="1161">
        <f t="shared" ref="B145:I145" si="139">SUM(B141:B144)</f>
        <v>0</v>
      </c>
      <c r="C145" s="998">
        <f t="shared" si="139"/>
        <v>0</v>
      </c>
      <c r="D145" s="998">
        <f t="shared" si="139"/>
        <v>0</v>
      </c>
      <c r="E145" s="998">
        <f t="shared" si="139"/>
        <v>0</v>
      </c>
      <c r="F145" s="998">
        <f t="shared" si="139"/>
        <v>0</v>
      </c>
      <c r="G145" s="998">
        <f t="shared" si="139"/>
        <v>0</v>
      </c>
      <c r="H145" s="998">
        <f t="shared" si="139"/>
        <v>0</v>
      </c>
      <c r="I145" s="998">
        <f t="shared" si="139"/>
        <v>0</v>
      </c>
      <c r="J145" s="999">
        <f>SUM(J141:J144)</f>
        <v>0</v>
      </c>
      <c r="K145" s="959" t="s">
        <v>637</v>
      </c>
      <c r="L145" s="1161">
        <f t="shared" ref="L145:S145" si="140">SUM(L141:L144)</f>
        <v>0</v>
      </c>
      <c r="M145" s="998">
        <f t="shared" si="140"/>
        <v>0</v>
      </c>
      <c r="N145" s="998">
        <f t="shared" si="140"/>
        <v>0</v>
      </c>
      <c r="O145" s="998">
        <f t="shared" si="140"/>
        <v>0</v>
      </c>
      <c r="P145" s="998">
        <f t="shared" si="140"/>
        <v>0</v>
      </c>
      <c r="Q145" s="998">
        <f t="shared" si="140"/>
        <v>0</v>
      </c>
      <c r="R145" s="998">
        <f t="shared" si="140"/>
        <v>0</v>
      </c>
      <c r="S145" s="1000">
        <f t="shared" si="140"/>
        <v>0</v>
      </c>
      <c r="T145" s="1001">
        <f>SUM(T141:T144)</f>
        <v>0</v>
      </c>
    </row>
    <row r="146" spans="1:20" ht="14.85" customHeight="1">
      <c r="A146" s="959"/>
      <c r="B146" s="1161"/>
      <c r="C146" s="998"/>
      <c r="D146" s="998"/>
      <c r="E146" s="998"/>
      <c r="F146" s="998"/>
      <c r="G146" s="998"/>
      <c r="H146" s="998"/>
      <c r="I146" s="998"/>
      <c r="J146" s="999"/>
      <c r="K146" s="959"/>
      <c r="L146" s="1161"/>
      <c r="M146" s="998"/>
      <c r="N146" s="998"/>
      <c r="O146" s="998"/>
      <c r="P146" s="998"/>
      <c r="Q146" s="998"/>
      <c r="R146" s="998"/>
      <c r="S146" s="1000"/>
      <c r="T146" s="1001"/>
    </row>
    <row r="147" spans="1:20" ht="14.85" customHeight="1">
      <c r="A147" s="965" t="s">
        <v>652</v>
      </c>
      <c r="B147" s="1161"/>
      <c r="C147" s="998"/>
      <c r="D147" s="998"/>
      <c r="E147" s="998"/>
      <c r="F147" s="998"/>
      <c r="G147" s="998"/>
      <c r="H147" s="998"/>
      <c r="I147" s="998"/>
      <c r="J147" s="999"/>
      <c r="K147" s="965" t="s">
        <v>652</v>
      </c>
      <c r="L147" s="1161"/>
      <c r="M147" s="998"/>
      <c r="N147" s="998"/>
      <c r="O147" s="998"/>
      <c r="P147" s="998"/>
      <c r="Q147" s="998"/>
      <c r="R147" s="998"/>
      <c r="S147" s="1000"/>
      <c r="T147" s="1001"/>
    </row>
    <row r="148" spans="1:20" ht="14.85" customHeight="1">
      <c r="A148" s="959" t="s">
        <v>653</v>
      </c>
      <c r="B148" s="1161">
        <f>ROUND((B81*(B217/$B$23))+B87,4)</f>
        <v>0</v>
      </c>
      <c r="C148" s="997">
        <f>ROUND((C81*(C217/$C$23))+C87,4)</f>
        <v>6.3733000000000004</v>
      </c>
      <c r="D148" s="997">
        <f>ROUND((D81*(D217/$D$23))+D87,4)</f>
        <v>0</v>
      </c>
      <c r="E148" s="997">
        <f>ROUND((E81*(E217/$E$23))+E87,4)</f>
        <v>0</v>
      </c>
      <c r="F148" s="997">
        <f>ROUND((F81*(F217/$F$23))+F87,4)</f>
        <v>0</v>
      </c>
      <c r="G148" s="997">
        <f>ROUND((G81*(G217/$G$23))+G87,4)</f>
        <v>0</v>
      </c>
      <c r="H148" s="997">
        <f>ROUND((H81*(H217/$H$23))+H87,4)</f>
        <v>0</v>
      </c>
      <c r="I148" s="997">
        <f>ROUND((I81*(I217/$I$23))+I87,4)</f>
        <v>0</v>
      </c>
      <c r="J148" s="997">
        <f>ROUND((J81*(J217/$J$23))+J87,4)</f>
        <v>0</v>
      </c>
      <c r="K148" s="959" t="s">
        <v>653</v>
      </c>
      <c r="L148" s="1161">
        <f>ROUND((L81*(L217/$L$23))+L87,4)</f>
        <v>0</v>
      </c>
      <c r="M148" s="997">
        <f>ROUND((M81*(M217/$M$23))+M87,4)</f>
        <v>2.3363999999999998</v>
      </c>
      <c r="N148" s="997">
        <f>ROUND((N81*(N217/$N$23))+N87,4)</f>
        <v>0</v>
      </c>
      <c r="O148" s="997">
        <f>ROUND((O81*(O217/$O$23))+O87,4)</f>
        <v>0</v>
      </c>
      <c r="P148" s="997">
        <f>ROUND((P81*(P217/$P$23))+P87,4)</f>
        <v>0</v>
      </c>
      <c r="Q148" s="997">
        <f>ROUND((Q81*(Q217/$Q$23))+Q87,4)</f>
        <v>0</v>
      </c>
      <c r="R148" s="997">
        <f>ROUND((R81*(R217/$R$23))+R87,4)</f>
        <v>0</v>
      </c>
      <c r="S148" s="1027">
        <f>ROUND((S81*(S217/$S$23))+S87,4)</f>
        <v>0</v>
      </c>
      <c r="T148" s="1001">
        <f>ROUND((T81*(T217/$T$23))+T87,4)</f>
        <v>0</v>
      </c>
    </row>
    <row r="149" spans="1:20" ht="14.85" customHeight="1">
      <c r="A149" s="959" t="s">
        <v>654</v>
      </c>
      <c r="B149" s="1161">
        <f>ROUND((B82*(B218/$B$23))+B88,4)</f>
        <v>0</v>
      </c>
      <c r="C149" s="997">
        <f>ROUND((C82*(C218/$C$23))+C88,4)</f>
        <v>0</v>
      </c>
      <c r="D149" s="997">
        <f>ROUND((D82*(D218/$D$23))+D88,4)</f>
        <v>0</v>
      </c>
      <c r="E149" s="997">
        <f>ROUND((E82*(E218/$E$23))+E88,4)</f>
        <v>0</v>
      </c>
      <c r="F149" s="997">
        <f>ROUND((F82*(F218/$F$23))+F88,4)</f>
        <v>0</v>
      </c>
      <c r="G149" s="997">
        <f>ROUND((G82*(G218/$G$23))+G88,4)</f>
        <v>0</v>
      </c>
      <c r="H149" s="997">
        <f>ROUND((H82*(H218/$H$23))+H88,4)</f>
        <v>0</v>
      </c>
      <c r="I149" s="997">
        <f>ROUND((I82*(I218/$I$23))+I88,4)</f>
        <v>0</v>
      </c>
      <c r="J149" s="997">
        <f>ROUND((J82*(J218/$J$23))+J88,4)</f>
        <v>0</v>
      </c>
      <c r="K149" s="959" t="s">
        <v>654</v>
      </c>
      <c r="L149" s="1161">
        <f>ROUND((L82*(L218/$L$23))+L88,4)</f>
        <v>0</v>
      </c>
      <c r="M149" s="997">
        <f>ROUND((M82*(M218/$M$23))+M88,4)</f>
        <v>0</v>
      </c>
      <c r="N149" s="997">
        <f>ROUND((N82*(N218/$N$23))+N88,4)</f>
        <v>0</v>
      </c>
      <c r="O149" s="997">
        <f>ROUND((O82*(O218/$O$23))+O88,4)</f>
        <v>0</v>
      </c>
      <c r="P149" s="997">
        <f>ROUND((P82*(P218/$P$23))+P88,4)</f>
        <v>0</v>
      </c>
      <c r="Q149" s="997">
        <f>ROUND((Q82*(Q218/$Q$23))+Q88,4)</f>
        <v>0</v>
      </c>
      <c r="R149" s="997">
        <f>ROUND((R82*(R218/$R$23))+R88,4)</f>
        <v>0</v>
      </c>
      <c r="S149" s="1027">
        <f>ROUND((S82*(S218/$S$23))+S88,4)</f>
        <v>0</v>
      </c>
      <c r="T149" s="1001">
        <f>ROUND((T82*(T218/$T$23))+T88,4)</f>
        <v>0</v>
      </c>
    </row>
    <row r="150" spans="1:20" ht="14.85" customHeight="1">
      <c r="A150" s="959" t="s">
        <v>655</v>
      </c>
      <c r="B150" s="1161">
        <f>ROUND((B83*(B219/$B$23))+B89,4)</f>
        <v>0</v>
      </c>
      <c r="C150" s="997">
        <f>ROUND((C83*(C219/$C$23))+C89,4)</f>
        <v>0</v>
      </c>
      <c r="D150" s="997">
        <f>ROUND((D83*(D219/$D$23))+D89,4)</f>
        <v>0</v>
      </c>
      <c r="E150" s="997">
        <f>ROUND((E83*(E219/$E$23))+E89,4)</f>
        <v>0</v>
      </c>
      <c r="F150" s="997">
        <f>ROUND((F83*(F219/$F$23))+F89,4)</f>
        <v>0</v>
      </c>
      <c r="G150" s="997">
        <f>ROUND((G83*(G219/$G$23))+G89,4)</f>
        <v>0</v>
      </c>
      <c r="H150" s="997">
        <f>ROUND((H83*(H219/$H$23))+H89,4)</f>
        <v>0</v>
      </c>
      <c r="I150" s="997">
        <f>ROUND((I83*(I219/$I$23))+I89,4)</f>
        <v>0</v>
      </c>
      <c r="J150" s="997">
        <f>ROUND((J83*(J219/$J$23))+J89,4)</f>
        <v>0</v>
      </c>
      <c r="K150" s="959" t="s">
        <v>655</v>
      </c>
      <c r="L150" s="1161">
        <f>ROUND((L83*(L219/$L$23))+L89,4)</f>
        <v>0</v>
      </c>
      <c r="M150" s="997">
        <f>ROUND((M83*(M219/$M$23))+M89,4)</f>
        <v>0</v>
      </c>
      <c r="N150" s="997">
        <f>ROUND((N83*(N219/$N$23))+N89,4)</f>
        <v>0</v>
      </c>
      <c r="O150" s="997">
        <f>ROUND((O83*(O219/$O$23))+O89,4)</f>
        <v>0</v>
      </c>
      <c r="P150" s="997">
        <f>ROUND((P83*(P219/$P$23))+P89,4)</f>
        <v>0</v>
      </c>
      <c r="Q150" s="997">
        <f>ROUND((Q83*(Q219/$Q$23))+Q89,4)</f>
        <v>0</v>
      </c>
      <c r="R150" s="997">
        <f>ROUND((R83*(R219/$R$23))+R89,4)</f>
        <v>0</v>
      </c>
      <c r="S150" s="1027">
        <f>ROUND((S83*(S219/$S$23))+S89,4)</f>
        <v>0</v>
      </c>
      <c r="T150" s="1001">
        <f>ROUND((T83*(T219/$T$23))+T89,4)</f>
        <v>0</v>
      </c>
    </row>
    <row r="151" spans="1:20" ht="14.85" customHeight="1">
      <c r="A151" s="959" t="s">
        <v>637</v>
      </c>
      <c r="B151" s="1161">
        <f t="shared" ref="B151:I151" si="141">SUM(B148:B150)</f>
        <v>0</v>
      </c>
      <c r="C151" s="998">
        <f t="shared" si="141"/>
        <v>6.3733000000000004</v>
      </c>
      <c r="D151" s="998">
        <f t="shared" si="141"/>
        <v>0</v>
      </c>
      <c r="E151" s="998">
        <f t="shared" si="141"/>
        <v>0</v>
      </c>
      <c r="F151" s="998">
        <f t="shared" si="141"/>
        <v>0</v>
      </c>
      <c r="G151" s="998">
        <f t="shared" si="141"/>
        <v>0</v>
      </c>
      <c r="H151" s="998">
        <f t="shared" si="141"/>
        <v>0</v>
      </c>
      <c r="I151" s="998">
        <f t="shared" si="141"/>
        <v>0</v>
      </c>
      <c r="J151" s="999">
        <f>SUM(J148:J150)</f>
        <v>0</v>
      </c>
      <c r="K151" s="959" t="s">
        <v>637</v>
      </c>
      <c r="L151" s="1161">
        <f t="shared" ref="L151:S151" si="142">SUM(L148:L150)</f>
        <v>0</v>
      </c>
      <c r="M151" s="998">
        <f t="shared" si="142"/>
        <v>2.3363999999999998</v>
      </c>
      <c r="N151" s="998">
        <f t="shared" si="142"/>
        <v>0</v>
      </c>
      <c r="O151" s="998">
        <f t="shared" si="142"/>
        <v>0</v>
      </c>
      <c r="P151" s="998">
        <f t="shared" si="142"/>
        <v>0</v>
      </c>
      <c r="Q151" s="998">
        <f t="shared" si="142"/>
        <v>0</v>
      </c>
      <c r="R151" s="998">
        <f t="shared" si="142"/>
        <v>0</v>
      </c>
      <c r="S151" s="1000">
        <f t="shared" si="142"/>
        <v>0</v>
      </c>
      <c r="T151" s="1001">
        <f>SUM(T148:T150)</f>
        <v>0</v>
      </c>
    </row>
    <row r="152" spans="1:20" ht="14.85" customHeight="1">
      <c r="A152" s="959"/>
      <c r="B152" s="1161"/>
      <c r="C152" s="998"/>
      <c r="D152" s="998"/>
      <c r="E152" s="998"/>
      <c r="F152" s="998"/>
      <c r="G152" s="998"/>
      <c r="H152" s="998"/>
      <c r="I152" s="998"/>
      <c r="J152" s="999"/>
      <c r="K152" s="959"/>
      <c r="L152" s="1161"/>
      <c r="M152" s="998"/>
      <c r="N152" s="998"/>
      <c r="O152" s="998"/>
      <c r="P152" s="998"/>
      <c r="Q152" s="998"/>
      <c r="R152" s="998"/>
      <c r="S152" s="1000"/>
      <c r="T152" s="1001"/>
    </row>
    <row r="153" spans="1:20" ht="14.85" customHeight="1">
      <c r="A153" s="965" t="s">
        <v>656</v>
      </c>
      <c r="B153" s="1171" t="s">
        <v>657</v>
      </c>
      <c r="C153" s="1028">
        <v>0</v>
      </c>
      <c r="D153" s="1029" t="s">
        <v>658</v>
      </c>
      <c r="E153" s="1028">
        <v>0</v>
      </c>
      <c r="F153" s="1029" t="s">
        <v>659</v>
      </c>
      <c r="G153" s="1028">
        <v>0</v>
      </c>
      <c r="H153" s="998"/>
      <c r="I153" s="998"/>
      <c r="J153" s="999"/>
      <c r="K153" s="965" t="s">
        <v>656</v>
      </c>
      <c r="L153" s="1171" t="s">
        <v>657</v>
      </c>
      <c r="M153" s="1028">
        <v>0</v>
      </c>
      <c r="N153" s="1029" t="s">
        <v>658</v>
      </c>
      <c r="O153" s="1028">
        <v>0</v>
      </c>
      <c r="P153" s="1029" t="s">
        <v>659</v>
      </c>
      <c r="Q153" s="1028">
        <v>0</v>
      </c>
      <c r="R153" s="998"/>
      <c r="S153" s="1000"/>
      <c r="T153" s="1001"/>
    </row>
    <row r="154" spans="1:20" ht="14.85" customHeight="1">
      <c r="A154" s="959"/>
      <c r="B154" s="1161"/>
      <c r="C154" s="998"/>
      <c r="D154" s="998"/>
      <c r="E154" s="998"/>
      <c r="F154" s="998"/>
      <c r="G154" s="998"/>
      <c r="H154" s="998"/>
      <c r="I154" s="998"/>
      <c r="J154" s="999"/>
      <c r="K154" s="959"/>
      <c r="L154" s="1161"/>
      <c r="M154" s="998"/>
      <c r="N154" s="998"/>
      <c r="O154" s="998"/>
      <c r="P154" s="998"/>
      <c r="Q154" s="998"/>
      <c r="R154" s="998"/>
      <c r="S154" s="1000"/>
      <c r="T154" s="1001"/>
    </row>
    <row r="155" spans="1:20" ht="14.85" customHeight="1">
      <c r="A155" s="965" t="s">
        <v>660</v>
      </c>
      <c r="B155" s="1161"/>
      <c r="C155" s="998"/>
      <c r="D155" s="998"/>
      <c r="E155" s="998"/>
      <c r="F155" s="998"/>
      <c r="G155" s="998"/>
      <c r="H155" s="998"/>
      <c r="I155" s="998"/>
      <c r="J155" s="999"/>
      <c r="K155" s="965" t="s">
        <v>660</v>
      </c>
      <c r="L155" s="1161"/>
      <c r="M155" s="998"/>
      <c r="N155" s="998"/>
      <c r="O155" s="998"/>
      <c r="P155" s="998"/>
      <c r="Q155" s="998"/>
      <c r="R155" s="998"/>
      <c r="S155" s="1000"/>
      <c r="T155" s="1001"/>
    </row>
    <row r="156" spans="1:20" ht="14.85" customHeight="1">
      <c r="A156" s="959" t="s">
        <v>661</v>
      </c>
      <c r="B156" s="1161">
        <f t="shared" ref="B156:J156" si="143">ROUND(0.1*B31/2*(B215/$B$23)^2*$C$153,4)</f>
        <v>0</v>
      </c>
      <c r="C156" s="997">
        <f t="shared" si="143"/>
        <v>0</v>
      </c>
      <c r="D156" s="997">
        <f t="shared" si="143"/>
        <v>0</v>
      </c>
      <c r="E156" s="997">
        <f t="shared" si="143"/>
        <v>0</v>
      </c>
      <c r="F156" s="997">
        <f t="shared" si="143"/>
        <v>0</v>
      </c>
      <c r="G156" s="997">
        <f t="shared" si="143"/>
        <v>0</v>
      </c>
      <c r="H156" s="997">
        <f t="shared" si="143"/>
        <v>0</v>
      </c>
      <c r="I156" s="997">
        <f t="shared" si="143"/>
        <v>0</v>
      </c>
      <c r="J156" s="997">
        <f t="shared" si="143"/>
        <v>0</v>
      </c>
      <c r="K156" s="959" t="s">
        <v>661</v>
      </c>
      <c r="L156" s="1161">
        <f>ROUND(0.1*L31/2*(L215/$L$23)^2*$M$153,4)</f>
        <v>0</v>
      </c>
      <c r="M156" s="997">
        <f>ROUND(0.1*M31/2*(M215/$M$23)^2*$M$153,4)</f>
        <v>0</v>
      </c>
      <c r="N156" s="997">
        <f>ROUND(0.1*N31/2*(N215/$N$23)^2*$M$153,4)</f>
        <v>0</v>
      </c>
      <c r="O156" s="997">
        <f>ROUND(0.1*O31/2*(O215/$O$23)^2*$M$153,4)</f>
        <v>0</v>
      </c>
      <c r="P156" s="997">
        <f>ROUND(0.1*P31/2*(P215/$P$23)^2*$M$153,4)</f>
        <v>0</v>
      </c>
      <c r="Q156" s="997">
        <f>ROUND(0.1*Q31/2*(Q215/$Q$23)^2*$M$153,4)</f>
        <v>0</v>
      </c>
      <c r="R156" s="997">
        <f>ROUND(0.1*R31/2*(R215/$R$23)^2*$M$153,4)</f>
        <v>0</v>
      </c>
      <c r="S156" s="1027">
        <f>ROUND(0.1*S31/2*(S215/$S$23)^2*$M$153,4)</f>
        <v>0</v>
      </c>
      <c r="T156" s="1001">
        <f>ROUND(0.1*T31/2*(T215/$T$23)^2*$M$153,4)</f>
        <v>0</v>
      </c>
    </row>
    <row r="157" spans="1:20" ht="14.85" customHeight="1">
      <c r="A157" s="959" t="s">
        <v>662</v>
      </c>
      <c r="B157" s="1161">
        <f t="shared" ref="B157:J157" si="144">ROUND(0.1*B31/2*(B215/$B$23)^2*$E$153,4)</f>
        <v>0</v>
      </c>
      <c r="C157" s="997">
        <f t="shared" si="144"/>
        <v>0</v>
      </c>
      <c r="D157" s="997">
        <f t="shared" si="144"/>
        <v>0</v>
      </c>
      <c r="E157" s="997">
        <f t="shared" si="144"/>
        <v>0</v>
      </c>
      <c r="F157" s="997">
        <f t="shared" si="144"/>
        <v>0</v>
      </c>
      <c r="G157" s="997">
        <f t="shared" si="144"/>
        <v>0</v>
      </c>
      <c r="H157" s="997">
        <f t="shared" si="144"/>
        <v>0</v>
      </c>
      <c r="I157" s="997">
        <f t="shared" si="144"/>
        <v>0</v>
      </c>
      <c r="J157" s="997">
        <f t="shared" si="144"/>
        <v>0</v>
      </c>
      <c r="K157" s="959" t="s">
        <v>662</v>
      </c>
      <c r="L157" s="1161">
        <f>ROUND(0.1*L31/2*(L215/$L$23)^2*$O$153,4)</f>
        <v>0</v>
      </c>
      <c r="M157" s="997">
        <f>ROUND(0.1*M31/2*(M215/$M$23)^2*$O$153,4)</f>
        <v>0</v>
      </c>
      <c r="N157" s="997">
        <f>ROUND(0.1*N31/2*(N215/$N$23)^2*$O$153,4)</f>
        <v>0</v>
      </c>
      <c r="O157" s="997">
        <f>ROUND(0.1*O31/2*(O215/$O$23)^2*$O$153,4)</f>
        <v>0</v>
      </c>
      <c r="P157" s="997">
        <f>ROUND(0.1*P31/2*(P215/$P$23)^2*$O$153,4)</f>
        <v>0</v>
      </c>
      <c r="Q157" s="997">
        <f>ROUND(0.1*Q31/2*(Q215/$Q$23)^2*$O$153,4)</f>
        <v>0</v>
      </c>
      <c r="R157" s="997">
        <f>ROUND(0.1*R31/2*(R215/$R$23)^2*$O$153,4)</f>
        <v>0</v>
      </c>
      <c r="S157" s="1027">
        <f>ROUND(0.1*S31/2*(S215/$S$23)^2*$O$153,4)</f>
        <v>0</v>
      </c>
      <c r="T157" s="1001">
        <f>ROUND(0.1*T31/2*(T215/$T$23)^2*$O$153,4)</f>
        <v>0</v>
      </c>
    </row>
    <row r="158" spans="1:20" ht="14.85" customHeight="1">
      <c r="A158" s="959" t="s">
        <v>663</v>
      </c>
      <c r="B158" s="1161">
        <f t="shared" ref="B158:J158" si="145">ROUND(0.1*B31/2*(B215/$B$23)^2*$G$153,4)</f>
        <v>0</v>
      </c>
      <c r="C158" s="997">
        <f t="shared" si="145"/>
        <v>0</v>
      </c>
      <c r="D158" s="997">
        <f t="shared" si="145"/>
        <v>0</v>
      </c>
      <c r="E158" s="997">
        <f t="shared" si="145"/>
        <v>0</v>
      </c>
      <c r="F158" s="997">
        <f t="shared" si="145"/>
        <v>0</v>
      </c>
      <c r="G158" s="997">
        <f t="shared" si="145"/>
        <v>0</v>
      </c>
      <c r="H158" s="997">
        <f t="shared" si="145"/>
        <v>0</v>
      </c>
      <c r="I158" s="997">
        <f t="shared" si="145"/>
        <v>0</v>
      </c>
      <c r="J158" s="997">
        <f t="shared" si="145"/>
        <v>0</v>
      </c>
      <c r="K158" s="959" t="s">
        <v>663</v>
      </c>
      <c r="L158" s="1161">
        <f>ROUND(0.1*L31/2*(L215/$L$23)^2*$Q$153,4)</f>
        <v>0</v>
      </c>
      <c r="M158" s="997">
        <f>ROUND(0.1*M31/2*(M215/$M$23)^2*$Q$153,4)</f>
        <v>0</v>
      </c>
      <c r="N158" s="997">
        <f>ROUND(0.1*N31/2*(N215/$N$23)^2*$Q$153,4)</f>
        <v>0</v>
      </c>
      <c r="O158" s="997">
        <f>ROUND(0.1*O31/2*(O215/$O$23)^2*$Q$153,4)</f>
        <v>0</v>
      </c>
      <c r="P158" s="997">
        <f>ROUND(0.1*P31/2*(P215/$P$23)^2*$Q$153,4)</f>
        <v>0</v>
      </c>
      <c r="Q158" s="997">
        <f>ROUND(0.1*Q31/2*(Q215/$Q$23)^2*$Q$153,4)</f>
        <v>0</v>
      </c>
      <c r="R158" s="997">
        <f>ROUND(0.1*R31/2*(R215/$R$23)^2*$Q$153,4)</f>
        <v>0</v>
      </c>
      <c r="S158" s="1027">
        <f>ROUND(0.1*S31/2*(S215/$S$23)^2*$Q$153,4)</f>
        <v>0</v>
      </c>
      <c r="T158" s="1001">
        <f>ROUND(0.1*T31/2*(T215/$T$23)^2*$Q$153,4)</f>
        <v>0</v>
      </c>
    </row>
    <row r="159" spans="1:20" ht="14.85" customHeight="1">
      <c r="A159" s="959" t="s">
        <v>637</v>
      </c>
      <c r="B159" s="1161">
        <f t="shared" ref="B159:I159" si="146">SUM(B156:B158)</f>
        <v>0</v>
      </c>
      <c r="C159" s="998">
        <f t="shared" si="146"/>
        <v>0</v>
      </c>
      <c r="D159" s="998">
        <f t="shared" si="146"/>
        <v>0</v>
      </c>
      <c r="E159" s="998">
        <f t="shared" si="146"/>
        <v>0</v>
      </c>
      <c r="F159" s="998">
        <f t="shared" si="146"/>
        <v>0</v>
      </c>
      <c r="G159" s="998">
        <f t="shared" si="146"/>
        <v>0</v>
      </c>
      <c r="H159" s="998">
        <f t="shared" si="146"/>
        <v>0</v>
      </c>
      <c r="I159" s="998">
        <f t="shared" si="146"/>
        <v>0</v>
      </c>
      <c r="J159" s="999">
        <f>SUM(J156:J158)</f>
        <v>0</v>
      </c>
      <c r="K159" s="959" t="s">
        <v>637</v>
      </c>
      <c r="L159" s="1161">
        <f t="shared" ref="L159:S159" si="147">SUM(L156:L158)</f>
        <v>0</v>
      </c>
      <c r="M159" s="998">
        <f t="shared" si="147"/>
        <v>0</v>
      </c>
      <c r="N159" s="998">
        <f t="shared" si="147"/>
        <v>0</v>
      </c>
      <c r="O159" s="998">
        <f t="shared" si="147"/>
        <v>0</v>
      </c>
      <c r="P159" s="998">
        <f t="shared" si="147"/>
        <v>0</v>
      </c>
      <c r="Q159" s="998">
        <f t="shared" si="147"/>
        <v>0</v>
      </c>
      <c r="R159" s="998">
        <f t="shared" si="147"/>
        <v>0</v>
      </c>
      <c r="S159" s="1000">
        <f t="shared" si="147"/>
        <v>0</v>
      </c>
      <c r="T159" s="1001">
        <f>SUM(T156:T158)</f>
        <v>0</v>
      </c>
    </row>
    <row r="160" spans="1:20" ht="14.85" customHeight="1">
      <c r="A160" s="959"/>
      <c r="B160" s="1161"/>
      <c r="C160" s="998"/>
      <c r="D160" s="998"/>
      <c r="E160" s="998"/>
      <c r="F160" s="998"/>
      <c r="G160" s="998"/>
      <c r="H160" s="998"/>
      <c r="I160" s="998"/>
      <c r="J160" s="999"/>
      <c r="K160" s="959"/>
      <c r="L160" s="1161"/>
      <c r="M160" s="998"/>
      <c r="N160" s="998"/>
      <c r="O160" s="998"/>
      <c r="P160" s="998"/>
      <c r="Q160" s="998"/>
      <c r="R160" s="998"/>
      <c r="S160" s="1000"/>
      <c r="T160" s="1001"/>
    </row>
    <row r="161" spans="1:20" ht="14.85" customHeight="1">
      <c r="A161" s="965" t="s">
        <v>664</v>
      </c>
      <c r="B161" s="1161"/>
      <c r="C161" s="998"/>
      <c r="D161" s="998"/>
      <c r="E161" s="998"/>
      <c r="F161" s="998"/>
      <c r="G161" s="998"/>
      <c r="H161" s="998"/>
      <c r="I161" s="998"/>
      <c r="J161" s="999"/>
      <c r="K161" s="965" t="s">
        <v>664</v>
      </c>
      <c r="L161" s="1161"/>
      <c r="M161" s="998"/>
      <c r="N161" s="998"/>
      <c r="O161" s="998"/>
      <c r="P161" s="998"/>
      <c r="Q161" s="998"/>
      <c r="R161" s="998"/>
      <c r="S161" s="1000"/>
      <c r="T161" s="1001"/>
    </row>
    <row r="162" spans="1:20" ht="14.85" customHeight="1">
      <c r="A162" s="959" t="s">
        <v>665</v>
      </c>
      <c r="B162" s="1161">
        <f t="shared" ref="B162:I162" si="148">B125</f>
        <v>0.2626</v>
      </c>
      <c r="C162" s="997">
        <f t="shared" si="148"/>
        <v>226.22450000000003</v>
      </c>
      <c r="D162" s="997">
        <f t="shared" si="148"/>
        <v>2.7739000000000003</v>
      </c>
      <c r="E162" s="997">
        <f t="shared" si="148"/>
        <v>10.9255</v>
      </c>
      <c r="F162" s="997">
        <f t="shared" si="148"/>
        <v>20.1067</v>
      </c>
      <c r="G162" s="997">
        <f t="shared" si="148"/>
        <v>30.631599999999999</v>
      </c>
      <c r="H162" s="997">
        <f t="shared" si="148"/>
        <v>40.380099999999999</v>
      </c>
      <c r="I162" s="997">
        <f t="shared" si="148"/>
        <v>52.210899999999995</v>
      </c>
      <c r="J162" s="997">
        <f>J125</f>
        <v>64.320899999999995</v>
      </c>
      <c r="K162" s="959" t="s">
        <v>666</v>
      </c>
      <c r="L162" s="1161">
        <f t="shared" ref="L162:S162" si="149">L125</f>
        <v>0.74650000000000016</v>
      </c>
      <c r="M162" s="997">
        <f t="shared" si="149"/>
        <v>367.36340000000007</v>
      </c>
      <c r="N162" s="997">
        <f t="shared" si="149"/>
        <v>7.5742999999999991</v>
      </c>
      <c r="O162" s="997">
        <f t="shared" si="149"/>
        <v>19.781800000000004</v>
      </c>
      <c r="P162" s="997">
        <f t="shared" si="149"/>
        <v>33.915900000000001</v>
      </c>
      <c r="Q162" s="997">
        <f t="shared" si="149"/>
        <v>50.083100000000016</v>
      </c>
      <c r="R162" s="997">
        <f t="shared" si="149"/>
        <v>65.35799999999999</v>
      </c>
      <c r="S162" s="1027">
        <f t="shared" si="149"/>
        <v>82.2166</v>
      </c>
      <c r="T162" s="1001">
        <f>T125</f>
        <v>100.02199999999999</v>
      </c>
    </row>
    <row r="163" spans="1:20" ht="14.85" customHeight="1">
      <c r="A163" s="959" t="s">
        <v>667</v>
      </c>
      <c r="B163" s="1161">
        <f t="shared" ref="B163:I163" si="150">B132</f>
        <v>14.125599999999999</v>
      </c>
      <c r="C163" s="997">
        <f t="shared" si="150"/>
        <v>14.125599999999999</v>
      </c>
      <c r="D163" s="997">
        <f t="shared" si="150"/>
        <v>14.125599999999999</v>
      </c>
      <c r="E163" s="997">
        <f t="shared" si="150"/>
        <v>14.125599999999999</v>
      </c>
      <c r="F163" s="997">
        <f t="shared" si="150"/>
        <v>14.125599999999999</v>
      </c>
      <c r="G163" s="997">
        <f t="shared" si="150"/>
        <v>14.125599999999999</v>
      </c>
      <c r="H163" s="997">
        <f t="shared" si="150"/>
        <v>14.125599999999999</v>
      </c>
      <c r="I163" s="997">
        <f t="shared" si="150"/>
        <v>14.125599999999999</v>
      </c>
      <c r="J163" s="997">
        <f>J132</f>
        <v>14.125599999999999</v>
      </c>
      <c r="K163" s="959" t="s">
        <v>668</v>
      </c>
      <c r="L163" s="1161">
        <f t="shared" ref="L163:S163" si="151">L132</f>
        <v>12.301299999999998</v>
      </c>
      <c r="M163" s="997">
        <f t="shared" si="151"/>
        <v>12.991299999999999</v>
      </c>
      <c r="N163" s="997">
        <f t="shared" si="151"/>
        <v>12.991299999999999</v>
      </c>
      <c r="O163" s="997">
        <f t="shared" si="151"/>
        <v>12.991299999999999</v>
      </c>
      <c r="P163" s="997">
        <f t="shared" si="151"/>
        <v>12.991299999999999</v>
      </c>
      <c r="Q163" s="997">
        <f t="shared" si="151"/>
        <v>12.991299999999999</v>
      </c>
      <c r="R163" s="997">
        <f t="shared" si="151"/>
        <v>12.991299999999999</v>
      </c>
      <c r="S163" s="1027">
        <f t="shared" si="151"/>
        <v>12.991299999999999</v>
      </c>
      <c r="T163" s="1001">
        <f>T132</f>
        <v>12.991299999999999</v>
      </c>
    </row>
    <row r="164" spans="1:20" ht="14.85" customHeight="1">
      <c r="A164" s="959" t="s">
        <v>669</v>
      </c>
      <c r="B164" s="1161">
        <f t="shared" ref="B164:I164" si="152">B139</f>
        <v>-21.624400000000001</v>
      </c>
      <c r="C164" s="997">
        <f t="shared" si="152"/>
        <v>60.830300000000008</v>
      </c>
      <c r="D164" s="997">
        <f t="shared" si="152"/>
        <v>16.779</v>
      </c>
      <c r="E164" s="997">
        <f t="shared" si="152"/>
        <v>24.8004</v>
      </c>
      <c r="F164" s="997">
        <f t="shared" si="152"/>
        <v>34.129800000000003</v>
      </c>
      <c r="G164" s="997">
        <f t="shared" si="152"/>
        <v>44.686999999999998</v>
      </c>
      <c r="H164" s="997">
        <f t="shared" si="152"/>
        <v>54.4696</v>
      </c>
      <c r="I164" s="997">
        <f t="shared" si="152"/>
        <v>65.934699999999992</v>
      </c>
      <c r="J164" s="997">
        <f>J139</f>
        <v>78.377400000000009</v>
      </c>
      <c r="K164" s="959" t="s">
        <v>669</v>
      </c>
      <c r="L164" s="1161">
        <f t="shared" ref="L164:S164" si="153">L139</f>
        <v>-18.232500000000002</v>
      </c>
      <c r="M164" s="997">
        <f t="shared" si="153"/>
        <v>233.35709999999995</v>
      </c>
      <c r="N164" s="997">
        <f t="shared" si="153"/>
        <v>20.37149999999999</v>
      </c>
      <c r="O164" s="997">
        <f t="shared" si="153"/>
        <v>32.666200000000003</v>
      </c>
      <c r="P164" s="997">
        <f t="shared" si="153"/>
        <v>46.718899999999991</v>
      </c>
      <c r="Q164" s="997">
        <f t="shared" si="153"/>
        <v>62.967100000000016</v>
      </c>
      <c r="R164" s="997">
        <f t="shared" si="153"/>
        <v>78.042000000000002</v>
      </c>
      <c r="S164" s="1027">
        <f t="shared" si="153"/>
        <v>95.067299999999989</v>
      </c>
      <c r="T164" s="1001">
        <f>T139</f>
        <v>112.97999999999996</v>
      </c>
    </row>
    <row r="165" spans="1:20" ht="14.85" customHeight="1">
      <c r="A165" s="959" t="s">
        <v>670</v>
      </c>
      <c r="B165" s="1161">
        <f t="shared" ref="B165:I165" si="154">B145</f>
        <v>0</v>
      </c>
      <c r="C165" s="997">
        <f t="shared" si="154"/>
        <v>0</v>
      </c>
      <c r="D165" s="997">
        <f t="shared" si="154"/>
        <v>0</v>
      </c>
      <c r="E165" s="997">
        <f t="shared" si="154"/>
        <v>0</v>
      </c>
      <c r="F165" s="997">
        <f t="shared" si="154"/>
        <v>0</v>
      </c>
      <c r="G165" s="997">
        <f t="shared" si="154"/>
        <v>0</v>
      </c>
      <c r="H165" s="997">
        <f t="shared" si="154"/>
        <v>0</v>
      </c>
      <c r="I165" s="997">
        <f t="shared" si="154"/>
        <v>0</v>
      </c>
      <c r="J165" s="997">
        <f>J145</f>
        <v>0</v>
      </c>
      <c r="K165" s="959" t="s">
        <v>671</v>
      </c>
      <c r="L165" s="1161">
        <f t="shared" ref="L165:S165" si="155">L145</f>
        <v>0</v>
      </c>
      <c r="M165" s="997">
        <f t="shared" si="155"/>
        <v>0</v>
      </c>
      <c r="N165" s="997">
        <f t="shared" si="155"/>
        <v>0</v>
      </c>
      <c r="O165" s="997">
        <f t="shared" si="155"/>
        <v>0</v>
      </c>
      <c r="P165" s="997">
        <f t="shared" si="155"/>
        <v>0</v>
      </c>
      <c r="Q165" s="997">
        <f t="shared" si="155"/>
        <v>0</v>
      </c>
      <c r="R165" s="997">
        <f t="shared" si="155"/>
        <v>0</v>
      </c>
      <c r="S165" s="1027">
        <f t="shared" si="155"/>
        <v>0</v>
      </c>
      <c r="T165" s="1001">
        <f>T145</f>
        <v>0</v>
      </c>
    </row>
    <row r="166" spans="1:20" ht="14.85" customHeight="1">
      <c r="A166" s="959" t="s">
        <v>672</v>
      </c>
      <c r="B166" s="1161">
        <f t="shared" ref="B166:I166" si="156">B151</f>
        <v>0</v>
      </c>
      <c r="C166" s="997">
        <f t="shared" si="156"/>
        <v>6.3733000000000004</v>
      </c>
      <c r="D166" s="997">
        <f t="shared" si="156"/>
        <v>0</v>
      </c>
      <c r="E166" s="997">
        <f t="shared" si="156"/>
        <v>0</v>
      </c>
      <c r="F166" s="997">
        <f t="shared" si="156"/>
        <v>0</v>
      </c>
      <c r="G166" s="997">
        <f t="shared" si="156"/>
        <v>0</v>
      </c>
      <c r="H166" s="997">
        <f t="shared" si="156"/>
        <v>0</v>
      </c>
      <c r="I166" s="997">
        <f t="shared" si="156"/>
        <v>0</v>
      </c>
      <c r="J166" s="997">
        <f>J151</f>
        <v>0</v>
      </c>
      <c r="K166" s="959" t="s">
        <v>673</v>
      </c>
      <c r="L166" s="1161">
        <f t="shared" ref="L166:S166" si="157">L151</f>
        <v>0</v>
      </c>
      <c r="M166" s="997">
        <f t="shared" si="157"/>
        <v>2.3363999999999998</v>
      </c>
      <c r="N166" s="997">
        <f t="shared" si="157"/>
        <v>0</v>
      </c>
      <c r="O166" s="997">
        <f t="shared" si="157"/>
        <v>0</v>
      </c>
      <c r="P166" s="997">
        <f t="shared" si="157"/>
        <v>0</v>
      </c>
      <c r="Q166" s="997">
        <f t="shared" si="157"/>
        <v>0</v>
      </c>
      <c r="R166" s="997">
        <f t="shared" si="157"/>
        <v>0</v>
      </c>
      <c r="S166" s="1027">
        <f t="shared" si="157"/>
        <v>0</v>
      </c>
      <c r="T166" s="1001">
        <f>T151</f>
        <v>0</v>
      </c>
    </row>
    <row r="167" spans="1:20" ht="14.85" customHeight="1">
      <c r="A167" s="959" t="s">
        <v>674</v>
      </c>
      <c r="B167" s="1161">
        <f t="shared" ref="B167:I167" si="158">B159</f>
        <v>0</v>
      </c>
      <c r="C167" s="997">
        <f t="shared" si="158"/>
        <v>0</v>
      </c>
      <c r="D167" s="997">
        <f t="shared" si="158"/>
        <v>0</v>
      </c>
      <c r="E167" s="997">
        <f t="shared" si="158"/>
        <v>0</v>
      </c>
      <c r="F167" s="997">
        <f t="shared" si="158"/>
        <v>0</v>
      </c>
      <c r="G167" s="997">
        <f t="shared" si="158"/>
        <v>0</v>
      </c>
      <c r="H167" s="997">
        <f t="shared" si="158"/>
        <v>0</v>
      </c>
      <c r="I167" s="997">
        <f t="shared" si="158"/>
        <v>0</v>
      </c>
      <c r="J167" s="997">
        <f>J159</f>
        <v>0</v>
      </c>
      <c r="K167" s="959" t="s">
        <v>674</v>
      </c>
      <c r="L167" s="1161">
        <f t="shared" ref="L167:S167" si="159">L159</f>
        <v>0</v>
      </c>
      <c r="M167" s="997">
        <f t="shared" si="159"/>
        <v>0</v>
      </c>
      <c r="N167" s="997">
        <f t="shared" si="159"/>
        <v>0</v>
      </c>
      <c r="O167" s="997">
        <f t="shared" si="159"/>
        <v>0</v>
      </c>
      <c r="P167" s="997">
        <f t="shared" si="159"/>
        <v>0</v>
      </c>
      <c r="Q167" s="997">
        <f t="shared" si="159"/>
        <v>0</v>
      </c>
      <c r="R167" s="997">
        <f t="shared" si="159"/>
        <v>0</v>
      </c>
      <c r="S167" s="1027">
        <f t="shared" si="159"/>
        <v>0</v>
      </c>
      <c r="T167" s="1001">
        <f>T159</f>
        <v>0</v>
      </c>
    </row>
    <row r="168" spans="1:20" ht="14.85" customHeight="1">
      <c r="A168" s="959"/>
      <c r="B168" s="1161"/>
      <c r="C168" s="998"/>
      <c r="D168" s="998"/>
      <c r="E168" s="998"/>
      <c r="F168" s="998"/>
      <c r="G168" s="998"/>
      <c r="H168" s="998"/>
      <c r="I168" s="998"/>
      <c r="J168" s="999"/>
      <c r="K168" s="959"/>
      <c r="L168" s="1161"/>
      <c r="M168" s="998"/>
      <c r="N168" s="998"/>
      <c r="O168" s="998"/>
      <c r="P168" s="998"/>
      <c r="Q168" s="998"/>
      <c r="R168" s="998"/>
      <c r="S168" s="1000"/>
      <c r="T168" s="1001"/>
    </row>
    <row r="169" spans="1:20" ht="14.85" customHeight="1">
      <c r="A169" s="965" t="s">
        <v>675</v>
      </c>
      <c r="B169" s="1161"/>
      <c r="C169" s="998"/>
      <c r="D169" s="998"/>
      <c r="E169" s="998"/>
      <c r="F169" s="998"/>
      <c r="G169" s="998"/>
      <c r="H169" s="998"/>
      <c r="I169" s="998"/>
      <c r="J169" s="999"/>
      <c r="K169" s="965" t="s">
        <v>675</v>
      </c>
      <c r="L169" s="1161"/>
      <c r="M169" s="998"/>
      <c r="N169" s="998"/>
      <c r="O169" s="998"/>
      <c r="P169" s="998"/>
      <c r="Q169" s="998"/>
      <c r="R169" s="998"/>
      <c r="S169" s="1000"/>
      <c r="T169" s="1001"/>
    </row>
    <row r="170" spans="1:20" ht="14.85" customHeight="1">
      <c r="A170" s="959" t="s">
        <v>676</v>
      </c>
      <c r="B170" s="1161">
        <f t="shared" ref="B170:I170" si="160">B162+B163-B164-B165-B166+B167</f>
        <v>36.012599999999999</v>
      </c>
      <c r="C170" s="997">
        <f t="shared" si="160"/>
        <v>173.14650000000003</v>
      </c>
      <c r="D170" s="997">
        <f t="shared" si="160"/>
        <v>0.12049999999999983</v>
      </c>
      <c r="E170" s="997">
        <f t="shared" si="160"/>
        <v>0.25069999999999837</v>
      </c>
      <c r="F170" s="997">
        <f t="shared" si="160"/>
        <v>0.10249999999999204</v>
      </c>
      <c r="G170" s="997">
        <f t="shared" si="160"/>
        <v>7.0199999999999818E-2</v>
      </c>
      <c r="H170" s="997">
        <f t="shared" si="160"/>
        <v>3.6099999999997578E-2</v>
      </c>
      <c r="I170" s="997">
        <f t="shared" si="160"/>
        <v>0.40180000000000859</v>
      </c>
      <c r="J170" s="997">
        <f>J162+J163-J164-J165-J166+J167</f>
        <v>6.9099999999977513E-2</v>
      </c>
      <c r="K170" s="959" t="s">
        <v>676</v>
      </c>
      <c r="L170" s="1161">
        <f t="shared" ref="L170:S170" si="161">L162+L163-L164-L165-L166+L167</f>
        <v>31.2803</v>
      </c>
      <c r="M170" s="997">
        <f t="shared" si="161"/>
        <v>144.66120000000015</v>
      </c>
      <c r="N170" s="997">
        <f t="shared" si="161"/>
        <v>0.19410000000000593</v>
      </c>
      <c r="O170" s="997">
        <f t="shared" si="161"/>
        <v>0.106899999999996</v>
      </c>
      <c r="P170" s="997">
        <f t="shared" si="161"/>
        <v>0.18830000000001235</v>
      </c>
      <c r="Q170" s="997">
        <f t="shared" si="161"/>
        <v>0.10729999999999507</v>
      </c>
      <c r="R170" s="997">
        <f t="shared" si="161"/>
        <v>0.3072999999999837</v>
      </c>
      <c r="S170" s="1027">
        <f t="shared" si="161"/>
        <v>0.14060000000000628</v>
      </c>
      <c r="T170" s="1001">
        <f>T162+T163-T164-T165-T166+T167</f>
        <v>3.330000000002542E-2</v>
      </c>
    </row>
    <row r="171" spans="1:20" ht="14.85" customHeight="1">
      <c r="A171" s="959"/>
      <c r="B171" s="1161"/>
      <c r="C171" s="998"/>
      <c r="D171" s="998"/>
      <c r="E171" s="998"/>
      <c r="F171" s="998"/>
      <c r="G171" s="998"/>
      <c r="H171" s="998"/>
      <c r="I171" s="998"/>
      <c r="J171" s="999"/>
      <c r="K171" s="959"/>
      <c r="L171" s="1161"/>
      <c r="M171" s="998"/>
      <c r="N171" s="998"/>
      <c r="O171" s="998"/>
      <c r="P171" s="998"/>
      <c r="Q171" s="998"/>
      <c r="R171" s="998"/>
      <c r="S171" s="1000"/>
      <c r="T171" s="1001"/>
    </row>
    <row r="172" spans="1:20" ht="14.85" customHeight="1">
      <c r="A172" s="965" t="s">
        <v>677</v>
      </c>
      <c r="B172" s="1164">
        <v>0</v>
      </c>
      <c r="C172" s="1009">
        <f t="shared" ref="C172:J173" si="162">B172</f>
        <v>0</v>
      </c>
      <c r="D172" s="1009">
        <f t="shared" si="162"/>
        <v>0</v>
      </c>
      <c r="E172" s="1009">
        <f t="shared" si="162"/>
        <v>0</v>
      </c>
      <c r="F172" s="1009">
        <f t="shared" si="162"/>
        <v>0</v>
      </c>
      <c r="G172" s="1009">
        <f t="shared" si="162"/>
        <v>0</v>
      </c>
      <c r="H172" s="1009">
        <f t="shared" si="162"/>
        <v>0</v>
      </c>
      <c r="I172" s="1009">
        <f t="shared" si="162"/>
        <v>0</v>
      </c>
      <c r="J172" s="1010">
        <f t="shared" si="162"/>
        <v>0</v>
      </c>
      <c r="K172" s="965" t="s">
        <v>677</v>
      </c>
      <c r="L172" s="1164">
        <v>0</v>
      </c>
      <c r="M172" s="1009">
        <f t="shared" ref="M172:T173" si="163">L172</f>
        <v>0</v>
      </c>
      <c r="N172" s="1009">
        <f t="shared" si="163"/>
        <v>0</v>
      </c>
      <c r="O172" s="1009">
        <f t="shared" si="163"/>
        <v>0</v>
      </c>
      <c r="P172" s="1009">
        <f t="shared" si="163"/>
        <v>0</v>
      </c>
      <c r="Q172" s="1009">
        <f t="shared" si="163"/>
        <v>0</v>
      </c>
      <c r="R172" s="1009">
        <f t="shared" si="163"/>
        <v>0</v>
      </c>
      <c r="S172" s="1012">
        <f t="shared" si="163"/>
        <v>0</v>
      </c>
      <c r="T172" s="1013">
        <f t="shared" si="163"/>
        <v>0</v>
      </c>
    </row>
    <row r="173" spans="1:20" ht="14.85" customHeight="1">
      <c r="A173" s="965" t="s">
        <v>678</v>
      </c>
      <c r="B173" s="1164">
        <v>80</v>
      </c>
      <c r="C173" s="1009">
        <f t="shared" si="162"/>
        <v>80</v>
      </c>
      <c r="D173" s="1009">
        <f t="shared" si="162"/>
        <v>80</v>
      </c>
      <c r="E173" s="1009">
        <f t="shared" si="162"/>
        <v>80</v>
      </c>
      <c r="F173" s="1009">
        <f t="shared" si="162"/>
        <v>80</v>
      </c>
      <c r="G173" s="1009">
        <f t="shared" si="162"/>
        <v>80</v>
      </c>
      <c r="H173" s="1009">
        <f t="shared" si="162"/>
        <v>80</v>
      </c>
      <c r="I173" s="1009">
        <f t="shared" si="162"/>
        <v>80</v>
      </c>
      <c r="J173" s="1010">
        <f t="shared" si="162"/>
        <v>80</v>
      </c>
      <c r="K173" s="965" t="s">
        <v>678</v>
      </c>
      <c r="L173" s="1164">
        <v>80</v>
      </c>
      <c r="M173" s="1009">
        <f t="shared" si="163"/>
        <v>80</v>
      </c>
      <c r="N173" s="1009">
        <f t="shared" si="163"/>
        <v>80</v>
      </c>
      <c r="O173" s="1009">
        <f t="shared" si="163"/>
        <v>80</v>
      </c>
      <c r="P173" s="1009">
        <f t="shared" si="163"/>
        <v>80</v>
      </c>
      <c r="Q173" s="1009">
        <f t="shared" si="163"/>
        <v>80</v>
      </c>
      <c r="R173" s="1009">
        <f t="shared" si="163"/>
        <v>80</v>
      </c>
      <c r="S173" s="1012">
        <f t="shared" si="163"/>
        <v>80</v>
      </c>
      <c r="T173" s="1013">
        <f t="shared" si="163"/>
        <v>80</v>
      </c>
    </row>
    <row r="174" spans="1:20" ht="14.85" customHeight="1">
      <c r="A174" s="965" t="s">
        <v>679</v>
      </c>
      <c r="B174" s="1165"/>
      <c r="C174" s="1009"/>
      <c r="D174" s="1009"/>
      <c r="E174" s="1009"/>
      <c r="F174" s="1009"/>
      <c r="G174" s="1009"/>
      <c r="H174" s="1009"/>
      <c r="I174" s="1009"/>
      <c r="J174" s="1010"/>
      <c r="K174" s="965" t="s">
        <v>679</v>
      </c>
      <c r="L174" s="1165"/>
      <c r="M174" s="1009"/>
      <c r="N174" s="1009"/>
      <c r="O174" s="1009"/>
      <c r="P174" s="1009"/>
      <c r="Q174" s="1009"/>
      <c r="R174" s="1009"/>
      <c r="S174" s="1012"/>
      <c r="T174" s="1013"/>
    </row>
    <row r="175" spans="1:20" ht="14.85" customHeight="1">
      <c r="A175" s="959" t="s">
        <v>680</v>
      </c>
      <c r="B175" s="1166">
        <f t="shared" ref="B175:J175" si="164">IF(B172=0,0,IF($B$198="",ROUND(B7*B253/B25/B173*100,0),$B$198))</f>
        <v>0</v>
      </c>
      <c r="C175" s="1009">
        <f t="shared" si="164"/>
        <v>0</v>
      </c>
      <c r="D175" s="1009">
        <f t="shared" si="164"/>
        <v>0</v>
      </c>
      <c r="E175" s="1009">
        <f t="shared" si="164"/>
        <v>0</v>
      </c>
      <c r="F175" s="1009">
        <f t="shared" si="164"/>
        <v>0</v>
      </c>
      <c r="G175" s="1009">
        <f t="shared" si="164"/>
        <v>0</v>
      </c>
      <c r="H175" s="1009">
        <f t="shared" si="164"/>
        <v>0</v>
      </c>
      <c r="I175" s="1009">
        <f t="shared" si="164"/>
        <v>0</v>
      </c>
      <c r="J175" s="1010">
        <f t="shared" si="164"/>
        <v>0</v>
      </c>
      <c r="K175" s="959" t="s">
        <v>680</v>
      </c>
      <c r="L175" s="1166">
        <f t="shared" ref="L175:T175" si="165">IF(L172=0,0,IF($B$198="",ROUND(L7*L253/L25/L173*100,0),$B$198))</f>
        <v>0</v>
      </c>
      <c r="M175" s="1009">
        <f t="shared" si="165"/>
        <v>0</v>
      </c>
      <c r="N175" s="1009">
        <f t="shared" si="165"/>
        <v>0</v>
      </c>
      <c r="O175" s="1009">
        <f t="shared" si="165"/>
        <v>0</v>
      </c>
      <c r="P175" s="1009">
        <f t="shared" si="165"/>
        <v>0</v>
      </c>
      <c r="Q175" s="1009">
        <f t="shared" si="165"/>
        <v>0</v>
      </c>
      <c r="R175" s="1009">
        <f t="shared" si="165"/>
        <v>0</v>
      </c>
      <c r="S175" s="1012">
        <f t="shared" si="165"/>
        <v>0</v>
      </c>
      <c r="T175" s="1013">
        <f t="shared" si="165"/>
        <v>0</v>
      </c>
    </row>
    <row r="176" spans="1:20" ht="14.85" customHeight="1">
      <c r="A176" s="959" t="s">
        <v>681</v>
      </c>
      <c r="B176" s="1166">
        <f t="shared" ref="B176:J176" si="166">IF(B172=0,0,IF(B172=1,0,$E$198))</f>
        <v>0</v>
      </c>
      <c r="C176" s="1009">
        <f t="shared" si="166"/>
        <v>0</v>
      </c>
      <c r="D176" s="1009">
        <f t="shared" si="166"/>
        <v>0</v>
      </c>
      <c r="E176" s="1009">
        <f t="shared" si="166"/>
        <v>0</v>
      </c>
      <c r="F176" s="1009">
        <f t="shared" si="166"/>
        <v>0</v>
      </c>
      <c r="G176" s="1009">
        <f t="shared" si="166"/>
        <v>0</v>
      </c>
      <c r="H176" s="1009">
        <f t="shared" si="166"/>
        <v>0</v>
      </c>
      <c r="I176" s="1009">
        <f t="shared" si="166"/>
        <v>0</v>
      </c>
      <c r="J176" s="1010">
        <f t="shared" si="166"/>
        <v>0</v>
      </c>
      <c r="K176" s="959" t="s">
        <v>681</v>
      </c>
      <c r="L176" s="1166">
        <f t="shared" ref="L176:T176" si="167">IF(L172=0,0,IF(L172=1,0,$E$198))</f>
        <v>0</v>
      </c>
      <c r="M176" s="1009">
        <f t="shared" si="167"/>
        <v>0</v>
      </c>
      <c r="N176" s="1009">
        <f t="shared" si="167"/>
        <v>0</v>
      </c>
      <c r="O176" s="1009">
        <f t="shared" si="167"/>
        <v>0</v>
      </c>
      <c r="P176" s="1009">
        <f t="shared" si="167"/>
        <v>0</v>
      </c>
      <c r="Q176" s="1009">
        <f t="shared" si="167"/>
        <v>0</v>
      </c>
      <c r="R176" s="1009">
        <f t="shared" si="167"/>
        <v>0</v>
      </c>
      <c r="S176" s="1012">
        <f t="shared" si="167"/>
        <v>0</v>
      </c>
      <c r="T176" s="1013">
        <f t="shared" si="167"/>
        <v>0</v>
      </c>
    </row>
    <row r="177" spans="1:20" ht="14.85" customHeight="1">
      <c r="A177" s="959" t="s">
        <v>682</v>
      </c>
      <c r="B177" s="1166">
        <f t="shared" ref="B177:J177" si="168">IF(B172=0,0,IF(B172=1,0,IF(B172=2,0,IF(B172=3,$H$198))))</f>
        <v>0</v>
      </c>
      <c r="C177" s="1009">
        <f t="shared" si="168"/>
        <v>0</v>
      </c>
      <c r="D177" s="1009">
        <f t="shared" si="168"/>
        <v>0</v>
      </c>
      <c r="E177" s="1009">
        <f t="shared" si="168"/>
        <v>0</v>
      </c>
      <c r="F177" s="1009">
        <f t="shared" si="168"/>
        <v>0</v>
      </c>
      <c r="G177" s="1009">
        <f t="shared" si="168"/>
        <v>0</v>
      </c>
      <c r="H177" s="1009">
        <f t="shared" si="168"/>
        <v>0</v>
      </c>
      <c r="I177" s="1009">
        <f t="shared" si="168"/>
        <v>0</v>
      </c>
      <c r="J177" s="1010">
        <f t="shared" si="168"/>
        <v>0</v>
      </c>
      <c r="K177" s="959" t="s">
        <v>682</v>
      </c>
      <c r="L177" s="1166">
        <f t="shared" ref="L177:T177" si="169">IF(L172=0,0,IF(L172=1,0,IF(L172=2,0,IF(L172=3,$H$198))))</f>
        <v>0</v>
      </c>
      <c r="M177" s="1009">
        <f t="shared" si="169"/>
        <v>0</v>
      </c>
      <c r="N177" s="1009">
        <f t="shared" si="169"/>
        <v>0</v>
      </c>
      <c r="O177" s="1009">
        <f t="shared" si="169"/>
        <v>0</v>
      </c>
      <c r="P177" s="1009">
        <f t="shared" si="169"/>
        <v>0</v>
      </c>
      <c r="Q177" s="1009">
        <f t="shared" si="169"/>
        <v>0</v>
      </c>
      <c r="R177" s="1009">
        <f t="shared" si="169"/>
        <v>0</v>
      </c>
      <c r="S177" s="1012">
        <f t="shared" si="169"/>
        <v>0</v>
      </c>
      <c r="T177" s="1013">
        <f t="shared" si="169"/>
        <v>0</v>
      </c>
    </row>
    <row r="178" spans="1:20" ht="14.85" customHeight="1">
      <c r="A178" s="959"/>
      <c r="B178" s="1166"/>
      <c r="C178" s="1009"/>
      <c r="D178" s="1009"/>
      <c r="E178" s="1009"/>
      <c r="F178" s="1009"/>
      <c r="G178" s="1009"/>
      <c r="H178" s="1009"/>
      <c r="I178" s="1009"/>
      <c r="J178" s="1010"/>
      <c r="K178" s="959"/>
      <c r="L178" s="1166"/>
      <c r="M178" s="1009"/>
      <c r="N178" s="1009"/>
      <c r="O178" s="1009"/>
      <c r="P178" s="1009"/>
      <c r="Q178" s="1009"/>
      <c r="R178" s="1009"/>
      <c r="S178" s="1012"/>
      <c r="T178" s="1013"/>
    </row>
    <row r="179" spans="1:20" ht="14.85" customHeight="1">
      <c r="A179" s="965" t="s">
        <v>683</v>
      </c>
      <c r="B179" s="1172">
        <v>1</v>
      </c>
      <c r="C179" s="1030">
        <v>1</v>
      </c>
      <c r="D179" s="1030">
        <f t="shared" ref="C179:J180" si="170">C179</f>
        <v>1</v>
      </c>
      <c r="E179" s="1030">
        <f t="shared" si="170"/>
        <v>1</v>
      </c>
      <c r="F179" s="1030">
        <f t="shared" si="170"/>
        <v>1</v>
      </c>
      <c r="G179" s="1030">
        <f t="shared" si="170"/>
        <v>1</v>
      </c>
      <c r="H179" s="1030">
        <f t="shared" si="170"/>
        <v>1</v>
      </c>
      <c r="I179" s="1030">
        <f t="shared" si="170"/>
        <v>1</v>
      </c>
      <c r="J179" s="1031">
        <f t="shared" si="170"/>
        <v>1</v>
      </c>
      <c r="K179" s="965" t="s">
        <v>683</v>
      </c>
      <c r="L179" s="1172">
        <v>1</v>
      </c>
      <c r="M179" s="1030">
        <f t="shared" ref="M179:T180" si="171">L179</f>
        <v>1</v>
      </c>
      <c r="N179" s="1030">
        <f t="shared" si="171"/>
        <v>1</v>
      </c>
      <c r="O179" s="1030">
        <f t="shared" si="171"/>
        <v>1</v>
      </c>
      <c r="P179" s="1030">
        <f t="shared" si="171"/>
        <v>1</v>
      </c>
      <c r="Q179" s="1030">
        <f t="shared" si="171"/>
        <v>1</v>
      </c>
      <c r="R179" s="1030">
        <f t="shared" si="171"/>
        <v>1</v>
      </c>
      <c r="S179" s="1032">
        <f t="shared" si="171"/>
        <v>1</v>
      </c>
      <c r="T179" s="1033">
        <f t="shared" si="171"/>
        <v>1</v>
      </c>
    </row>
    <row r="180" spans="1:20" ht="14.85" customHeight="1">
      <c r="A180" s="965" t="s">
        <v>684</v>
      </c>
      <c r="B180" s="1173">
        <v>1</v>
      </c>
      <c r="C180" s="1034">
        <f t="shared" si="170"/>
        <v>1</v>
      </c>
      <c r="D180" s="1034">
        <f t="shared" si="170"/>
        <v>1</v>
      </c>
      <c r="E180" s="1034">
        <f t="shared" si="170"/>
        <v>1</v>
      </c>
      <c r="F180" s="1034">
        <f t="shared" si="170"/>
        <v>1</v>
      </c>
      <c r="G180" s="1034">
        <f t="shared" si="170"/>
        <v>1</v>
      </c>
      <c r="H180" s="1034">
        <f t="shared" si="170"/>
        <v>1</v>
      </c>
      <c r="I180" s="1034">
        <f t="shared" si="170"/>
        <v>1</v>
      </c>
      <c r="J180" s="1035">
        <f t="shared" si="170"/>
        <v>1</v>
      </c>
      <c r="K180" s="965" t="s">
        <v>684</v>
      </c>
      <c r="L180" s="1173">
        <v>1</v>
      </c>
      <c r="M180" s="1034">
        <f t="shared" si="171"/>
        <v>1</v>
      </c>
      <c r="N180" s="1034">
        <f t="shared" si="171"/>
        <v>1</v>
      </c>
      <c r="O180" s="1034">
        <f t="shared" si="171"/>
        <v>1</v>
      </c>
      <c r="P180" s="1034">
        <f t="shared" si="171"/>
        <v>1</v>
      </c>
      <c r="Q180" s="1034">
        <f t="shared" si="171"/>
        <v>1</v>
      </c>
      <c r="R180" s="1034">
        <f t="shared" si="171"/>
        <v>1</v>
      </c>
      <c r="S180" s="1036">
        <f t="shared" si="171"/>
        <v>1</v>
      </c>
      <c r="T180" s="1037">
        <f t="shared" si="171"/>
        <v>1</v>
      </c>
    </row>
    <row r="181" spans="1:20" ht="14.85" customHeight="1">
      <c r="A181" s="965" t="s">
        <v>685</v>
      </c>
      <c r="B181" s="1174"/>
      <c r="C181" s="1034"/>
      <c r="D181" s="1034"/>
      <c r="E181" s="1034"/>
      <c r="F181" s="1034"/>
      <c r="G181" s="1034"/>
      <c r="H181" s="1034"/>
      <c r="I181" s="1034"/>
      <c r="J181" s="1035"/>
      <c r="K181" s="965" t="s">
        <v>685</v>
      </c>
      <c r="L181" s="1174"/>
      <c r="M181" s="1034"/>
      <c r="N181" s="1034"/>
      <c r="O181" s="1034"/>
      <c r="P181" s="1034"/>
      <c r="Q181" s="1034"/>
      <c r="R181" s="1034"/>
      <c r="S181" s="1036"/>
      <c r="T181" s="1037"/>
    </row>
    <row r="182" spans="1:20" ht="14.85" customHeight="1">
      <c r="A182" s="959" t="s">
        <v>686</v>
      </c>
      <c r="B182" s="1172"/>
      <c r="C182" s="1038">
        <v>30</v>
      </c>
      <c r="D182" s="1038"/>
      <c r="E182" s="1038"/>
      <c r="F182" s="1038"/>
      <c r="G182" s="1038">
        <v>0</v>
      </c>
      <c r="H182" s="1038">
        <v>0</v>
      </c>
      <c r="I182" s="1038">
        <v>0</v>
      </c>
      <c r="J182" s="1011">
        <v>0</v>
      </c>
      <c r="K182" s="959" t="s">
        <v>686</v>
      </c>
      <c r="L182" s="1172"/>
      <c r="M182" s="1038">
        <v>30</v>
      </c>
      <c r="N182" s="1038"/>
      <c r="O182" s="1038"/>
      <c r="P182" s="1038"/>
      <c r="Q182" s="1038">
        <v>0</v>
      </c>
      <c r="R182" s="1038">
        <v>0</v>
      </c>
      <c r="S182" s="1039">
        <v>0</v>
      </c>
      <c r="T182" s="1040">
        <v>0</v>
      </c>
    </row>
    <row r="183" spans="1:20" ht="14.85" customHeight="1">
      <c r="A183" s="959" t="s">
        <v>687</v>
      </c>
      <c r="B183" s="1172"/>
      <c r="C183" s="1038">
        <f>C182</f>
        <v>30</v>
      </c>
      <c r="D183" s="1038"/>
      <c r="E183" s="1038"/>
      <c r="F183" s="1038"/>
      <c r="G183" s="1038">
        <f>G182</f>
        <v>0</v>
      </c>
      <c r="H183" s="1038">
        <v>0</v>
      </c>
      <c r="I183" s="1038">
        <v>0</v>
      </c>
      <c r="J183" s="1011">
        <v>0</v>
      </c>
      <c r="K183" s="959" t="s">
        <v>687</v>
      </c>
      <c r="L183" s="1172"/>
      <c r="M183" s="1038">
        <f>M182</f>
        <v>30</v>
      </c>
      <c r="N183" s="1038"/>
      <c r="O183" s="1038"/>
      <c r="P183" s="1038"/>
      <c r="Q183" s="1038">
        <f t="shared" ref="Q183:S183" si="172">Q182</f>
        <v>0</v>
      </c>
      <c r="R183" s="1038">
        <f t="shared" si="172"/>
        <v>0</v>
      </c>
      <c r="S183" s="1039">
        <f t="shared" si="172"/>
        <v>0</v>
      </c>
      <c r="T183" s="1040">
        <f>T182</f>
        <v>0</v>
      </c>
    </row>
    <row r="184" spans="1:20" ht="14.85" customHeight="1">
      <c r="A184" s="959" t="s">
        <v>688</v>
      </c>
      <c r="B184" s="1175"/>
      <c r="C184" s="1030">
        <v>0</v>
      </c>
      <c r="D184" s="1030">
        <v>0</v>
      </c>
      <c r="E184" s="1030">
        <v>0</v>
      </c>
      <c r="F184" s="1030">
        <v>0</v>
      </c>
      <c r="G184" s="1030">
        <v>0</v>
      </c>
      <c r="H184" s="1030">
        <v>0</v>
      </c>
      <c r="I184" s="1030">
        <v>0</v>
      </c>
      <c r="J184" s="1041">
        <v>0</v>
      </c>
      <c r="K184" s="959" t="s">
        <v>688</v>
      </c>
      <c r="L184" s="1175"/>
      <c r="M184" s="1030">
        <v>0</v>
      </c>
      <c r="N184" s="1030">
        <v>0</v>
      </c>
      <c r="O184" s="1030">
        <v>0</v>
      </c>
      <c r="P184" s="1030">
        <v>0</v>
      </c>
      <c r="Q184" s="1030">
        <v>0</v>
      </c>
      <c r="R184" s="1030">
        <v>0</v>
      </c>
      <c r="S184" s="1032">
        <v>0</v>
      </c>
      <c r="T184" s="1033">
        <v>0</v>
      </c>
    </row>
    <row r="185" spans="1:20" ht="14.85" customHeight="1">
      <c r="A185" s="959" t="s">
        <v>689</v>
      </c>
      <c r="B185" s="1172"/>
      <c r="C185" s="1038">
        <f>C184</f>
        <v>0</v>
      </c>
      <c r="D185" s="1038">
        <f>D184</f>
        <v>0</v>
      </c>
      <c r="E185" s="1038">
        <f>E184</f>
        <v>0</v>
      </c>
      <c r="F185" s="1038">
        <v>0</v>
      </c>
      <c r="G185" s="1038">
        <v>0</v>
      </c>
      <c r="H185" s="1038">
        <v>0</v>
      </c>
      <c r="I185" s="1038">
        <v>0</v>
      </c>
      <c r="J185" s="1011">
        <v>0</v>
      </c>
      <c r="K185" s="959" t="s">
        <v>690</v>
      </c>
      <c r="L185" s="1172"/>
      <c r="M185" s="1038">
        <f t="shared" ref="M185:T185" si="173">M184</f>
        <v>0</v>
      </c>
      <c r="N185" s="1038">
        <f t="shared" si="173"/>
        <v>0</v>
      </c>
      <c r="O185" s="1038">
        <f t="shared" si="173"/>
        <v>0</v>
      </c>
      <c r="P185" s="1038">
        <f t="shared" si="173"/>
        <v>0</v>
      </c>
      <c r="Q185" s="1038">
        <f t="shared" si="173"/>
        <v>0</v>
      </c>
      <c r="R185" s="1038">
        <f t="shared" si="173"/>
        <v>0</v>
      </c>
      <c r="S185" s="1039">
        <f t="shared" si="173"/>
        <v>0</v>
      </c>
      <c r="T185" s="1040">
        <f t="shared" si="173"/>
        <v>0</v>
      </c>
    </row>
    <row r="186" spans="1:20" ht="14.85" hidden="1" customHeight="1">
      <c r="A186" s="959" t="s">
        <v>691</v>
      </c>
      <c r="B186" s="1166"/>
      <c r="C186" s="1009"/>
      <c r="D186" s="1009"/>
      <c r="E186" s="1009"/>
      <c r="F186" s="1009"/>
      <c r="G186" s="1009"/>
      <c r="H186" s="1009"/>
      <c r="I186" s="1009"/>
      <c r="J186" s="1010"/>
      <c r="K186" s="959" t="s">
        <v>691</v>
      </c>
      <c r="L186" s="1166"/>
      <c r="M186" s="1009"/>
      <c r="N186" s="1009"/>
      <c r="O186" s="1009"/>
      <c r="P186" s="1009"/>
      <c r="Q186" s="1009"/>
      <c r="R186" s="1009"/>
      <c r="S186" s="1012"/>
      <c r="T186" s="1013"/>
    </row>
    <row r="187" spans="1:20" ht="14.85" hidden="1" customHeight="1">
      <c r="A187" s="959" t="s">
        <v>692</v>
      </c>
      <c r="B187" s="1166"/>
      <c r="C187" s="1009"/>
      <c r="D187" s="1009"/>
      <c r="E187" s="1009"/>
      <c r="F187" s="1009"/>
      <c r="G187" s="1009"/>
      <c r="H187" s="1009"/>
      <c r="I187" s="1009"/>
      <c r="J187" s="1010"/>
      <c r="K187" s="959" t="s">
        <v>692</v>
      </c>
      <c r="L187" s="1166"/>
      <c r="M187" s="1009"/>
      <c r="N187" s="1009"/>
      <c r="O187" s="1009"/>
      <c r="P187" s="1009"/>
      <c r="Q187" s="1009"/>
      <c r="R187" s="1009"/>
      <c r="S187" s="1012"/>
      <c r="T187" s="1013"/>
    </row>
    <row r="188" spans="1:20" ht="14.85" customHeight="1">
      <c r="A188" s="959"/>
      <c r="B188" s="1161"/>
      <c r="C188" s="998"/>
      <c r="D188" s="998"/>
      <c r="E188" s="998"/>
      <c r="F188" s="998"/>
      <c r="G188" s="998"/>
      <c r="H188" s="998"/>
      <c r="I188" s="998"/>
      <c r="J188" s="999"/>
      <c r="K188" s="959"/>
      <c r="L188" s="1161"/>
      <c r="M188" s="998"/>
      <c r="N188" s="998"/>
      <c r="O188" s="998"/>
      <c r="P188" s="998"/>
      <c r="Q188" s="998"/>
      <c r="R188" s="998"/>
      <c r="S188" s="1000"/>
      <c r="T188" s="1001"/>
    </row>
    <row r="189" spans="1:20" ht="14.85" customHeight="1">
      <c r="A189" s="965" t="s">
        <v>693</v>
      </c>
      <c r="B189" s="1161"/>
      <c r="C189" s="998"/>
      <c r="D189" s="998"/>
      <c r="E189" s="998"/>
      <c r="F189" s="998"/>
      <c r="G189" s="998"/>
      <c r="H189" s="998"/>
      <c r="I189" s="998"/>
      <c r="J189" s="999"/>
      <c r="K189" s="965" t="s">
        <v>693</v>
      </c>
      <c r="L189" s="1161"/>
      <c r="M189" s="998"/>
      <c r="N189" s="998"/>
      <c r="O189" s="998"/>
      <c r="P189" s="998"/>
      <c r="Q189" s="998"/>
      <c r="R189" s="998"/>
      <c r="S189" s="1000"/>
      <c r="T189" s="1001"/>
    </row>
    <row r="190" spans="1:20" ht="14.85" customHeight="1">
      <c r="A190" s="959" t="s">
        <v>694</v>
      </c>
      <c r="B190" s="1176">
        <f>G1</f>
        <v>1250</v>
      </c>
      <c r="C190" s="1042"/>
      <c r="D190" s="1043" t="s">
        <v>695</v>
      </c>
      <c r="E190" s="1044">
        <f>IF($G$1=630,80,IF($G$1=710,100,IF($G$1=1030,140,IF($G$1=1250,160,IF($G$1=1530,180)))))</f>
        <v>160</v>
      </c>
      <c r="F190" s="1042" t="s">
        <v>696</v>
      </c>
      <c r="G190" s="998"/>
      <c r="H190" s="998"/>
      <c r="I190" s="998"/>
      <c r="J190" s="999"/>
      <c r="K190" s="959" t="s">
        <v>694</v>
      </c>
      <c r="L190" s="1176">
        <f>Q1</f>
        <v>1250</v>
      </c>
      <c r="M190" s="1042"/>
      <c r="N190" s="1043" t="s">
        <v>695</v>
      </c>
      <c r="O190" s="1044">
        <f>IF($G$1=630,80,IF($G$1=710,100,IF($G$1=1030,140,IF($G$1=1250,160,IF($G$1=1530,180)))))</f>
        <v>160</v>
      </c>
      <c r="P190" s="1042" t="s">
        <v>696</v>
      </c>
      <c r="Q190" s="998"/>
      <c r="R190" s="998"/>
      <c r="S190" s="1000"/>
      <c r="T190" s="1001"/>
    </row>
    <row r="191" spans="1:20" ht="14.85" customHeight="1">
      <c r="A191" s="959" t="s">
        <v>697</v>
      </c>
      <c r="B191" s="1152">
        <f t="shared" ref="B191:I191" si="174">ROUND(-B78*(MAX(B216:B219)/B23)+B78*B43,4)</f>
        <v>15.105399999999999</v>
      </c>
      <c r="C191" s="960">
        <f t="shared" si="174"/>
        <v>10.1836</v>
      </c>
      <c r="D191" s="960">
        <f t="shared" si="174"/>
        <v>14.7148</v>
      </c>
      <c r="E191" s="960">
        <f t="shared" si="174"/>
        <v>14.1592</v>
      </c>
      <c r="F191" s="960">
        <f t="shared" si="174"/>
        <v>13.7599</v>
      </c>
      <c r="G191" s="960">
        <f t="shared" si="174"/>
        <v>13.404</v>
      </c>
      <c r="H191" s="960">
        <f t="shared" si="174"/>
        <v>13.126300000000001</v>
      </c>
      <c r="I191" s="960">
        <f t="shared" si="174"/>
        <v>12.831099999999999</v>
      </c>
      <c r="J191" s="960">
        <f>ROUND(-J78*(MAX(J216:J219)/J23)+J78*J43,4)</f>
        <v>12.561999999999999</v>
      </c>
      <c r="K191" s="959" t="s">
        <v>697</v>
      </c>
      <c r="L191" s="1152">
        <f t="shared" ref="L191:S191" si="175">ROUND(-L78*(MAX(L216:L219)/L23)+L78*L43,4)</f>
        <v>17.762699999999999</v>
      </c>
      <c r="M191" s="960">
        <f t="shared" si="175"/>
        <v>8.5083000000000002</v>
      </c>
      <c r="N191" s="960">
        <f t="shared" si="175"/>
        <v>14.306800000000001</v>
      </c>
      <c r="O191" s="960">
        <f t="shared" si="175"/>
        <v>13.707800000000001</v>
      </c>
      <c r="P191" s="960">
        <f t="shared" si="175"/>
        <v>13.2217</v>
      </c>
      <c r="Q191" s="960">
        <f t="shared" si="175"/>
        <v>12.779</v>
      </c>
      <c r="R191" s="960">
        <f t="shared" si="175"/>
        <v>12.4231</v>
      </c>
      <c r="S191" s="1045">
        <f t="shared" si="175"/>
        <v>12.075900000000001</v>
      </c>
      <c r="T191" s="964">
        <f>ROUND(-T78*(MAX(T216:T219)/T23)+T78*T43,4)</f>
        <v>11.7461</v>
      </c>
    </row>
    <row r="192" spans="1:20" ht="14.85" customHeight="1">
      <c r="A192" s="1046" t="s">
        <v>698</v>
      </c>
      <c r="B192" s="1177">
        <f t="shared" ref="B192:I192" si="176">IF(B210&gt;8,0.9,IF(B210&gt;4,0.92,0.99))</f>
        <v>0.99</v>
      </c>
      <c r="C192" s="1047">
        <f t="shared" si="176"/>
        <v>0.9</v>
      </c>
      <c r="D192" s="1047">
        <f t="shared" si="176"/>
        <v>0.99</v>
      </c>
      <c r="E192" s="1047">
        <f t="shared" si="176"/>
        <v>0.99</v>
      </c>
      <c r="F192" s="1047">
        <f t="shared" si="176"/>
        <v>0.99</v>
      </c>
      <c r="G192" s="1047">
        <f t="shared" si="176"/>
        <v>0.99</v>
      </c>
      <c r="H192" s="1047">
        <f t="shared" si="176"/>
        <v>0.92</v>
      </c>
      <c r="I192" s="1047">
        <f t="shared" si="176"/>
        <v>0.92</v>
      </c>
      <c r="J192" s="1048">
        <f>IF(J210&gt;8,0.9,IF(J210&gt;4,0.92,0.99))</f>
        <v>0.92</v>
      </c>
      <c r="K192" s="1046" t="s">
        <v>698</v>
      </c>
      <c r="L192" s="1177">
        <f t="shared" ref="L192:S192" si="177">IF(L210&gt;8,0.9,IF(L210&gt;4,0.92,0.99))</f>
        <v>0.99</v>
      </c>
      <c r="M192" s="1047">
        <f t="shared" si="177"/>
        <v>0.9</v>
      </c>
      <c r="N192" s="1047">
        <f t="shared" si="177"/>
        <v>0.99</v>
      </c>
      <c r="O192" s="1047">
        <f t="shared" si="177"/>
        <v>0.99</v>
      </c>
      <c r="P192" s="1047">
        <f t="shared" si="177"/>
        <v>0.92</v>
      </c>
      <c r="Q192" s="1047">
        <f t="shared" si="177"/>
        <v>0.92</v>
      </c>
      <c r="R192" s="1047">
        <f t="shared" si="177"/>
        <v>0.92</v>
      </c>
      <c r="S192" s="1049">
        <f t="shared" si="177"/>
        <v>0.92</v>
      </c>
      <c r="T192" s="1050">
        <f>IF(T210&gt;8,0.9,IF(T210&gt;4,0.92,0.99))</f>
        <v>0.92</v>
      </c>
    </row>
    <row r="193" spans="1:20" ht="14.85" customHeight="1">
      <c r="A193" s="1046" t="s">
        <v>699</v>
      </c>
      <c r="B193" s="1177">
        <v>0.97799999999999998</v>
      </c>
      <c r="C193" s="1047">
        <f>B193</f>
        <v>0.97799999999999998</v>
      </c>
      <c r="D193" s="1047">
        <v>0.97799999999999998</v>
      </c>
      <c r="E193" s="1047">
        <v>0.97799999999999998</v>
      </c>
      <c r="F193" s="1047">
        <v>0.97799999999999998</v>
      </c>
      <c r="G193" s="1047">
        <v>0.97799999999999998</v>
      </c>
      <c r="H193" s="1047">
        <v>0.97799999999999998</v>
      </c>
      <c r="I193" s="1047">
        <v>0.97799999999999998</v>
      </c>
      <c r="J193" s="1048">
        <f>I193</f>
        <v>0.97799999999999998</v>
      </c>
      <c r="K193" s="1046" t="s">
        <v>700</v>
      </c>
      <c r="L193" s="1177">
        <v>0.97799999999999998</v>
      </c>
      <c r="M193" s="1047">
        <f>L193</f>
        <v>0.97799999999999998</v>
      </c>
      <c r="N193" s="1047">
        <f t="shared" ref="N193:S193" si="178">M193</f>
        <v>0.97799999999999998</v>
      </c>
      <c r="O193" s="1047">
        <f t="shared" si="178"/>
        <v>0.97799999999999998</v>
      </c>
      <c r="P193" s="1047">
        <f t="shared" si="178"/>
        <v>0.97799999999999998</v>
      </c>
      <c r="Q193" s="1047">
        <f t="shared" si="178"/>
        <v>0.97799999999999998</v>
      </c>
      <c r="R193" s="1047">
        <f t="shared" si="178"/>
        <v>0.97799999999999998</v>
      </c>
      <c r="S193" s="1047">
        <f t="shared" si="178"/>
        <v>0.97799999999999998</v>
      </c>
      <c r="T193" s="1050">
        <f>S193</f>
        <v>0.97799999999999998</v>
      </c>
    </row>
    <row r="194" spans="1:20" ht="14.85" customHeight="1">
      <c r="A194" s="959" t="s">
        <v>701</v>
      </c>
      <c r="B194" s="1152">
        <f>ROUND(B170/(B191*B192*B193),2)</f>
        <v>2.46</v>
      </c>
      <c r="C194" s="960">
        <f t="shared" ref="C194:J194" si="179">ROUND(C170/(C191*C192*C193),2)</f>
        <v>19.32</v>
      </c>
      <c r="D194" s="960">
        <f t="shared" si="179"/>
        <v>0.01</v>
      </c>
      <c r="E194" s="960">
        <f t="shared" si="179"/>
        <v>0.02</v>
      </c>
      <c r="F194" s="960">
        <f t="shared" si="179"/>
        <v>0.01</v>
      </c>
      <c r="G194" s="960">
        <f t="shared" si="179"/>
        <v>0.01</v>
      </c>
      <c r="H194" s="960">
        <f t="shared" si="179"/>
        <v>0</v>
      </c>
      <c r="I194" s="960">
        <f t="shared" si="179"/>
        <v>0.03</v>
      </c>
      <c r="J194" s="960">
        <f t="shared" si="179"/>
        <v>0.01</v>
      </c>
      <c r="K194" s="959" t="s">
        <v>701</v>
      </c>
      <c r="L194" s="1152">
        <f>ROUND(L170/(L191*L192*L193),2)</f>
        <v>1.82</v>
      </c>
      <c r="M194" s="960">
        <f t="shared" ref="M194:T194" si="180">ROUND(M170/(M191*M192*M193),2)</f>
        <v>19.32</v>
      </c>
      <c r="N194" s="960">
        <f t="shared" si="180"/>
        <v>0.01</v>
      </c>
      <c r="O194" s="960">
        <f t="shared" si="180"/>
        <v>0.01</v>
      </c>
      <c r="P194" s="960">
        <f t="shared" si="180"/>
        <v>0.02</v>
      </c>
      <c r="Q194" s="960">
        <f t="shared" si="180"/>
        <v>0.01</v>
      </c>
      <c r="R194" s="960">
        <f t="shared" si="180"/>
        <v>0.03</v>
      </c>
      <c r="S194" s="960">
        <f t="shared" si="180"/>
        <v>0.01</v>
      </c>
      <c r="T194" s="964">
        <f t="shared" si="180"/>
        <v>0</v>
      </c>
    </row>
    <row r="195" spans="1:20" ht="14.85" customHeight="1">
      <c r="A195" s="965" t="s">
        <v>702</v>
      </c>
      <c r="B195" s="1175">
        <v>0</v>
      </c>
      <c r="C195" s="1030">
        <v>17</v>
      </c>
      <c r="D195" s="1030">
        <v>0</v>
      </c>
      <c r="E195" s="1030">
        <v>0</v>
      </c>
      <c r="F195" s="1030">
        <v>0</v>
      </c>
      <c r="G195" s="1030">
        <v>0</v>
      </c>
      <c r="H195" s="1030">
        <v>0</v>
      </c>
      <c r="I195" s="1030">
        <v>0</v>
      </c>
      <c r="J195" s="1031">
        <v>0</v>
      </c>
      <c r="K195" s="959" t="s">
        <v>703</v>
      </c>
      <c r="L195" s="1175">
        <v>0</v>
      </c>
      <c r="M195" s="1030">
        <v>17</v>
      </c>
      <c r="N195" s="1030">
        <v>0</v>
      </c>
      <c r="O195" s="1030">
        <v>0</v>
      </c>
      <c r="P195" s="1030">
        <v>0</v>
      </c>
      <c r="Q195" s="1030">
        <v>0</v>
      </c>
      <c r="R195" s="1030">
        <v>0</v>
      </c>
      <c r="S195" s="1032">
        <v>0</v>
      </c>
      <c r="T195" s="1033">
        <v>0</v>
      </c>
    </row>
    <row r="196" spans="1:20" ht="14.85" hidden="1" customHeight="1">
      <c r="A196" s="959" t="s">
        <v>704</v>
      </c>
      <c r="B196" s="1166">
        <v>550</v>
      </c>
      <c r="C196" s="961" t="s">
        <v>705</v>
      </c>
      <c r="D196" s="961" t="s">
        <v>706</v>
      </c>
      <c r="E196" s="1009">
        <v>630</v>
      </c>
      <c r="F196" s="961" t="s">
        <v>705</v>
      </c>
      <c r="G196" s="961" t="s">
        <v>707</v>
      </c>
      <c r="H196" s="1009"/>
      <c r="I196" s="961" t="s">
        <v>705</v>
      </c>
      <c r="J196" s="962" t="s">
        <v>705</v>
      </c>
      <c r="K196" s="959" t="s">
        <v>704</v>
      </c>
      <c r="L196" s="1166">
        <v>550</v>
      </c>
      <c r="M196" s="961" t="s">
        <v>705</v>
      </c>
      <c r="N196" s="961" t="s">
        <v>706</v>
      </c>
      <c r="O196" s="1009">
        <v>630</v>
      </c>
      <c r="P196" s="961" t="s">
        <v>705</v>
      </c>
      <c r="Q196" s="961" t="s">
        <v>707</v>
      </c>
      <c r="R196" s="1009"/>
      <c r="S196" s="963" t="s">
        <v>705</v>
      </c>
      <c r="T196" s="964" t="s">
        <v>705</v>
      </c>
    </row>
    <row r="197" spans="1:20" ht="14.85" hidden="1" customHeight="1">
      <c r="A197" s="959" t="s">
        <v>708</v>
      </c>
      <c r="B197" s="1166">
        <v>520</v>
      </c>
      <c r="C197" s="961" t="s">
        <v>705</v>
      </c>
      <c r="D197" s="961" t="s">
        <v>706</v>
      </c>
      <c r="E197" s="1009">
        <v>550</v>
      </c>
      <c r="F197" s="961" t="s">
        <v>705</v>
      </c>
      <c r="G197" s="961" t="s">
        <v>707</v>
      </c>
      <c r="H197" s="1009"/>
      <c r="I197" s="961" t="s">
        <v>705</v>
      </c>
      <c r="J197" s="962" t="s">
        <v>705</v>
      </c>
      <c r="K197" s="959" t="s">
        <v>708</v>
      </c>
      <c r="L197" s="1166">
        <v>520</v>
      </c>
      <c r="M197" s="961" t="s">
        <v>705</v>
      </c>
      <c r="N197" s="961" t="s">
        <v>706</v>
      </c>
      <c r="O197" s="1009">
        <v>550</v>
      </c>
      <c r="P197" s="961" t="s">
        <v>705</v>
      </c>
      <c r="Q197" s="961" t="s">
        <v>707</v>
      </c>
      <c r="R197" s="1009"/>
      <c r="S197" s="963" t="s">
        <v>705</v>
      </c>
      <c r="T197" s="964" t="s">
        <v>705</v>
      </c>
    </row>
    <row r="198" spans="1:20" ht="14.85" hidden="1" customHeight="1">
      <c r="A198" s="959" t="s">
        <v>709</v>
      </c>
      <c r="B198" s="1166"/>
      <c r="C198" s="961" t="s">
        <v>705</v>
      </c>
      <c r="D198" s="961" t="s">
        <v>710</v>
      </c>
      <c r="E198" s="1009"/>
      <c r="F198" s="961" t="s">
        <v>705</v>
      </c>
      <c r="G198" s="961" t="s">
        <v>711</v>
      </c>
      <c r="H198" s="1009"/>
      <c r="I198" s="961" t="s">
        <v>705</v>
      </c>
      <c r="J198" s="962" t="s">
        <v>705</v>
      </c>
      <c r="K198" s="959" t="s">
        <v>709</v>
      </c>
      <c r="L198" s="1166"/>
      <c r="M198" s="961" t="s">
        <v>705</v>
      </c>
      <c r="N198" s="961" t="s">
        <v>710</v>
      </c>
      <c r="O198" s="1009"/>
      <c r="P198" s="961" t="s">
        <v>705</v>
      </c>
      <c r="Q198" s="961" t="s">
        <v>711</v>
      </c>
      <c r="R198" s="1009"/>
      <c r="S198" s="963" t="s">
        <v>705</v>
      </c>
      <c r="T198" s="964" t="s">
        <v>705</v>
      </c>
    </row>
    <row r="199" spans="1:20" ht="14.85" hidden="1" customHeight="1">
      <c r="A199" s="959" t="s">
        <v>712</v>
      </c>
      <c r="B199" s="1166"/>
      <c r="C199" s="961" t="s">
        <v>713</v>
      </c>
      <c r="D199" s="961"/>
      <c r="E199" s="961"/>
      <c r="F199" s="961"/>
      <c r="G199" s="961"/>
      <c r="H199" s="961"/>
      <c r="I199" s="961"/>
      <c r="J199" s="962"/>
      <c r="K199" s="959" t="s">
        <v>712</v>
      </c>
      <c r="L199" s="1166"/>
      <c r="M199" s="961" t="s">
        <v>713</v>
      </c>
      <c r="N199" s="961"/>
      <c r="O199" s="961"/>
      <c r="P199" s="961"/>
      <c r="Q199" s="961"/>
      <c r="R199" s="961"/>
      <c r="S199" s="963"/>
      <c r="T199" s="964"/>
    </row>
    <row r="200" spans="1:20" s="947" customFormat="1" ht="14.85" customHeight="1" thickBot="1">
      <c r="A200" s="1051" t="s">
        <v>714</v>
      </c>
      <c r="B200" s="1178">
        <f t="shared" ref="B200:I200" si="181">ROUNDUP(B194,0)</f>
        <v>3</v>
      </c>
      <c r="C200" s="1052">
        <f t="shared" si="181"/>
        <v>20</v>
      </c>
      <c r="D200" s="1052">
        <f t="shared" si="181"/>
        <v>1</v>
      </c>
      <c r="E200" s="1052">
        <f t="shared" si="181"/>
        <v>1</v>
      </c>
      <c r="F200" s="1052">
        <f t="shared" si="181"/>
        <v>1</v>
      </c>
      <c r="G200" s="1052">
        <f t="shared" si="181"/>
        <v>1</v>
      </c>
      <c r="H200" s="1052">
        <f t="shared" si="181"/>
        <v>0</v>
      </c>
      <c r="I200" s="1052">
        <f t="shared" si="181"/>
        <v>1</v>
      </c>
      <c r="J200" s="1052">
        <f>ROUNDUP(J194,0)</f>
        <v>1</v>
      </c>
      <c r="K200" s="1051" t="s">
        <v>715</v>
      </c>
      <c r="L200" s="1178">
        <f t="shared" ref="L200:S200" si="182">ROUNDUP(L194,0)</f>
        <v>2</v>
      </c>
      <c r="M200" s="1052">
        <f t="shared" si="182"/>
        <v>20</v>
      </c>
      <c r="N200" s="1052">
        <f t="shared" si="182"/>
        <v>1</v>
      </c>
      <c r="O200" s="1052">
        <f t="shared" si="182"/>
        <v>1</v>
      </c>
      <c r="P200" s="1052">
        <f t="shared" si="182"/>
        <v>1</v>
      </c>
      <c r="Q200" s="1052">
        <f t="shared" si="182"/>
        <v>1</v>
      </c>
      <c r="R200" s="1052">
        <f t="shared" si="182"/>
        <v>1</v>
      </c>
      <c r="S200" s="1053">
        <f t="shared" si="182"/>
        <v>1</v>
      </c>
      <c r="T200" s="1054">
        <f>ROUNDUP(T194,0)</f>
        <v>0</v>
      </c>
    </row>
    <row r="201" spans="1:20" ht="14.85" hidden="1" customHeight="1">
      <c r="A201" s="959"/>
      <c r="B201" s="1152"/>
      <c r="C201" s="960"/>
      <c r="D201" s="960"/>
      <c r="E201" s="960"/>
      <c r="F201" s="960"/>
      <c r="G201" s="960"/>
      <c r="H201" s="960"/>
      <c r="I201" s="960"/>
      <c r="J201" s="1045"/>
      <c r="K201" s="959"/>
      <c r="L201" s="1152"/>
      <c r="M201" s="960"/>
      <c r="N201" s="960"/>
      <c r="O201" s="960"/>
      <c r="P201" s="960"/>
      <c r="Q201" s="960"/>
      <c r="R201" s="960"/>
      <c r="S201" s="1045"/>
      <c r="T201" s="964"/>
    </row>
    <row r="202" spans="1:20" s="947" customFormat="1" ht="14.85" hidden="1" customHeight="1">
      <c r="A202" s="965" t="s">
        <v>716</v>
      </c>
      <c r="B202" s="1178" t="s">
        <v>717</v>
      </c>
      <c r="C202" s="1055">
        <f>B179+B172+1</f>
        <v>2</v>
      </c>
      <c r="D202" s="975" t="s">
        <v>718</v>
      </c>
      <c r="E202" s="975"/>
      <c r="F202" s="975"/>
      <c r="G202" s="975"/>
      <c r="H202" s="975"/>
      <c r="I202" s="975"/>
      <c r="J202" s="976"/>
      <c r="K202" s="965" t="s">
        <v>716</v>
      </c>
      <c r="L202" s="1178" t="s">
        <v>717</v>
      </c>
      <c r="M202" s="1055">
        <f>L179+L172+1</f>
        <v>2</v>
      </c>
      <c r="N202" s="975" t="s">
        <v>718</v>
      </c>
      <c r="O202" s="975"/>
      <c r="P202" s="975"/>
      <c r="Q202" s="975"/>
      <c r="R202" s="975"/>
      <c r="S202" s="977"/>
      <c r="T202" s="978"/>
    </row>
    <row r="203" spans="1:20" ht="14.85" hidden="1" customHeight="1">
      <c r="A203" s="959" t="s">
        <v>719</v>
      </c>
      <c r="B203" s="1166">
        <f t="shared" ref="B203:I203" si="183">B195-B204-B205-B206</f>
        <v>0</v>
      </c>
      <c r="C203" s="1009">
        <f t="shared" si="183"/>
        <v>9</v>
      </c>
      <c r="D203" s="1009">
        <f t="shared" si="183"/>
        <v>0</v>
      </c>
      <c r="E203" s="1009">
        <f t="shared" si="183"/>
        <v>0</v>
      </c>
      <c r="F203" s="1009">
        <f t="shared" si="183"/>
        <v>0</v>
      </c>
      <c r="G203" s="1009">
        <f t="shared" si="183"/>
        <v>0</v>
      </c>
      <c r="H203" s="1009">
        <f t="shared" si="183"/>
        <v>0</v>
      </c>
      <c r="I203" s="1009">
        <f t="shared" si="183"/>
        <v>0</v>
      </c>
      <c r="J203" s="1010">
        <f>J195-J204-J205-J206</f>
        <v>0</v>
      </c>
      <c r="K203" s="959" t="s">
        <v>720</v>
      </c>
      <c r="L203" s="1166">
        <f t="shared" ref="L203:S203" si="184">L195-L204-L205-L206</f>
        <v>0</v>
      </c>
      <c r="M203" s="1009">
        <f t="shared" si="184"/>
        <v>9</v>
      </c>
      <c r="N203" s="1009">
        <f t="shared" si="184"/>
        <v>0</v>
      </c>
      <c r="O203" s="1009">
        <f t="shared" si="184"/>
        <v>0</v>
      </c>
      <c r="P203" s="1009">
        <f t="shared" si="184"/>
        <v>0</v>
      </c>
      <c r="Q203" s="1009">
        <f t="shared" si="184"/>
        <v>0</v>
      </c>
      <c r="R203" s="1009">
        <f t="shared" si="184"/>
        <v>0</v>
      </c>
      <c r="S203" s="1012">
        <f t="shared" si="184"/>
        <v>0</v>
      </c>
      <c r="T203" s="1013">
        <f>T195-T204-T205-T206</f>
        <v>0</v>
      </c>
    </row>
    <row r="204" spans="1:20" ht="14.85" hidden="1" customHeight="1">
      <c r="A204" s="959" t="s">
        <v>721</v>
      </c>
      <c r="B204" s="1166">
        <f t="shared" ref="B204:J204" si="185">IF($C$202=1,0,ROUNDDOWN(B195/$C$202,0))</f>
        <v>0</v>
      </c>
      <c r="C204" s="1009">
        <f t="shared" si="185"/>
        <v>8</v>
      </c>
      <c r="D204" s="1009">
        <f t="shared" si="185"/>
        <v>0</v>
      </c>
      <c r="E204" s="1009">
        <f t="shared" si="185"/>
        <v>0</v>
      </c>
      <c r="F204" s="1009">
        <f t="shared" si="185"/>
        <v>0</v>
      </c>
      <c r="G204" s="1009">
        <f t="shared" si="185"/>
        <v>0</v>
      </c>
      <c r="H204" s="1009">
        <f t="shared" si="185"/>
        <v>0</v>
      </c>
      <c r="I204" s="1009">
        <f t="shared" si="185"/>
        <v>0</v>
      </c>
      <c r="J204" s="1010">
        <f t="shared" si="185"/>
        <v>0</v>
      </c>
      <c r="K204" s="959" t="s">
        <v>722</v>
      </c>
      <c r="L204" s="1207">
        <f t="shared" ref="L204:T204" si="186">IF($M$202=1,0,ROUNDDOWN(L195/$M$202,0))</f>
        <v>0</v>
      </c>
      <c r="M204" s="1009">
        <f t="shared" si="186"/>
        <v>8</v>
      </c>
      <c r="N204" s="1009">
        <f t="shared" si="186"/>
        <v>0</v>
      </c>
      <c r="O204" s="1009">
        <f t="shared" si="186"/>
        <v>0</v>
      </c>
      <c r="P204" s="1009">
        <f t="shared" si="186"/>
        <v>0</v>
      </c>
      <c r="Q204" s="1009">
        <f t="shared" si="186"/>
        <v>0</v>
      </c>
      <c r="R204" s="1009">
        <f t="shared" si="186"/>
        <v>0</v>
      </c>
      <c r="S204" s="1012">
        <f t="shared" si="186"/>
        <v>0</v>
      </c>
      <c r="T204" s="1013">
        <f t="shared" si="186"/>
        <v>0</v>
      </c>
    </row>
    <row r="205" spans="1:20" ht="14.85" hidden="1" customHeight="1">
      <c r="A205" s="959" t="s">
        <v>723</v>
      </c>
      <c r="B205" s="1166">
        <f t="shared" ref="B205:J205" si="187">IF($C$202=1,0,IF($C$202=2,0,ROUNDDOWN(B195/$C$202,0)))</f>
        <v>0</v>
      </c>
      <c r="C205" s="1009">
        <f t="shared" si="187"/>
        <v>0</v>
      </c>
      <c r="D205" s="1009">
        <f t="shared" si="187"/>
        <v>0</v>
      </c>
      <c r="E205" s="1009">
        <f t="shared" si="187"/>
        <v>0</v>
      </c>
      <c r="F205" s="1009">
        <f t="shared" si="187"/>
        <v>0</v>
      </c>
      <c r="G205" s="1009">
        <f t="shared" si="187"/>
        <v>0</v>
      </c>
      <c r="H205" s="1009">
        <f t="shared" si="187"/>
        <v>0</v>
      </c>
      <c r="I205" s="1009">
        <f t="shared" si="187"/>
        <v>0</v>
      </c>
      <c r="J205" s="1010">
        <f t="shared" si="187"/>
        <v>0</v>
      </c>
      <c r="K205" s="959" t="s">
        <v>724</v>
      </c>
      <c r="L205" s="1207">
        <f t="shared" ref="L205:T205" si="188">IF($M$202=1,0,IF($M$202=2,0,ROUNDDOWN(L195/$M$202,0)))</f>
        <v>0</v>
      </c>
      <c r="M205" s="1009">
        <f t="shared" si="188"/>
        <v>0</v>
      </c>
      <c r="N205" s="1009">
        <f t="shared" si="188"/>
        <v>0</v>
      </c>
      <c r="O205" s="1009">
        <f t="shared" si="188"/>
        <v>0</v>
      </c>
      <c r="P205" s="1009">
        <f t="shared" si="188"/>
        <v>0</v>
      </c>
      <c r="Q205" s="1009">
        <f t="shared" si="188"/>
        <v>0</v>
      </c>
      <c r="R205" s="1009">
        <f t="shared" si="188"/>
        <v>0</v>
      </c>
      <c r="S205" s="1012">
        <f t="shared" si="188"/>
        <v>0</v>
      </c>
      <c r="T205" s="1013">
        <f t="shared" si="188"/>
        <v>0</v>
      </c>
    </row>
    <row r="206" spans="1:20" ht="14.85" hidden="1" customHeight="1">
      <c r="A206" s="959" t="s">
        <v>725</v>
      </c>
      <c r="B206" s="1166">
        <f t="shared" ref="B206:J206" si="189">IF($C$202=1,0,IF($C$202=2,0,IF($C$202=3,0,ROUNDDOWN(B195/$C$202,0))))</f>
        <v>0</v>
      </c>
      <c r="C206" s="1009">
        <f t="shared" si="189"/>
        <v>0</v>
      </c>
      <c r="D206" s="1009">
        <f t="shared" si="189"/>
        <v>0</v>
      </c>
      <c r="E206" s="1009">
        <f t="shared" si="189"/>
        <v>0</v>
      </c>
      <c r="F206" s="1009">
        <f t="shared" si="189"/>
        <v>0</v>
      </c>
      <c r="G206" s="1009">
        <f t="shared" si="189"/>
        <v>0</v>
      </c>
      <c r="H206" s="1009">
        <f t="shared" si="189"/>
        <v>0</v>
      </c>
      <c r="I206" s="1009">
        <f t="shared" si="189"/>
        <v>0</v>
      </c>
      <c r="J206" s="1010">
        <f t="shared" si="189"/>
        <v>0</v>
      </c>
      <c r="K206" s="959" t="s">
        <v>726</v>
      </c>
      <c r="L206" s="1207">
        <f t="shared" ref="L206:T206" si="190">IF($M$202=1,0,IF($M$202=2,0,IF($M$202=3,0,ROUNDDOWN(L195/$M$202,0))))</f>
        <v>0</v>
      </c>
      <c r="M206" s="1009">
        <f t="shared" si="190"/>
        <v>0</v>
      </c>
      <c r="N206" s="1009">
        <f t="shared" si="190"/>
        <v>0</v>
      </c>
      <c r="O206" s="1009">
        <f t="shared" si="190"/>
        <v>0</v>
      </c>
      <c r="P206" s="1009">
        <f t="shared" si="190"/>
        <v>0</v>
      </c>
      <c r="Q206" s="1009">
        <f t="shared" si="190"/>
        <v>0</v>
      </c>
      <c r="R206" s="1009">
        <f t="shared" si="190"/>
        <v>0</v>
      </c>
      <c r="S206" s="1012">
        <f t="shared" si="190"/>
        <v>0</v>
      </c>
      <c r="T206" s="1013">
        <f t="shared" si="190"/>
        <v>0</v>
      </c>
    </row>
    <row r="207" spans="1:20" ht="14.85" hidden="1" customHeight="1" thickBot="1">
      <c r="A207" s="987"/>
      <c r="B207" s="1179"/>
      <c r="C207" s="1056"/>
      <c r="D207" s="1056"/>
      <c r="E207" s="1056"/>
      <c r="F207" s="1056"/>
      <c r="G207" s="1056"/>
      <c r="H207" s="1056"/>
      <c r="I207" s="1056"/>
      <c r="J207" s="1057"/>
      <c r="K207" s="987"/>
      <c r="L207" s="1179"/>
      <c r="M207" s="1056"/>
      <c r="N207" s="1056"/>
      <c r="O207" s="1056"/>
      <c r="P207" s="1056"/>
      <c r="Q207" s="1056"/>
      <c r="R207" s="1056"/>
      <c r="S207" s="1058"/>
      <c r="T207" s="1059"/>
    </row>
    <row r="208" spans="1:20" ht="14.85" customHeight="1">
      <c r="A208" s="992" t="s">
        <v>727</v>
      </c>
      <c r="B208" s="1170"/>
      <c r="C208" s="993"/>
      <c r="D208" s="993"/>
      <c r="E208" s="993"/>
      <c r="F208" s="993"/>
      <c r="G208" s="993"/>
      <c r="H208" s="993"/>
      <c r="I208" s="993"/>
      <c r="J208" s="994"/>
      <c r="K208" s="992" t="s">
        <v>727</v>
      </c>
      <c r="L208" s="1170"/>
      <c r="M208" s="993"/>
      <c r="N208" s="993"/>
      <c r="O208" s="993"/>
      <c r="P208" s="993"/>
      <c r="Q208" s="993"/>
      <c r="R208" s="993"/>
      <c r="S208" s="995"/>
      <c r="T208" s="996"/>
    </row>
    <row r="209" spans="1:20" ht="14.85" customHeight="1">
      <c r="A209" s="965" t="s">
        <v>728</v>
      </c>
      <c r="B209" s="1180"/>
      <c r="C209" s="1060"/>
      <c r="D209" s="1060"/>
      <c r="E209" s="1060"/>
      <c r="F209" s="1060"/>
      <c r="G209" s="1060"/>
      <c r="H209" s="1060"/>
      <c r="I209" s="1060"/>
      <c r="J209" s="1061"/>
      <c r="K209" s="965" t="s">
        <v>728</v>
      </c>
      <c r="L209" s="1180"/>
      <c r="M209" s="1060"/>
      <c r="N209" s="1060"/>
      <c r="O209" s="1060"/>
      <c r="P209" s="1060"/>
      <c r="Q209" s="1060"/>
      <c r="R209" s="1060"/>
      <c r="S209" s="1062"/>
      <c r="T209" s="1063"/>
    </row>
    <row r="210" spans="1:20" ht="14.85" customHeight="1">
      <c r="A210" s="1064" t="s">
        <v>729</v>
      </c>
      <c r="B210" s="1180">
        <f t="shared" ref="B210:I210" si="191">IF(B211&gt;0,ROUND((-B213+SQRT(B213^2-4*B212*B214))/(2*B212),4),IF(B211&lt;0,ROUND((-B213-SQRT(ABS(B213^2-4*B212*B214)))/(2*B212),4)))</f>
        <v>0.33910000000000001</v>
      </c>
      <c r="C210" s="1060">
        <f t="shared" si="191"/>
        <v>10.004099999999999</v>
      </c>
      <c r="D210" s="1060">
        <f t="shared" si="191"/>
        <v>1.0982000000000001</v>
      </c>
      <c r="E210" s="1060">
        <f t="shared" si="191"/>
        <v>2.1846999999999999</v>
      </c>
      <c r="F210" s="1060">
        <f t="shared" si="191"/>
        <v>2.9780000000000002</v>
      </c>
      <c r="G210" s="1060">
        <f t="shared" si="191"/>
        <v>3.6787000000000001</v>
      </c>
      <c r="H210" s="1060">
        <f t="shared" si="191"/>
        <v>4.2256</v>
      </c>
      <c r="I210" s="1060">
        <f t="shared" si="191"/>
        <v>4.7933000000000003</v>
      </c>
      <c r="J210" s="1061">
        <f>IF(J211&gt;0,ROUND((-J213+SQRT(J213^2-4*J212*J214))/(2*J212),4),IF(J211&lt;0,ROUND((-J213-SQRT(ABS(J213^2-4*J212*J214)))/(2*J212),4)))</f>
        <v>5.3327</v>
      </c>
      <c r="K210" s="1064" t="s">
        <v>729</v>
      </c>
      <c r="L210" s="1180">
        <f t="shared" ref="L210:S210" si="192">IF(L211&gt;0,ROUND((-L213+SQRT(L213^2-4*L212*L214))/(2*L212),4),IF(L211&lt;0,ROUND((-L213-SQRT(ABS(L213^2-4*L212*L214)))/(2*L212),4)))</f>
        <v>0.60550000000000004</v>
      </c>
      <c r="M210" s="1060">
        <f t="shared" si="192"/>
        <v>13.293200000000001</v>
      </c>
      <c r="N210" s="1060">
        <f t="shared" si="192"/>
        <v>1.8987000000000001</v>
      </c>
      <c r="O210" s="1060">
        <f t="shared" si="192"/>
        <v>3.0807000000000002</v>
      </c>
      <c r="P210" s="1060">
        <f t="shared" si="192"/>
        <v>4.0331000000000001</v>
      </c>
      <c r="Q210" s="1060">
        <f t="shared" si="192"/>
        <v>4.9055</v>
      </c>
      <c r="R210" s="1060">
        <f t="shared" si="192"/>
        <v>5.5991999999999997</v>
      </c>
      <c r="S210" s="1062">
        <f t="shared" si="192"/>
        <v>6.2857000000000003</v>
      </c>
      <c r="T210" s="1063">
        <f>IF(T211&gt;0,ROUND((-T213+SQRT(T213^2-4*T212*T214))/(2*T212),4),IF(T211&lt;0,ROUND((-T213-SQRT(ABS(T213^2-4*T212*T214)))/(2*T212),4)))</f>
        <v>6.9360999999999997</v>
      </c>
    </row>
    <row r="211" spans="1:20" ht="14.85" customHeight="1">
      <c r="A211" s="1064" t="s">
        <v>730</v>
      </c>
      <c r="B211" s="1181">
        <f t="shared" ref="B211:I211" si="193">(B213^2-4*B212*B214)</f>
        <v>-1580.9642239100003</v>
      </c>
      <c r="C211" s="1065">
        <f t="shared" si="193"/>
        <v>1464.4273977699995</v>
      </c>
      <c r="D211" s="1065">
        <f t="shared" si="193"/>
        <v>156.70069448999999</v>
      </c>
      <c r="E211" s="1065">
        <f t="shared" si="193"/>
        <v>323.40520867999999</v>
      </c>
      <c r="F211" s="1065">
        <f t="shared" si="193"/>
        <v>478.06675232999987</v>
      </c>
      <c r="G211" s="1065">
        <f t="shared" si="193"/>
        <v>644.43394964999993</v>
      </c>
      <c r="H211" s="1065">
        <f t="shared" si="193"/>
        <v>775.9774662399999</v>
      </c>
      <c r="I211" s="1065">
        <f t="shared" si="193"/>
        <v>941.63448863999974</v>
      </c>
      <c r="J211" s="1066">
        <f>(J213^2-4*J212*J214)</f>
        <v>1114.8489777999998</v>
      </c>
      <c r="K211" s="1064" t="s">
        <v>730</v>
      </c>
      <c r="L211" s="1181">
        <f t="shared" ref="L211:S211" si="194">(L213^2-4*L212*L214)</f>
        <v>-2056.5313964000015</v>
      </c>
      <c r="M211" s="1065">
        <f t="shared" si="194"/>
        <v>431.10876197000027</v>
      </c>
      <c r="N211" s="1065">
        <f t="shared" si="194"/>
        <v>364.18922240000001</v>
      </c>
      <c r="O211" s="1065">
        <f t="shared" si="194"/>
        <v>638.73252169</v>
      </c>
      <c r="P211" s="1065">
        <f t="shared" si="194"/>
        <v>899.59061156000018</v>
      </c>
      <c r="Q211" s="1065">
        <f t="shared" si="194"/>
        <v>1184.7224700100001</v>
      </c>
      <c r="R211" s="1065">
        <f t="shared" si="194"/>
        <v>1398.51561541</v>
      </c>
      <c r="S211" s="1067">
        <f t="shared" si="194"/>
        <v>1647.7754645300001</v>
      </c>
      <c r="T211" s="1068">
        <f>(T213^2-4*T212*T214)</f>
        <v>1902.73526528</v>
      </c>
    </row>
    <row r="212" spans="1:20" ht="14.85" customHeight="1">
      <c r="A212" s="1064" t="s">
        <v>731</v>
      </c>
      <c r="B212" s="1180">
        <f t="shared" ref="B212:I212" si="195">B57-B64</f>
        <v>21.9069</v>
      </c>
      <c r="C212" s="1060">
        <f t="shared" si="195"/>
        <v>1.0946999999999996</v>
      </c>
      <c r="D212" s="1060">
        <f t="shared" si="195"/>
        <v>1.4135999999999997</v>
      </c>
      <c r="E212" s="1060">
        <f t="shared" si="195"/>
        <v>1.6003999999999996</v>
      </c>
      <c r="F212" s="1060">
        <f t="shared" si="195"/>
        <v>1.7433999999999996</v>
      </c>
      <c r="G212" s="1060">
        <f t="shared" si="195"/>
        <v>1.8312999999999997</v>
      </c>
      <c r="H212" s="1060">
        <f t="shared" si="195"/>
        <v>1.9082999999999997</v>
      </c>
      <c r="I212" s="1060">
        <f t="shared" si="195"/>
        <v>1.9521999999999995</v>
      </c>
      <c r="J212" s="1061">
        <f>J57-J64</f>
        <v>1.9851999999999994</v>
      </c>
      <c r="K212" s="1064" t="s">
        <v>731</v>
      </c>
      <c r="L212" s="1180">
        <f t="shared" ref="L212:S212" si="196">L57-L64</f>
        <v>32.390500000000003</v>
      </c>
      <c r="M212" s="1060">
        <f t="shared" si="196"/>
        <v>-3.2299999999999773E-2</v>
      </c>
      <c r="N212" s="1060">
        <f t="shared" si="196"/>
        <v>0.55039999999999978</v>
      </c>
      <c r="O212" s="1060">
        <f t="shared" si="196"/>
        <v>0.89119999999999999</v>
      </c>
      <c r="P212" s="1060">
        <f t="shared" si="196"/>
        <v>1.1441000000000003</v>
      </c>
      <c r="Q212" s="1060">
        <f t="shared" si="196"/>
        <v>1.2980000000000003</v>
      </c>
      <c r="R212" s="1060">
        <f t="shared" si="196"/>
        <v>1.4409000000000001</v>
      </c>
      <c r="S212" s="1062">
        <f t="shared" si="196"/>
        <v>1.5289000000000004</v>
      </c>
      <c r="T212" s="1063">
        <f>T57-T64</f>
        <v>1.5949000000000002</v>
      </c>
    </row>
    <row r="213" spans="1:20" ht="14.85" customHeight="1">
      <c r="A213" s="1069" t="s">
        <v>732</v>
      </c>
      <c r="B213" s="1180">
        <f t="shared" ref="B213:J213" si="197">ROUND(2*B64*B5-B70-B84+B78*B195,4)</f>
        <v>-54.618099999999998</v>
      </c>
      <c r="C213" s="1060">
        <f t="shared" si="197"/>
        <v>16.364899999999999</v>
      </c>
      <c r="D213" s="1060">
        <f t="shared" si="197"/>
        <v>9.4131</v>
      </c>
      <c r="E213" s="1060">
        <f t="shared" si="197"/>
        <v>10.990600000000001</v>
      </c>
      <c r="F213" s="1060">
        <f t="shared" si="197"/>
        <v>11.4811</v>
      </c>
      <c r="G213" s="1060">
        <f t="shared" si="197"/>
        <v>11.912100000000001</v>
      </c>
      <c r="H213" s="1060">
        <f t="shared" si="197"/>
        <v>11.728999999999999</v>
      </c>
      <c r="I213" s="1060">
        <f t="shared" si="197"/>
        <v>11.9712</v>
      </c>
      <c r="J213" s="1061">
        <f t="shared" si="197"/>
        <v>12.2166</v>
      </c>
      <c r="K213" s="1069" t="s">
        <v>732</v>
      </c>
      <c r="L213" s="1180">
        <f t="shared" ref="L213:S213" si="198">ROUND(2*L64*L5-L70-L84+L78*L195,4)</f>
        <v>-84.573999999999998</v>
      </c>
      <c r="M213" s="1060">
        <f t="shared" si="198"/>
        <v>21.6219</v>
      </c>
      <c r="N213" s="1060">
        <f t="shared" si="198"/>
        <v>16.993600000000001</v>
      </c>
      <c r="O213" s="1060">
        <f t="shared" si="198"/>
        <v>19.7821</v>
      </c>
      <c r="P213" s="1060">
        <f t="shared" si="198"/>
        <v>20.764600000000002</v>
      </c>
      <c r="Q213" s="1060">
        <f t="shared" si="198"/>
        <v>21.685099999999998</v>
      </c>
      <c r="R213" s="1060">
        <f t="shared" si="198"/>
        <v>21.260899999999999</v>
      </c>
      <c r="S213" s="1062">
        <f t="shared" si="198"/>
        <v>21.372299999999999</v>
      </c>
      <c r="T213" s="1063">
        <f>ROUND(2*T64*T5-T70-T84+T78*T195,4)</f>
        <v>21.4956</v>
      </c>
    </row>
    <row r="214" spans="1:20" ht="14.85" customHeight="1">
      <c r="A214" s="1069" t="s">
        <v>733</v>
      </c>
      <c r="B214" s="1180">
        <f>ROUND(-B64*B5^2-B78*B195*B43+B57*B19^2-B76-B90,4)</f>
        <v>52.0852</v>
      </c>
      <c r="C214" s="1060">
        <f>ROUND(-C64*C5^2-C78*C195*C43+C57*C19^2-C76-C90,4)</f>
        <v>-273.27519999999998</v>
      </c>
      <c r="D214" s="1060">
        <f t="shared" ref="D214:J214" si="199">ROUND(-D64*D5^2-D78*D195*D43+D57*D19^2-D76-D90,4)</f>
        <v>-12.0427</v>
      </c>
      <c r="E214" s="1060">
        <f t="shared" si="199"/>
        <v>-31.650200000000002</v>
      </c>
      <c r="F214" s="1060">
        <f t="shared" si="199"/>
        <v>-49.651699999999998</v>
      </c>
      <c r="G214" s="1060">
        <f t="shared" si="199"/>
        <v>-68.603700000000003</v>
      </c>
      <c r="H214" s="1060">
        <f t="shared" si="199"/>
        <v>-83.6357</v>
      </c>
      <c r="I214" s="1060">
        <f t="shared" si="199"/>
        <v>-102.23399999999999</v>
      </c>
      <c r="J214" s="1060">
        <f t="shared" si="199"/>
        <v>-121.6003</v>
      </c>
      <c r="K214" s="1069" t="s">
        <v>733</v>
      </c>
      <c r="L214" s="1180">
        <f t="shared" ref="L214:S214" si="200">ROUND(-L64*L5^2-L78*L195*L43+L57*L19^2-L76-L90,4)</f>
        <v>71.080200000000005</v>
      </c>
      <c r="M214" s="1060">
        <f t="shared" si="200"/>
        <v>-281.7167</v>
      </c>
      <c r="N214" s="1060">
        <f t="shared" si="200"/>
        <v>-34.250900000000001</v>
      </c>
      <c r="O214" s="1060">
        <f t="shared" si="200"/>
        <v>-69.4011</v>
      </c>
      <c r="P214" s="1060">
        <f t="shared" si="200"/>
        <v>-102.35599999999999</v>
      </c>
      <c r="Q214" s="1060">
        <f t="shared" si="200"/>
        <v>-137.61150000000001</v>
      </c>
      <c r="R214" s="1060">
        <f t="shared" si="200"/>
        <v>-164.21850000000001</v>
      </c>
      <c r="S214" s="1062">
        <f t="shared" si="200"/>
        <v>-194.74789999999999</v>
      </c>
      <c r="T214" s="1063">
        <f>ROUND(-T64*T5^2-T78*T195*T43+T57*T19^2-T76-T90,4)</f>
        <v>-225.8252</v>
      </c>
    </row>
    <row r="215" spans="1:20" ht="14.85" customHeight="1">
      <c r="A215" s="1064" t="s">
        <v>734</v>
      </c>
      <c r="B215" s="1182">
        <f t="shared" ref="B215:I215" si="201">ROUNDUP(B210*B23,0)</f>
        <v>20</v>
      </c>
      <c r="C215" s="1070">
        <f t="shared" si="201"/>
        <v>587</v>
      </c>
      <c r="D215" s="1070">
        <f t="shared" si="201"/>
        <v>65</v>
      </c>
      <c r="E215" s="1070">
        <f t="shared" si="201"/>
        <v>129</v>
      </c>
      <c r="F215" s="1070">
        <f t="shared" si="201"/>
        <v>175</v>
      </c>
      <c r="G215" s="1070">
        <f t="shared" si="201"/>
        <v>216</v>
      </c>
      <c r="H215" s="1070">
        <f t="shared" si="201"/>
        <v>248</v>
      </c>
      <c r="I215" s="1070">
        <f t="shared" si="201"/>
        <v>282</v>
      </c>
      <c r="J215" s="1071">
        <f>ROUNDUP(J210*J23,0)</f>
        <v>313</v>
      </c>
      <c r="K215" s="1064" t="s">
        <v>734</v>
      </c>
      <c r="L215" s="1182">
        <f t="shared" ref="L215:S215" si="202">ROUNDUP(L210*L23,0)</f>
        <v>45</v>
      </c>
      <c r="M215" s="1070">
        <f t="shared" si="202"/>
        <v>780</v>
      </c>
      <c r="N215" s="1070">
        <f t="shared" si="202"/>
        <v>112</v>
      </c>
      <c r="O215" s="1070">
        <f t="shared" si="202"/>
        <v>181</v>
      </c>
      <c r="P215" s="1070">
        <f t="shared" si="202"/>
        <v>237</v>
      </c>
      <c r="Q215" s="1070">
        <f t="shared" si="202"/>
        <v>288</v>
      </c>
      <c r="R215" s="1070">
        <f t="shared" si="202"/>
        <v>329</v>
      </c>
      <c r="S215" s="1072">
        <f t="shared" si="202"/>
        <v>369</v>
      </c>
      <c r="T215" s="1073">
        <f>ROUNDUP(T210*T23,0)</f>
        <v>407</v>
      </c>
    </row>
    <row r="216" spans="1:20" ht="14.85" customHeight="1">
      <c r="A216" s="1074" t="s">
        <v>735</v>
      </c>
      <c r="B216" s="1183">
        <f t="shared" ref="B216:I216" si="203">B215</f>
        <v>20</v>
      </c>
      <c r="C216" s="1075">
        <f t="shared" si="203"/>
        <v>587</v>
      </c>
      <c r="D216" s="1075">
        <f t="shared" si="203"/>
        <v>65</v>
      </c>
      <c r="E216" s="1075">
        <f t="shared" si="203"/>
        <v>129</v>
      </c>
      <c r="F216" s="1075">
        <f t="shared" si="203"/>
        <v>175</v>
      </c>
      <c r="G216" s="1075">
        <f t="shared" si="203"/>
        <v>216</v>
      </c>
      <c r="H216" s="1075">
        <f t="shared" si="203"/>
        <v>248</v>
      </c>
      <c r="I216" s="1075">
        <f t="shared" si="203"/>
        <v>282</v>
      </c>
      <c r="J216" s="1076">
        <f>J215</f>
        <v>313</v>
      </c>
      <c r="K216" s="1074" t="s">
        <v>736</v>
      </c>
      <c r="L216" s="1183">
        <f t="shared" ref="L216:S216" si="204">L215</f>
        <v>45</v>
      </c>
      <c r="M216" s="1075">
        <f t="shared" si="204"/>
        <v>780</v>
      </c>
      <c r="N216" s="1075">
        <f t="shared" si="204"/>
        <v>112</v>
      </c>
      <c r="O216" s="1075">
        <f t="shared" si="204"/>
        <v>181</v>
      </c>
      <c r="P216" s="1075">
        <f t="shared" si="204"/>
        <v>237</v>
      </c>
      <c r="Q216" s="1075">
        <f t="shared" si="204"/>
        <v>288</v>
      </c>
      <c r="R216" s="1075">
        <f t="shared" si="204"/>
        <v>329</v>
      </c>
      <c r="S216" s="1077">
        <f t="shared" si="204"/>
        <v>369</v>
      </c>
      <c r="T216" s="1078">
        <f>T215</f>
        <v>407</v>
      </c>
    </row>
    <row r="217" spans="1:20" ht="14.85" customHeight="1">
      <c r="A217" s="1074" t="s">
        <v>737</v>
      </c>
      <c r="B217" s="1183">
        <f t="shared" ref="B217:J217" si="205">IF($C$202=1,0,B216+(B182-B183))</f>
        <v>20</v>
      </c>
      <c r="C217" s="1075">
        <f t="shared" si="205"/>
        <v>587</v>
      </c>
      <c r="D217" s="1075">
        <f t="shared" si="205"/>
        <v>65</v>
      </c>
      <c r="E217" s="1075">
        <f t="shared" si="205"/>
        <v>129</v>
      </c>
      <c r="F217" s="1075">
        <f t="shared" si="205"/>
        <v>175</v>
      </c>
      <c r="G217" s="1075">
        <f t="shared" si="205"/>
        <v>216</v>
      </c>
      <c r="H217" s="1075">
        <f t="shared" si="205"/>
        <v>248</v>
      </c>
      <c r="I217" s="1075">
        <f t="shared" si="205"/>
        <v>282</v>
      </c>
      <c r="J217" s="1076">
        <f t="shared" si="205"/>
        <v>313</v>
      </c>
      <c r="K217" s="1074" t="s">
        <v>737</v>
      </c>
      <c r="L217" s="1183">
        <f t="shared" ref="L217:T217" si="206">IF($M$202=1,0,L216+(L182-L183))</f>
        <v>45</v>
      </c>
      <c r="M217" s="1075">
        <f t="shared" si="206"/>
        <v>780</v>
      </c>
      <c r="N217" s="1075">
        <f t="shared" si="206"/>
        <v>112</v>
      </c>
      <c r="O217" s="1075">
        <f t="shared" si="206"/>
        <v>181</v>
      </c>
      <c r="P217" s="1075">
        <f t="shared" si="206"/>
        <v>237</v>
      </c>
      <c r="Q217" s="1075">
        <f t="shared" si="206"/>
        <v>288</v>
      </c>
      <c r="R217" s="1075">
        <f t="shared" si="206"/>
        <v>329</v>
      </c>
      <c r="S217" s="1077">
        <f t="shared" si="206"/>
        <v>369</v>
      </c>
      <c r="T217" s="1078">
        <f t="shared" si="206"/>
        <v>407</v>
      </c>
    </row>
    <row r="218" spans="1:20" ht="14.85" customHeight="1">
      <c r="A218" s="1074" t="s">
        <v>738</v>
      </c>
      <c r="B218" s="1183">
        <f t="shared" ref="B218:J218" si="207">IF($C$202=1,0,IF($C$202=2,0,B217+(B184-B185)))</f>
        <v>0</v>
      </c>
      <c r="C218" s="1075">
        <f t="shared" si="207"/>
        <v>0</v>
      </c>
      <c r="D218" s="1075">
        <f t="shared" si="207"/>
        <v>0</v>
      </c>
      <c r="E218" s="1075">
        <f t="shared" si="207"/>
        <v>0</v>
      </c>
      <c r="F218" s="1075">
        <f t="shared" si="207"/>
        <v>0</v>
      </c>
      <c r="G218" s="1075">
        <f t="shared" si="207"/>
        <v>0</v>
      </c>
      <c r="H218" s="1075">
        <f t="shared" si="207"/>
        <v>0</v>
      </c>
      <c r="I218" s="1075">
        <f t="shared" si="207"/>
        <v>0</v>
      </c>
      <c r="J218" s="1076">
        <f t="shared" si="207"/>
        <v>0</v>
      </c>
      <c r="K218" s="1074" t="s">
        <v>738</v>
      </c>
      <c r="L218" s="1183">
        <f t="shared" ref="L218:T218" si="208">IF($M$202=1,0,IF($M$202=2,0,L217+(L184-L185)))</f>
        <v>0</v>
      </c>
      <c r="M218" s="1075">
        <f t="shared" si="208"/>
        <v>0</v>
      </c>
      <c r="N218" s="1075">
        <f t="shared" si="208"/>
        <v>0</v>
      </c>
      <c r="O218" s="1075">
        <f t="shared" si="208"/>
        <v>0</v>
      </c>
      <c r="P218" s="1075">
        <f t="shared" si="208"/>
        <v>0</v>
      </c>
      <c r="Q218" s="1075">
        <f t="shared" si="208"/>
        <v>0</v>
      </c>
      <c r="R218" s="1075">
        <f t="shared" si="208"/>
        <v>0</v>
      </c>
      <c r="S218" s="1077">
        <f t="shared" si="208"/>
        <v>0</v>
      </c>
      <c r="T218" s="1078">
        <f t="shared" si="208"/>
        <v>0</v>
      </c>
    </row>
    <row r="219" spans="1:20" ht="14.85" customHeight="1">
      <c r="A219" s="1074" t="s">
        <v>739</v>
      </c>
      <c r="B219" s="1183">
        <f t="shared" ref="B219:J219" si="209">IF($C$202=1,0,IF($C$202=2,0,IF($C$202=3,0,B218+(B186-B187))))</f>
        <v>0</v>
      </c>
      <c r="C219" s="1075">
        <f t="shared" si="209"/>
        <v>0</v>
      </c>
      <c r="D219" s="1075">
        <f t="shared" si="209"/>
        <v>0</v>
      </c>
      <c r="E219" s="1075">
        <f t="shared" si="209"/>
        <v>0</v>
      </c>
      <c r="F219" s="1075">
        <f t="shared" si="209"/>
        <v>0</v>
      </c>
      <c r="G219" s="1075">
        <f t="shared" si="209"/>
        <v>0</v>
      </c>
      <c r="H219" s="1075">
        <f t="shared" si="209"/>
        <v>0</v>
      </c>
      <c r="I219" s="1075">
        <f t="shared" si="209"/>
        <v>0</v>
      </c>
      <c r="J219" s="1076">
        <f t="shared" si="209"/>
        <v>0</v>
      </c>
      <c r="K219" s="1074" t="s">
        <v>739</v>
      </c>
      <c r="L219" s="1183">
        <f t="shared" ref="L219:T219" si="210">IF($M$202=1,0,IF($M$202=2,0,IF($M$202=3,0,L218+(L186-L187))))</f>
        <v>0</v>
      </c>
      <c r="M219" s="1075">
        <f t="shared" si="210"/>
        <v>0</v>
      </c>
      <c r="N219" s="1075">
        <f t="shared" si="210"/>
        <v>0</v>
      </c>
      <c r="O219" s="1075">
        <f t="shared" si="210"/>
        <v>0</v>
      </c>
      <c r="P219" s="1075">
        <f t="shared" si="210"/>
        <v>0</v>
      </c>
      <c r="Q219" s="1075">
        <f t="shared" si="210"/>
        <v>0</v>
      </c>
      <c r="R219" s="1075">
        <f t="shared" si="210"/>
        <v>0</v>
      </c>
      <c r="S219" s="1077">
        <f t="shared" si="210"/>
        <v>0</v>
      </c>
      <c r="T219" s="1078">
        <f t="shared" si="210"/>
        <v>0</v>
      </c>
    </row>
    <row r="220" spans="1:20" ht="14.85" customHeight="1">
      <c r="A220" s="965"/>
      <c r="B220" s="1180"/>
      <c r="C220" s="1060"/>
      <c r="D220" s="1060"/>
      <c r="E220" s="1060"/>
      <c r="F220" s="1060"/>
      <c r="G220" s="1060"/>
      <c r="H220" s="1060"/>
      <c r="I220" s="1060"/>
      <c r="J220" s="1061"/>
      <c r="K220" s="965"/>
      <c r="L220" s="1180"/>
      <c r="M220" s="1060"/>
      <c r="N220" s="1060"/>
      <c r="O220" s="1060"/>
      <c r="P220" s="1060"/>
      <c r="Q220" s="1060"/>
      <c r="R220" s="1060"/>
      <c r="S220" s="1062"/>
      <c r="T220" s="1063"/>
    </row>
    <row r="221" spans="1:20" ht="14.85" customHeight="1">
      <c r="A221" s="1064" t="s">
        <v>740</v>
      </c>
      <c r="B221" s="1184">
        <f t="shared" ref="B221:I221" si="211">B7</f>
        <v>988</v>
      </c>
      <c r="C221" s="1079">
        <f t="shared" si="211"/>
        <v>15</v>
      </c>
      <c r="D221" s="1079">
        <f t="shared" si="211"/>
        <v>13</v>
      </c>
      <c r="E221" s="1079">
        <f t="shared" si="211"/>
        <v>9</v>
      </c>
      <c r="F221" s="1079">
        <f t="shared" si="211"/>
        <v>10</v>
      </c>
      <c r="G221" s="1079">
        <f t="shared" si="211"/>
        <v>14</v>
      </c>
      <c r="H221" s="1079">
        <f t="shared" si="211"/>
        <v>14</v>
      </c>
      <c r="I221" s="1079">
        <f t="shared" si="211"/>
        <v>14</v>
      </c>
      <c r="J221" s="1080">
        <f>J7</f>
        <v>14</v>
      </c>
      <c r="K221" s="1064" t="s">
        <v>740</v>
      </c>
      <c r="L221" s="1184">
        <f t="shared" ref="L221:S221" si="212">L7</f>
        <v>1139</v>
      </c>
      <c r="M221" s="1079">
        <f t="shared" si="212"/>
        <v>29</v>
      </c>
      <c r="N221" s="1079">
        <f t="shared" si="212"/>
        <v>28</v>
      </c>
      <c r="O221" s="1079">
        <f t="shared" si="212"/>
        <v>21</v>
      </c>
      <c r="P221" s="1079">
        <f t="shared" si="212"/>
        <v>19</v>
      </c>
      <c r="Q221" s="1079">
        <f t="shared" si="212"/>
        <v>25</v>
      </c>
      <c r="R221" s="1079">
        <f t="shared" si="212"/>
        <v>25</v>
      </c>
      <c r="S221" s="1081">
        <f t="shared" si="212"/>
        <v>25</v>
      </c>
      <c r="T221" s="1082">
        <f>T7</f>
        <v>26</v>
      </c>
    </row>
    <row r="222" spans="1:20" ht="14.85" customHeight="1">
      <c r="A222" s="1064" t="s">
        <v>741</v>
      </c>
      <c r="B222" s="1184">
        <f t="shared" ref="B222:I222" si="213">B7-B223-B224-B225-B226-B227-B228</f>
        <v>-524</v>
      </c>
      <c r="C222" s="1079">
        <f t="shared" si="213"/>
        <v>-8</v>
      </c>
      <c r="D222" s="1079">
        <f t="shared" si="213"/>
        <v>-7</v>
      </c>
      <c r="E222" s="1079">
        <f t="shared" si="213"/>
        <v>-5</v>
      </c>
      <c r="F222" s="1079">
        <f t="shared" si="213"/>
        <v>-5</v>
      </c>
      <c r="G222" s="1079">
        <f t="shared" si="213"/>
        <v>-7</v>
      </c>
      <c r="H222" s="1079">
        <f t="shared" si="213"/>
        <v>-7</v>
      </c>
      <c r="I222" s="1079">
        <f t="shared" si="213"/>
        <v>-7</v>
      </c>
      <c r="J222" s="1080">
        <f>J7-J223-J224-J225-J226-J227-J228</f>
        <v>-7</v>
      </c>
      <c r="K222" s="1064" t="s">
        <v>741</v>
      </c>
      <c r="L222" s="1184">
        <f t="shared" ref="L222:S222" si="214">L7-L223-L224-L225-L226-L227-L228</f>
        <v>-2790</v>
      </c>
      <c r="M222" s="1079">
        <f t="shared" si="214"/>
        <v>-71</v>
      </c>
      <c r="N222" s="1079">
        <f t="shared" si="214"/>
        <v>-69</v>
      </c>
      <c r="O222" s="1079">
        <f t="shared" si="214"/>
        <v>-51</v>
      </c>
      <c r="P222" s="1079">
        <f t="shared" si="214"/>
        <v>-47</v>
      </c>
      <c r="Q222" s="1079">
        <f t="shared" si="214"/>
        <v>-61</v>
      </c>
      <c r="R222" s="1079">
        <f t="shared" si="214"/>
        <v>-61</v>
      </c>
      <c r="S222" s="1081">
        <f t="shared" si="214"/>
        <v>-61</v>
      </c>
      <c r="T222" s="1082">
        <f>T7-T223-T224-T225-T226-T227-T228</f>
        <v>-64</v>
      </c>
    </row>
    <row r="223" spans="1:20" ht="14.85" customHeight="1">
      <c r="A223" s="1064" t="s">
        <v>742</v>
      </c>
      <c r="B223" s="1184">
        <f t="shared" ref="B223:I223" si="215">ROUND(B7*B253/B25,0)</f>
        <v>1512</v>
      </c>
      <c r="C223" s="1079">
        <f t="shared" si="215"/>
        <v>23</v>
      </c>
      <c r="D223" s="1079">
        <f t="shared" si="215"/>
        <v>20</v>
      </c>
      <c r="E223" s="1079">
        <f t="shared" si="215"/>
        <v>14</v>
      </c>
      <c r="F223" s="1079">
        <f t="shared" si="215"/>
        <v>15</v>
      </c>
      <c r="G223" s="1079">
        <f t="shared" si="215"/>
        <v>21</v>
      </c>
      <c r="H223" s="1079">
        <f t="shared" si="215"/>
        <v>21</v>
      </c>
      <c r="I223" s="1079">
        <f t="shared" si="215"/>
        <v>21</v>
      </c>
      <c r="J223" s="1080">
        <f>ROUND(J7*J253/J25,0)</f>
        <v>21</v>
      </c>
      <c r="K223" s="1064" t="s">
        <v>742</v>
      </c>
      <c r="L223" s="1184">
        <f t="shared" ref="L223:S223" si="216">ROUND(L7*L253/L25,0)</f>
        <v>3929</v>
      </c>
      <c r="M223" s="1079">
        <f t="shared" si="216"/>
        <v>100</v>
      </c>
      <c r="N223" s="1079">
        <f t="shared" si="216"/>
        <v>97</v>
      </c>
      <c r="O223" s="1079">
        <f t="shared" si="216"/>
        <v>72</v>
      </c>
      <c r="P223" s="1079">
        <f t="shared" si="216"/>
        <v>66</v>
      </c>
      <c r="Q223" s="1079">
        <f t="shared" si="216"/>
        <v>86</v>
      </c>
      <c r="R223" s="1079">
        <f t="shared" si="216"/>
        <v>86</v>
      </c>
      <c r="S223" s="1081">
        <f t="shared" si="216"/>
        <v>86</v>
      </c>
      <c r="T223" s="1082">
        <f>ROUND(T7*T253/T25,0)</f>
        <v>90</v>
      </c>
    </row>
    <row r="224" spans="1:20" ht="14.85" customHeight="1">
      <c r="A224" s="1064" t="s">
        <v>743</v>
      </c>
      <c r="B224" s="1184">
        <f t="shared" ref="B224:I224" si="217">ROUND(B7*B254/B25,0)</f>
        <v>0</v>
      </c>
      <c r="C224" s="1079">
        <f t="shared" si="217"/>
        <v>0</v>
      </c>
      <c r="D224" s="1079">
        <f t="shared" si="217"/>
        <v>0</v>
      </c>
      <c r="E224" s="1079">
        <f t="shared" si="217"/>
        <v>0</v>
      </c>
      <c r="F224" s="1079">
        <f t="shared" si="217"/>
        <v>0</v>
      </c>
      <c r="G224" s="1079">
        <f t="shared" si="217"/>
        <v>0</v>
      </c>
      <c r="H224" s="1079">
        <f t="shared" si="217"/>
        <v>0</v>
      </c>
      <c r="I224" s="1079">
        <f t="shared" si="217"/>
        <v>0</v>
      </c>
      <c r="J224" s="1080">
        <f>ROUND(J7*J254/J25,0)</f>
        <v>0</v>
      </c>
      <c r="K224" s="1064" t="s">
        <v>743</v>
      </c>
      <c r="L224" s="1184">
        <f t="shared" ref="L224:S224" si="218">ROUND(L7*L254/L25,0)</f>
        <v>0</v>
      </c>
      <c r="M224" s="1079">
        <f t="shared" si="218"/>
        <v>0</v>
      </c>
      <c r="N224" s="1079">
        <f t="shared" si="218"/>
        <v>0</v>
      </c>
      <c r="O224" s="1079">
        <f t="shared" si="218"/>
        <v>0</v>
      </c>
      <c r="P224" s="1079">
        <f t="shared" si="218"/>
        <v>0</v>
      </c>
      <c r="Q224" s="1079">
        <f t="shared" si="218"/>
        <v>0</v>
      </c>
      <c r="R224" s="1079">
        <f t="shared" si="218"/>
        <v>0</v>
      </c>
      <c r="S224" s="1081">
        <f t="shared" si="218"/>
        <v>0</v>
      </c>
      <c r="T224" s="1082">
        <f>ROUND(T7*T254/T25,0)</f>
        <v>0</v>
      </c>
    </row>
    <row r="225" spans="1:20" ht="14.85" customHeight="1">
      <c r="A225" s="1064" t="s">
        <v>744</v>
      </c>
      <c r="B225" s="1184">
        <f t="shared" ref="B225:I225" si="219">ROUND(B7*B255/B25,0)</f>
        <v>0</v>
      </c>
      <c r="C225" s="1079">
        <f t="shared" si="219"/>
        <v>0</v>
      </c>
      <c r="D225" s="1079">
        <f t="shared" si="219"/>
        <v>0</v>
      </c>
      <c r="E225" s="1079">
        <f t="shared" si="219"/>
        <v>0</v>
      </c>
      <c r="F225" s="1079">
        <f t="shared" si="219"/>
        <v>0</v>
      </c>
      <c r="G225" s="1079">
        <f t="shared" si="219"/>
        <v>0</v>
      </c>
      <c r="H225" s="1079">
        <f t="shared" si="219"/>
        <v>0</v>
      </c>
      <c r="I225" s="1079">
        <f t="shared" si="219"/>
        <v>0</v>
      </c>
      <c r="J225" s="1080">
        <f>ROUND(J7*J255/J25,0)</f>
        <v>0</v>
      </c>
      <c r="K225" s="1064" t="s">
        <v>744</v>
      </c>
      <c r="L225" s="1184">
        <f t="shared" ref="L225:S225" si="220">ROUND(L7*L255/L25,0)</f>
        <v>0</v>
      </c>
      <c r="M225" s="1079">
        <f t="shared" si="220"/>
        <v>0</v>
      </c>
      <c r="N225" s="1079">
        <f t="shared" si="220"/>
        <v>0</v>
      </c>
      <c r="O225" s="1079">
        <f t="shared" si="220"/>
        <v>0</v>
      </c>
      <c r="P225" s="1079">
        <f t="shared" si="220"/>
        <v>0</v>
      </c>
      <c r="Q225" s="1079">
        <f t="shared" si="220"/>
        <v>0</v>
      </c>
      <c r="R225" s="1079">
        <f t="shared" si="220"/>
        <v>0</v>
      </c>
      <c r="S225" s="1081">
        <f t="shared" si="220"/>
        <v>0</v>
      </c>
      <c r="T225" s="1082">
        <f>ROUND(T7*T255/T25,0)</f>
        <v>0</v>
      </c>
    </row>
    <row r="226" spans="1:20" s="1083" customFormat="1" ht="14.85" customHeight="1">
      <c r="A226" s="1064" t="s">
        <v>745</v>
      </c>
      <c r="B226" s="1184">
        <f t="shared" ref="B226:I226" si="221">ROUND(B7*B256/B25,0)</f>
        <v>0</v>
      </c>
      <c r="C226" s="1079">
        <f t="shared" si="221"/>
        <v>0</v>
      </c>
      <c r="D226" s="1079">
        <f t="shared" si="221"/>
        <v>0</v>
      </c>
      <c r="E226" s="1079">
        <f t="shared" si="221"/>
        <v>0</v>
      </c>
      <c r="F226" s="1079">
        <f t="shared" si="221"/>
        <v>0</v>
      </c>
      <c r="G226" s="1079">
        <f t="shared" si="221"/>
        <v>0</v>
      </c>
      <c r="H226" s="1079">
        <f t="shared" si="221"/>
        <v>0</v>
      </c>
      <c r="I226" s="1079">
        <f t="shared" si="221"/>
        <v>0</v>
      </c>
      <c r="J226" s="1080">
        <f>ROUND(J7*J256/J25,0)</f>
        <v>0</v>
      </c>
      <c r="K226" s="1064" t="s">
        <v>745</v>
      </c>
      <c r="L226" s="1184">
        <f t="shared" ref="L226:S226" si="222">ROUND(L7*L256/L25,0)</f>
        <v>0</v>
      </c>
      <c r="M226" s="1079">
        <f t="shared" si="222"/>
        <v>0</v>
      </c>
      <c r="N226" s="1079">
        <f t="shared" si="222"/>
        <v>0</v>
      </c>
      <c r="O226" s="1079">
        <f t="shared" si="222"/>
        <v>0</v>
      </c>
      <c r="P226" s="1079">
        <f t="shared" si="222"/>
        <v>0</v>
      </c>
      <c r="Q226" s="1079">
        <f t="shared" si="222"/>
        <v>0</v>
      </c>
      <c r="R226" s="1079">
        <f t="shared" si="222"/>
        <v>0</v>
      </c>
      <c r="S226" s="1081">
        <f t="shared" si="222"/>
        <v>0</v>
      </c>
      <c r="T226" s="1082">
        <f>ROUND(T7*T256/T25,0)</f>
        <v>0</v>
      </c>
    </row>
    <row r="227" spans="1:20" ht="14.85" customHeight="1">
      <c r="A227" s="1064" t="s">
        <v>746</v>
      </c>
      <c r="B227" s="1184">
        <f t="shared" ref="B227:I227" si="223">ROUND(B7*B257/B25,0)</f>
        <v>0</v>
      </c>
      <c r="C227" s="1079">
        <f t="shared" si="223"/>
        <v>0</v>
      </c>
      <c r="D227" s="1079">
        <f t="shared" si="223"/>
        <v>0</v>
      </c>
      <c r="E227" s="1079">
        <f t="shared" si="223"/>
        <v>0</v>
      </c>
      <c r="F227" s="1079">
        <f t="shared" si="223"/>
        <v>0</v>
      </c>
      <c r="G227" s="1079">
        <f t="shared" si="223"/>
        <v>0</v>
      </c>
      <c r="H227" s="1079">
        <f t="shared" si="223"/>
        <v>0</v>
      </c>
      <c r="I227" s="1079">
        <f t="shared" si="223"/>
        <v>0</v>
      </c>
      <c r="J227" s="1080">
        <f>ROUND(J7*J257/J25,0)</f>
        <v>0</v>
      </c>
      <c r="K227" s="1064" t="s">
        <v>746</v>
      </c>
      <c r="L227" s="1184">
        <f t="shared" ref="L227:S227" si="224">ROUND(L7*L257/L25,0)</f>
        <v>0</v>
      </c>
      <c r="M227" s="1079">
        <f t="shared" si="224"/>
        <v>0</v>
      </c>
      <c r="N227" s="1079">
        <f t="shared" si="224"/>
        <v>0</v>
      </c>
      <c r="O227" s="1079">
        <f t="shared" si="224"/>
        <v>0</v>
      </c>
      <c r="P227" s="1079">
        <f t="shared" si="224"/>
        <v>0</v>
      </c>
      <c r="Q227" s="1079">
        <f t="shared" si="224"/>
        <v>0</v>
      </c>
      <c r="R227" s="1079">
        <f t="shared" si="224"/>
        <v>0</v>
      </c>
      <c r="S227" s="1081">
        <f t="shared" si="224"/>
        <v>0</v>
      </c>
      <c r="T227" s="1082">
        <f>ROUND(T7*T257/T25,0)</f>
        <v>0</v>
      </c>
    </row>
    <row r="228" spans="1:20" ht="14.85" customHeight="1" thickBot="1">
      <c r="A228" s="1084" t="s">
        <v>747</v>
      </c>
      <c r="B228" s="1185">
        <f t="shared" ref="B228:I228" si="225">ROUND(B7*B258/B25,0)</f>
        <v>0</v>
      </c>
      <c r="C228" s="1085">
        <f t="shared" si="225"/>
        <v>0</v>
      </c>
      <c r="D228" s="1085">
        <f t="shared" si="225"/>
        <v>0</v>
      </c>
      <c r="E228" s="1085">
        <f t="shared" si="225"/>
        <v>0</v>
      </c>
      <c r="F228" s="1085">
        <f t="shared" si="225"/>
        <v>0</v>
      </c>
      <c r="G228" s="1085">
        <f t="shared" si="225"/>
        <v>0</v>
      </c>
      <c r="H228" s="1085">
        <f t="shared" si="225"/>
        <v>0</v>
      </c>
      <c r="I228" s="1085">
        <f t="shared" si="225"/>
        <v>0</v>
      </c>
      <c r="J228" s="1086">
        <f>ROUND(J7*J258/J25,0)</f>
        <v>0</v>
      </c>
      <c r="K228" s="1084" t="s">
        <v>747</v>
      </c>
      <c r="L228" s="1185">
        <f t="shared" ref="L228:S228" si="226">ROUND(L7*L258/L25,0)</f>
        <v>0</v>
      </c>
      <c r="M228" s="1085">
        <f t="shared" si="226"/>
        <v>0</v>
      </c>
      <c r="N228" s="1085">
        <f t="shared" si="226"/>
        <v>0</v>
      </c>
      <c r="O228" s="1085">
        <f t="shared" si="226"/>
        <v>0</v>
      </c>
      <c r="P228" s="1085">
        <f t="shared" si="226"/>
        <v>0</v>
      </c>
      <c r="Q228" s="1085">
        <f t="shared" si="226"/>
        <v>0</v>
      </c>
      <c r="R228" s="1085">
        <f t="shared" si="226"/>
        <v>0</v>
      </c>
      <c r="S228" s="1087">
        <f t="shared" si="226"/>
        <v>0</v>
      </c>
      <c r="T228" s="1088">
        <f>ROUND(T7*T258/T25,0)</f>
        <v>0</v>
      </c>
    </row>
    <row r="229" spans="1:20" ht="14.85" customHeight="1">
      <c r="A229" s="1089"/>
      <c r="B229" s="1186"/>
      <c r="C229" s="1083"/>
      <c r="D229" s="1083"/>
      <c r="E229" s="1083"/>
      <c r="F229" s="1083"/>
      <c r="G229" s="1083"/>
      <c r="H229" s="1083"/>
      <c r="I229" s="1022"/>
      <c r="J229" s="1090"/>
      <c r="K229" s="1089"/>
      <c r="L229" s="1186"/>
      <c r="M229" s="1083"/>
      <c r="N229" s="1083"/>
      <c r="O229" s="1083"/>
      <c r="P229" s="1083"/>
      <c r="Q229" s="1083"/>
      <c r="R229" s="1083"/>
      <c r="S229" s="1083"/>
      <c r="T229" s="1091"/>
    </row>
    <row r="230" spans="1:20" ht="14.85" customHeight="1">
      <c r="A230" s="1089"/>
      <c r="B230" s="1186"/>
      <c r="C230" s="1083"/>
      <c r="D230" s="1083"/>
      <c r="E230" s="1083"/>
      <c r="F230" s="1083"/>
      <c r="G230" s="1083"/>
      <c r="H230" s="1083"/>
      <c r="I230" s="1022"/>
      <c r="J230" s="1090"/>
      <c r="K230" s="1089"/>
      <c r="L230" s="1186"/>
      <c r="M230" s="1083"/>
      <c r="N230" s="1083"/>
      <c r="O230" s="1083"/>
      <c r="P230" s="1083"/>
      <c r="Q230" s="1083"/>
      <c r="R230" s="1083"/>
      <c r="S230" s="1083"/>
      <c r="T230" s="1091"/>
    </row>
    <row r="231" spans="1:20" s="947" customFormat="1" ht="14.85" customHeight="1" thickBot="1">
      <c r="A231" s="941" t="s">
        <v>748</v>
      </c>
      <c r="B231" s="1187" t="s">
        <v>10</v>
      </c>
      <c r="C231" s="1093">
        <f>D1</f>
        <v>2036</v>
      </c>
      <c r="D231" s="1094" t="s">
        <v>749</v>
      </c>
      <c r="E231" s="1092"/>
      <c r="F231" s="1092"/>
      <c r="G231" s="1095"/>
      <c r="H231" s="1095"/>
      <c r="I231" s="1096"/>
      <c r="J231" s="1097"/>
      <c r="K231" s="1098"/>
      <c r="L231" s="1187" t="s">
        <v>10</v>
      </c>
      <c r="M231" s="1093">
        <f>N1</f>
        <v>2036</v>
      </c>
      <c r="N231" s="1094" t="s">
        <v>750</v>
      </c>
      <c r="O231" s="1092"/>
      <c r="P231" s="1092"/>
      <c r="Q231" s="1095"/>
      <c r="R231" s="1095"/>
      <c r="S231" s="1099"/>
      <c r="T231" s="1100"/>
    </row>
    <row r="232" spans="1:20" ht="14.85" customHeight="1">
      <c r="A232" s="1564" t="s">
        <v>751</v>
      </c>
      <c r="B232" s="1188"/>
      <c r="C232" s="1101"/>
      <c r="D232" s="1102" t="str">
        <f>E2</f>
        <v>마산</v>
      </c>
      <c r="E232" s="1103" t="str">
        <f>F2</f>
        <v>⇒</v>
      </c>
      <c r="F232" s="1102" t="str">
        <f>G2</f>
        <v>진주</v>
      </c>
      <c r="G232" s="1103" t="str">
        <f>H2</f>
        <v>구 간</v>
      </c>
      <c r="H232" s="1103"/>
      <c r="I232" s="1104"/>
      <c r="J232" s="1105"/>
      <c r="K232" s="1564" t="s">
        <v>752</v>
      </c>
      <c r="L232" s="1188"/>
      <c r="M232" s="1101"/>
      <c r="N232" s="1102" t="str">
        <f>O2</f>
        <v>진주</v>
      </c>
      <c r="O232" s="1103" t="str">
        <f>P2</f>
        <v>⇒</v>
      </c>
      <c r="P232" s="1102" t="str">
        <f>Q2</f>
        <v>마산</v>
      </c>
      <c r="Q232" s="1103" t="str">
        <f>R2</f>
        <v>구 간</v>
      </c>
      <c r="R232" s="1103"/>
      <c r="S232" s="1103"/>
      <c r="T232" s="952"/>
    </row>
    <row r="233" spans="1:20" ht="14.85" customHeight="1">
      <c r="A233" s="1565"/>
      <c r="B233" s="1189"/>
      <c r="C233" s="1106"/>
      <c r="D233" s="1107"/>
      <c r="E233" s="1107"/>
      <c r="F233" s="1107"/>
      <c r="G233" s="1107"/>
      <c r="H233" s="1107"/>
      <c r="I233" s="1108"/>
      <c r="J233" s="1109"/>
      <c r="K233" s="1565"/>
      <c r="L233" s="1189" t="s">
        <v>753</v>
      </c>
      <c r="M233" s="1106"/>
      <c r="N233" s="1107"/>
      <c r="O233" s="1107"/>
      <c r="P233" s="1107"/>
      <c r="Q233" s="1107"/>
      <c r="R233" s="1107"/>
      <c r="S233" s="1107"/>
      <c r="T233" s="1110"/>
    </row>
    <row r="234" spans="1:20" ht="14.85" customHeight="1">
      <c r="A234" s="1111" t="s">
        <v>106</v>
      </c>
      <c r="B234" s="1190">
        <f t="shared" ref="B234:J234" si="227">B4</f>
        <v>5</v>
      </c>
      <c r="C234" s="1112">
        <f t="shared" si="227"/>
        <v>10</v>
      </c>
      <c r="D234" s="1112">
        <f t="shared" si="227"/>
        <v>20</v>
      </c>
      <c r="E234" s="1112">
        <f t="shared" si="227"/>
        <v>30</v>
      </c>
      <c r="F234" s="1112">
        <f t="shared" si="227"/>
        <v>40</v>
      </c>
      <c r="G234" s="1112">
        <f t="shared" si="227"/>
        <v>50</v>
      </c>
      <c r="H234" s="1112">
        <f t="shared" si="227"/>
        <v>60</v>
      </c>
      <c r="I234" s="1112">
        <f t="shared" si="227"/>
        <v>70</v>
      </c>
      <c r="J234" s="1113">
        <f t="shared" si="227"/>
        <v>80</v>
      </c>
      <c r="K234" s="1111" t="s">
        <v>106</v>
      </c>
      <c r="L234" s="1190">
        <f t="shared" ref="L234:S234" si="228">L4</f>
        <v>5</v>
      </c>
      <c r="M234" s="1112">
        <f t="shared" si="228"/>
        <v>10</v>
      </c>
      <c r="N234" s="1112">
        <f t="shared" si="228"/>
        <v>20</v>
      </c>
      <c r="O234" s="1112">
        <f t="shared" si="228"/>
        <v>30</v>
      </c>
      <c r="P234" s="1112">
        <f t="shared" si="228"/>
        <v>40</v>
      </c>
      <c r="Q234" s="1112">
        <f t="shared" si="228"/>
        <v>50</v>
      </c>
      <c r="R234" s="1112">
        <f t="shared" si="228"/>
        <v>60</v>
      </c>
      <c r="S234" s="1114">
        <f t="shared" si="228"/>
        <v>70</v>
      </c>
      <c r="T234" s="1115">
        <f>T4</f>
        <v>80</v>
      </c>
    </row>
    <row r="235" spans="1:20" ht="14.85" customHeight="1">
      <c r="A235" s="1089" t="s">
        <v>754</v>
      </c>
      <c r="B235" s="1191">
        <v>0</v>
      </c>
      <c r="C235" s="1060">
        <f t="shared" ref="C235:J235" si="229">B235</f>
        <v>0</v>
      </c>
      <c r="D235" s="1060">
        <f t="shared" si="229"/>
        <v>0</v>
      </c>
      <c r="E235" s="1060">
        <f t="shared" si="229"/>
        <v>0</v>
      </c>
      <c r="F235" s="1060">
        <f t="shared" si="229"/>
        <v>0</v>
      </c>
      <c r="G235" s="1060">
        <f t="shared" si="229"/>
        <v>0</v>
      </c>
      <c r="H235" s="1060">
        <f t="shared" si="229"/>
        <v>0</v>
      </c>
      <c r="I235" s="1060">
        <f t="shared" si="229"/>
        <v>0</v>
      </c>
      <c r="J235" s="1061">
        <f t="shared" si="229"/>
        <v>0</v>
      </c>
      <c r="K235" s="1089" t="s">
        <v>754</v>
      </c>
      <c r="L235" s="1191">
        <v>0</v>
      </c>
      <c r="M235" s="1060">
        <f t="shared" ref="M235:T235" si="230">L235</f>
        <v>0</v>
      </c>
      <c r="N235" s="1060">
        <f t="shared" si="230"/>
        <v>0</v>
      </c>
      <c r="O235" s="1060">
        <f t="shared" si="230"/>
        <v>0</v>
      </c>
      <c r="P235" s="1060">
        <f t="shared" si="230"/>
        <v>0</v>
      </c>
      <c r="Q235" s="1060">
        <f t="shared" si="230"/>
        <v>0</v>
      </c>
      <c r="R235" s="1060">
        <f t="shared" si="230"/>
        <v>0</v>
      </c>
      <c r="S235" s="1062">
        <f t="shared" si="230"/>
        <v>0</v>
      </c>
      <c r="T235" s="1063">
        <f t="shared" si="230"/>
        <v>0</v>
      </c>
    </row>
    <row r="236" spans="1:20" ht="14.85" customHeight="1">
      <c r="A236" s="1089" t="s">
        <v>755</v>
      </c>
      <c r="B236" s="1191">
        <f t="shared" ref="B236:I236" si="231">ROUND(B235+B222/B216,4)</f>
        <v>-26.2</v>
      </c>
      <c r="C236" s="1060">
        <f t="shared" si="231"/>
        <v>-1.3599999999999999E-2</v>
      </c>
      <c r="D236" s="1060">
        <f t="shared" si="231"/>
        <v>-0.1077</v>
      </c>
      <c r="E236" s="1060">
        <f t="shared" si="231"/>
        <v>-3.8800000000000001E-2</v>
      </c>
      <c r="F236" s="1060">
        <f t="shared" si="231"/>
        <v>-2.86E-2</v>
      </c>
      <c r="G236" s="1060">
        <f t="shared" si="231"/>
        <v>-3.2399999999999998E-2</v>
      </c>
      <c r="H236" s="1060">
        <f t="shared" si="231"/>
        <v>-2.8199999999999999E-2</v>
      </c>
      <c r="I236" s="1060">
        <f t="shared" si="231"/>
        <v>-2.4799999999999999E-2</v>
      </c>
      <c r="J236" s="1061">
        <f>ROUND(J235+J222/J216,4)</f>
        <v>-2.24E-2</v>
      </c>
      <c r="K236" s="1089" t="s">
        <v>756</v>
      </c>
      <c r="L236" s="1191">
        <f t="shared" ref="L236:S236" si="232">ROUND(L235+L222/L216,4)</f>
        <v>-62</v>
      </c>
      <c r="M236" s="1060">
        <f t="shared" si="232"/>
        <v>-9.0999999999999998E-2</v>
      </c>
      <c r="N236" s="1060">
        <f t="shared" si="232"/>
        <v>-0.61609999999999998</v>
      </c>
      <c r="O236" s="1060">
        <f t="shared" si="232"/>
        <v>-0.28179999999999999</v>
      </c>
      <c r="P236" s="1060">
        <f t="shared" si="232"/>
        <v>-0.1983</v>
      </c>
      <c r="Q236" s="1060">
        <f t="shared" si="232"/>
        <v>-0.21179999999999999</v>
      </c>
      <c r="R236" s="1060">
        <f t="shared" si="232"/>
        <v>-0.18540000000000001</v>
      </c>
      <c r="S236" s="1062">
        <f t="shared" si="232"/>
        <v>-0.1653</v>
      </c>
      <c r="T236" s="1063">
        <f>ROUND(T235+T222/T216,4)</f>
        <v>-0.15720000000000001</v>
      </c>
    </row>
    <row r="237" spans="1:20" ht="14.85" customHeight="1">
      <c r="A237" s="1089" t="s">
        <v>757</v>
      </c>
      <c r="B237" s="1192">
        <f t="shared" ref="B237:I237" si="233">ROUND(B236*(1-B182*B180/B217),4)</f>
        <v>-26.2</v>
      </c>
      <c r="C237" s="1060">
        <f t="shared" si="233"/>
        <v>-1.29E-2</v>
      </c>
      <c r="D237" s="1060">
        <f t="shared" si="233"/>
        <v>-0.1077</v>
      </c>
      <c r="E237" s="1060">
        <f t="shared" si="233"/>
        <v>-3.8800000000000001E-2</v>
      </c>
      <c r="F237" s="1060">
        <f t="shared" si="233"/>
        <v>-2.86E-2</v>
      </c>
      <c r="G237" s="1060">
        <f t="shared" si="233"/>
        <v>-3.2399999999999998E-2</v>
      </c>
      <c r="H237" s="1060">
        <f t="shared" si="233"/>
        <v>-2.8199999999999999E-2</v>
      </c>
      <c r="I237" s="1060">
        <f t="shared" si="233"/>
        <v>-2.4799999999999999E-2</v>
      </c>
      <c r="J237" s="1061">
        <f>ROUND(J236*(1-J182*J180/J217),4)</f>
        <v>-2.24E-2</v>
      </c>
      <c r="K237" s="1089" t="s">
        <v>758</v>
      </c>
      <c r="L237" s="1192">
        <f t="shared" ref="L237:S237" si="234">ROUND(L236*(1-L182*L180/L217),4)</f>
        <v>-62</v>
      </c>
      <c r="M237" s="1060">
        <f t="shared" si="234"/>
        <v>-8.7499999999999994E-2</v>
      </c>
      <c r="N237" s="1060">
        <f t="shared" si="234"/>
        <v>-0.61609999999999998</v>
      </c>
      <c r="O237" s="1060">
        <f t="shared" si="234"/>
        <v>-0.28179999999999999</v>
      </c>
      <c r="P237" s="1060">
        <f t="shared" si="234"/>
        <v>-0.1983</v>
      </c>
      <c r="Q237" s="1060">
        <f t="shared" si="234"/>
        <v>-0.21179999999999999</v>
      </c>
      <c r="R237" s="1060">
        <f t="shared" si="234"/>
        <v>-0.18540000000000001</v>
      </c>
      <c r="S237" s="1062">
        <f t="shared" si="234"/>
        <v>-0.1653</v>
      </c>
      <c r="T237" s="1063">
        <f>ROUND(T236*(1-T182*T180/T217),4)</f>
        <v>-0.15720000000000001</v>
      </c>
    </row>
    <row r="238" spans="1:20" ht="14.85" customHeight="1">
      <c r="A238" s="1089" t="s">
        <v>759</v>
      </c>
      <c r="B238" s="1192">
        <f t="shared" ref="B238:I238" si="235">ROUND(B237+B223/B217,4)</f>
        <v>49.4</v>
      </c>
      <c r="C238" s="1060">
        <f t="shared" si="235"/>
        <v>2.63E-2</v>
      </c>
      <c r="D238" s="1060">
        <f t="shared" si="235"/>
        <v>0.2</v>
      </c>
      <c r="E238" s="1060">
        <f t="shared" si="235"/>
        <v>6.9699999999999998E-2</v>
      </c>
      <c r="F238" s="1060">
        <f t="shared" si="235"/>
        <v>5.7099999999999998E-2</v>
      </c>
      <c r="G238" s="1060">
        <f t="shared" si="235"/>
        <v>6.4799999999999996E-2</v>
      </c>
      <c r="H238" s="1060">
        <f t="shared" si="235"/>
        <v>5.6500000000000002E-2</v>
      </c>
      <c r="I238" s="1060">
        <f t="shared" si="235"/>
        <v>4.9700000000000001E-2</v>
      </c>
      <c r="J238" s="1061">
        <f>ROUND(J237+J223/J217,4)</f>
        <v>4.4699999999999997E-2</v>
      </c>
      <c r="K238" s="1089" t="s">
        <v>760</v>
      </c>
      <c r="L238" s="1192">
        <f t="shared" ref="L238:S238" si="236">ROUND(L237+L223/L217,4)</f>
        <v>25.3111</v>
      </c>
      <c r="M238" s="1060">
        <f t="shared" si="236"/>
        <v>4.07E-2</v>
      </c>
      <c r="N238" s="1060">
        <f t="shared" si="236"/>
        <v>0.25</v>
      </c>
      <c r="O238" s="1060">
        <f t="shared" si="236"/>
        <v>0.11600000000000001</v>
      </c>
      <c r="P238" s="1060">
        <f t="shared" si="236"/>
        <v>8.0199999999999994E-2</v>
      </c>
      <c r="Q238" s="1060">
        <f t="shared" si="236"/>
        <v>8.6800000000000002E-2</v>
      </c>
      <c r="R238" s="1060">
        <f t="shared" si="236"/>
        <v>7.5999999999999998E-2</v>
      </c>
      <c r="S238" s="1062">
        <f t="shared" si="236"/>
        <v>6.7799999999999999E-2</v>
      </c>
      <c r="T238" s="1063">
        <f>ROUND(T237+T223/T217,4)</f>
        <v>6.3899999999999998E-2</v>
      </c>
    </row>
    <row r="239" spans="1:20" ht="14.85" customHeight="1">
      <c r="A239" s="1089" t="s">
        <v>761</v>
      </c>
      <c r="B239" s="1192" t="e">
        <f t="shared" ref="B239:I239" si="237">ROUND(B238*(1-(B184*B180/B218)),4)</f>
        <v>#DIV/0!</v>
      </c>
      <c r="C239" s="1060" t="e">
        <f t="shared" si="237"/>
        <v>#DIV/0!</v>
      </c>
      <c r="D239" s="1060" t="e">
        <f t="shared" si="237"/>
        <v>#DIV/0!</v>
      </c>
      <c r="E239" s="1060" t="e">
        <f t="shared" si="237"/>
        <v>#DIV/0!</v>
      </c>
      <c r="F239" s="1060" t="e">
        <f t="shared" si="237"/>
        <v>#DIV/0!</v>
      </c>
      <c r="G239" s="1060" t="e">
        <f t="shared" si="237"/>
        <v>#DIV/0!</v>
      </c>
      <c r="H239" s="1060" t="e">
        <f t="shared" si="237"/>
        <v>#DIV/0!</v>
      </c>
      <c r="I239" s="1060" t="e">
        <f t="shared" si="237"/>
        <v>#DIV/0!</v>
      </c>
      <c r="J239" s="1061" t="e">
        <f>ROUND(J238*(1-(J184*J180/J218)),4)</f>
        <v>#DIV/0!</v>
      </c>
      <c r="K239" s="1089" t="s">
        <v>762</v>
      </c>
      <c r="L239" s="1192" t="e">
        <f t="shared" ref="L239:S239" si="238">ROUND(L238*(1-(L184*L180/L218)),4)</f>
        <v>#DIV/0!</v>
      </c>
      <c r="M239" s="1060" t="e">
        <f t="shared" si="238"/>
        <v>#DIV/0!</v>
      </c>
      <c r="N239" s="1060" t="e">
        <f t="shared" si="238"/>
        <v>#DIV/0!</v>
      </c>
      <c r="O239" s="1060" t="e">
        <f t="shared" si="238"/>
        <v>#DIV/0!</v>
      </c>
      <c r="P239" s="1060" t="e">
        <f t="shared" si="238"/>
        <v>#DIV/0!</v>
      </c>
      <c r="Q239" s="1060" t="e">
        <f t="shared" si="238"/>
        <v>#DIV/0!</v>
      </c>
      <c r="R239" s="1060" t="e">
        <f t="shared" si="238"/>
        <v>#DIV/0!</v>
      </c>
      <c r="S239" s="1062" t="e">
        <f t="shared" si="238"/>
        <v>#DIV/0!</v>
      </c>
      <c r="T239" s="1063" t="e">
        <f>ROUND(T238*(1-(T184*T180/T218)),4)</f>
        <v>#DIV/0!</v>
      </c>
    </row>
    <row r="240" spans="1:20" ht="14.85" customHeight="1">
      <c r="A240" s="1089" t="s">
        <v>763</v>
      </c>
      <c r="B240" s="1192" t="e">
        <f t="shared" ref="B240:I240" si="239">ROUND(B239+B224/B218,4)</f>
        <v>#DIV/0!</v>
      </c>
      <c r="C240" s="1060" t="e">
        <f t="shared" si="239"/>
        <v>#DIV/0!</v>
      </c>
      <c r="D240" s="1060" t="e">
        <f t="shared" si="239"/>
        <v>#DIV/0!</v>
      </c>
      <c r="E240" s="1060" t="e">
        <f t="shared" si="239"/>
        <v>#DIV/0!</v>
      </c>
      <c r="F240" s="1060" t="e">
        <f t="shared" si="239"/>
        <v>#DIV/0!</v>
      </c>
      <c r="G240" s="1060" t="e">
        <f t="shared" si="239"/>
        <v>#DIV/0!</v>
      </c>
      <c r="H240" s="1060" t="e">
        <f t="shared" si="239"/>
        <v>#DIV/0!</v>
      </c>
      <c r="I240" s="1060" t="e">
        <f t="shared" si="239"/>
        <v>#DIV/0!</v>
      </c>
      <c r="J240" s="1061" t="e">
        <f>ROUND(J239+J224/J218,4)</f>
        <v>#DIV/0!</v>
      </c>
      <c r="K240" s="1089" t="s">
        <v>764</v>
      </c>
      <c r="L240" s="1192" t="e">
        <f t="shared" ref="L240:S240" si="240">ROUND(L239+L224/L218,4)</f>
        <v>#DIV/0!</v>
      </c>
      <c r="M240" s="1060" t="e">
        <f t="shared" si="240"/>
        <v>#DIV/0!</v>
      </c>
      <c r="N240" s="1060" t="e">
        <f t="shared" si="240"/>
        <v>#DIV/0!</v>
      </c>
      <c r="O240" s="1060" t="e">
        <f t="shared" si="240"/>
        <v>#DIV/0!</v>
      </c>
      <c r="P240" s="1060" t="e">
        <f t="shared" si="240"/>
        <v>#DIV/0!</v>
      </c>
      <c r="Q240" s="1060" t="e">
        <f t="shared" si="240"/>
        <v>#DIV/0!</v>
      </c>
      <c r="R240" s="1060" t="e">
        <f t="shared" si="240"/>
        <v>#DIV/0!</v>
      </c>
      <c r="S240" s="1062" t="e">
        <f t="shared" si="240"/>
        <v>#DIV/0!</v>
      </c>
      <c r="T240" s="1063" t="e">
        <f>ROUND(T239+T224/T218,4)</f>
        <v>#DIV/0!</v>
      </c>
    </row>
    <row r="241" spans="1:20" ht="14.85" hidden="1" customHeight="1">
      <c r="A241" s="1089" t="s">
        <v>765</v>
      </c>
      <c r="B241" s="1192" t="e">
        <f t="shared" ref="B241:I241" si="241">ROUND(B240*(1-(B186*B180/B219)),4)</f>
        <v>#DIV/0!</v>
      </c>
      <c r="C241" s="1060" t="e">
        <f t="shared" si="241"/>
        <v>#DIV/0!</v>
      </c>
      <c r="D241" s="1060" t="e">
        <f t="shared" si="241"/>
        <v>#DIV/0!</v>
      </c>
      <c r="E241" s="1060" t="e">
        <f t="shared" si="241"/>
        <v>#DIV/0!</v>
      </c>
      <c r="F241" s="1060" t="e">
        <f t="shared" si="241"/>
        <v>#DIV/0!</v>
      </c>
      <c r="G241" s="1060" t="e">
        <f t="shared" si="241"/>
        <v>#DIV/0!</v>
      </c>
      <c r="H241" s="1060" t="e">
        <f t="shared" si="241"/>
        <v>#DIV/0!</v>
      </c>
      <c r="I241" s="1060" t="e">
        <f t="shared" si="241"/>
        <v>#DIV/0!</v>
      </c>
      <c r="J241" s="1061" t="e">
        <f>ROUND(J240*(1-(J186*J180/J219)),4)</f>
        <v>#DIV/0!</v>
      </c>
      <c r="K241" s="1089" t="s">
        <v>766</v>
      </c>
      <c r="L241" s="1192" t="e">
        <f t="shared" ref="L241:S241" si="242">ROUND(L240*(1-(L186*L180/L219)),4)</f>
        <v>#DIV/0!</v>
      </c>
      <c r="M241" s="1060" t="e">
        <f t="shared" si="242"/>
        <v>#DIV/0!</v>
      </c>
      <c r="N241" s="1060" t="e">
        <f t="shared" si="242"/>
        <v>#DIV/0!</v>
      </c>
      <c r="O241" s="1060" t="e">
        <f t="shared" si="242"/>
        <v>#DIV/0!</v>
      </c>
      <c r="P241" s="1060" t="e">
        <f t="shared" si="242"/>
        <v>#DIV/0!</v>
      </c>
      <c r="Q241" s="1060" t="e">
        <f t="shared" si="242"/>
        <v>#DIV/0!</v>
      </c>
      <c r="R241" s="1060" t="e">
        <f t="shared" si="242"/>
        <v>#DIV/0!</v>
      </c>
      <c r="S241" s="1062" t="e">
        <f t="shared" si="242"/>
        <v>#DIV/0!</v>
      </c>
      <c r="T241" s="1063" t="e">
        <f>ROUND(T240*(1-(T186*T180/T219)),4)</f>
        <v>#DIV/0!</v>
      </c>
    </row>
    <row r="242" spans="1:20" ht="14.85" hidden="1" customHeight="1">
      <c r="A242" s="1089" t="s">
        <v>767</v>
      </c>
      <c r="B242" s="1192" t="e">
        <f t="shared" ref="B242:I242" si="243">ROUND(B241+B225/B219,4)</f>
        <v>#DIV/0!</v>
      </c>
      <c r="C242" s="1060" t="e">
        <f t="shared" si="243"/>
        <v>#DIV/0!</v>
      </c>
      <c r="D242" s="1060" t="e">
        <f t="shared" si="243"/>
        <v>#DIV/0!</v>
      </c>
      <c r="E242" s="1060" t="e">
        <f t="shared" si="243"/>
        <v>#DIV/0!</v>
      </c>
      <c r="F242" s="1060" t="e">
        <f t="shared" si="243"/>
        <v>#DIV/0!</v>
      </c>
      <c r="G242" s="1060" t="e">
        <f t="shared" si="243"/>
        <v>#DIV/0!</v>
      </c>
      <c r="H242" s="1060" t="e">
        <f t="shared" si="243"/>
        <v>#DIV/0!</v>
      </c>
      <c r="I242" s="1060" t="e">
        <f t="shared" si="243"/>
        <v>#DIV/0!</v>
      </c>
      <c r="J242" s="1061" t="e">
        <f>ROUND(J241+J225/J219,4)</f>
        <v>#DIV/0!</v>
      </c>
      <c r="K242" s="1089" t="s">
        <v>768</v>
      </c>
      <c r="L242" s="1192" t="e">
        <f t="shared" ref="L242:S242" si="244">ROUND(L241+L225/L219,4)</f>
        <v>#DIV/0!</v>
      </c>
      <c r="M242" s="1060" t="e">
        <f t="shared" si="244"/>
        <v>#DIV/0!</v>
      </c>
      <c r="N242" s="1060" t="e">
        <f t="shared" si="244"/>
        <v>#DIV/0!</v>
      </c>
      <c r="O242" s="1060" t="e">
        <f t="shared" si="244"/>
        <v>#DIV/0!</v>
      </c>
      <c r="P242" s="1060" t="e">
        <f t="shared" si="244"/>
        <v>#DIV/0!</v>
      </c>
      <c r="Q242" s="1060" t="e">
        <f t="shared" si="244"/>
        <v>#DIV/0!</v>
      </c>
      <c r="R242" s="1060" t="e">
        <f t="shared" si="244"/>
        <v>#DIV/0!</v>
      </c>
      <c r="S242" s="1062" t="e">
        <f t="shared" si="244"/>
        <v>#DIV/0!</v>
      </c>
      <c r="T242" s="1063" t="e">
        <f>ROUND(T241+T225/T219,4)</f>
        <v>#DIV/0!</v>
      </c>
    </row>
    <row r="243" spans="1:20" ht="14.85" hidden="1" customHeight="1">
      <c r="A243" s="1089" t="s">
        <v>769</v>
      </c>
      <c r="B243" s="1192" t="e">
        <f>ROUND(B242*(1-(B175*B173/#REF!)),4)</f>
        <v>#DIV/0!</v>
      </c>
      <c r="C243" s="1060" t="e">
        <f>ROUND(C242*(1-(C175*C173/#REF!)),4)</f>
        <v>#DIV/0!</v>
      </c>
      <c r="D243" s="1060" t="e">
        <f>ROUND(D242*(1-(D175*D173/#REF!)),4)</f>
        <v>#DIV/0!</v>
      </c>
      <c r="E243" s="1060" t="e">
        <f>ROUND(E242*(1-(E175*E173/#REF!)),4)</f>
        <v>#DIV/0!</v>
      </c>
      <c r="F243" s="1060" t="e">
        <f>ROUND(F242*(1-(F175*F173/#REF!)),4)</f>
        <v>#DIV/0!</v>
      </c>
      <c r="G243" s="1060" t="e">
        <f>ROUND(G242*(1-(G175*G173/#REF!)),4)</f>
        <v>#DIV/0!</v>
      </c>
      <c r="H243" s="1060" t="e">
        <f>ROUND(H242*(1-(H175*H173/#REF!)),4)</f>
        <v>#DIV/0!</v>
      </c>
      <c r="I243" s="1060" t="e">
        <f>ROUND(I242*(1-(I175*I173/#REF!)),4)</f>
        <v>#DIV/0!</v>
      </c>
      <c r="J243" s="1061" t="e">
        <f>ROUND(J242*(1-(J175*J173/#REF!)),4)</f>
        <v>#DIV/0!</v>
      </c>
      <c r="K243" s="1089" t="s">
        <v>769</v>
      </c>
      <c r="L243" s="1192" t="e">
        <f>ROUND(L242*(1-(L175*L173/#REF!)),4)</f>
        <v>#DIV/0!</v>
      </c>
      <c r="M243" s="1060" t="e">
        <f>ROUND(M242*(1-(M175*M173/#REF!)),4)</f>
        <v>#DIV/0!</v>
      </c>
      <c r="N243" s="1060" t="e">
        <f>ROUND(N242*(1-(N175*N173/#REF!)),4)</f>
        <v>#DIV/0!</v>
      </c>
      <c r="O243" s="1060" t="e">
        <f>ROUND(O242*(1-(O175*O173/#REF!)),4)</f>
        <v>#DIV/0!</v>
      </c>
      <c r="P243" s="1060" t="e">
        <f>ROUND(P242*(1-(P175*P173/#REF!)),4)</f>
        <v>#DIV/0!</v>
      </c>
      <c r="Q243" s="1060" t="e">
        <f>ROUND(Q242*(1-(Q175*Q173/#REF!)),4)</f>
        <v>#DIV/0!</v>
      </c>
      <c r="R243" s="1060" t="e">
        <f>ROUND(R242*(1-(R175*R173/#REF!)),4)</f>
        <v>#DIV/0!</v>
      </c>
      <c r="S243" s="1062" t="e">
        <f>ROUND(S242*(1-(S175*S173/#REF!)),4)</f>
        <v>#DIV/0!</v>
      </c>
      <c r="T243" s="1063" t="e">
        <f>ROUND(T242*(1-(T175*T173/#REF!)),4)</f>
        <v>#DIV/0!</v>
      </c>
    </row>
    <row r="244" spans="1:20" ht="14.85" hidden="1" customHeight="1">
      <c r="A244" s="1089" t="s">
        <v>770</v>
      </c>
      <c r="B244" s="1192" t="e">
        <f>ROUND(B243+B226/#REF!,4)</f>
        <v>#DIV/0!</v>
      </c>
      <c r="C244" s="1060" t="e">
        <f>ROUND(C243+C226/#REF!,4)</f>
        <v>#DIV/0!</v>
      </c>
      <c r="D244" s="1060" t="e">
        <f>ROUND(D243+D226/#REF!,4)</f>
        <v>#DIV/0!</v>
      </c>
      <c r="E244" s="1060" t="e">
        <f>ROUND(E243+E226/#REF!,4)</f>
        <v>#DIV/0!</v>
      </c>
      <c r="F244" s="1060" t="e">
        <f>ROUND(F243+F226/#REF!,4)</f>
        <v>#DIV/0!</v>
      </c>
      <c r="G244" s="1060" t="e">
        <f>ROUND(G243+G226/#REF!,4)</f>
        <v>#DIV/0!</v>
      </c>
      <c r="H244" s="1060" t="e">
        <f>ROUND(H243+H226/#REF!,4)</f>
        <v>#DIV/0!</v>
      </c>
      <c r="I244" s="1060" t="e">
        <f>ROUND(I243+I226/#REF!,4)</f>
        <v>#DIV/0!</v>
      </c>
      <c r="J244" s="1061" t="e">
        <f>ROUND(J243+J226/#REF!,4)</f>
        <v>#DIV/0!</v>
      </c>
      <c r="K244" s="1089" t="s">
        <v>770</v>
      </c>
      <c r="L244" s="1192" t="e">
        <f>ROUND(L243+L226/#REF!,4)</f>
        <v>#DIV/0!</v>
      </c>
      <c r="M244" s="1060" t="e">
        <f>ROUND(M243+M226/#REF!,4)</f>
        <v>#DIV/0!</v>
      </c>
      <c r="N244" s="1060" t="e">
        <f>ROUND(N243+N226/#REF!,4)</f>
        <v>#DIV/0!</v>
      </c>
      <c r="O244" s="1060" t="e">
        <f>ROUND(O243+O226/#REF!,4)</f>
        <v>#DIV/0!</v>
      </c>
      <c r="P244" s="1060" t="e">
        <f>ROUND(P243+P226/#REF!,4)</f>
        <v>#DIV/0!</v>
      </c>
      <c r="Q244" s="1060" t="e">
        <f>ROUND(Q243+Q226/#REF!,4)</f>
        <v>#DIV/0!</v>
      </c>
      <c r="R244" s="1060" t="e">
        <f>ROUND(R243+R226/#REF!,4)</f>
        <v>#DIV/0!</v>
      </c>
      <c r="S244" s="1062" t="e">
        <f>ROUND(S243+S226/#REF!,4)</f>
        <v>#DIV/0!</v>
      </c>
      <c r="T244" s="1063" t="e">
        <f>ROUND(T243+T226/#REF!,4)</f>
        <v>#DIV/0!</v>
      </c>
    </row>
    <row r="245" spans="1:20" ht="14.85" hidden="1" customHeight="1">
      <c r="A245" s="1089" t="s">
        <v>771</v>
      </c>
      <c r="B245" s="1192" t="e">
        <f>ROUND(B244*(1-(B176*B173/#REF!)),4)</f>
        <v>#DIV/0!</v>
      </c>
      <c r="C245" s="1060" t="e">
        <f>ROUND(C244*(1-(C176*C173/#REF!)),4)</f>
        <v>#DIV/0!</v>
      </c>
      <c r="D245" s="1060" t="e">
        <f>ROUND(D244*(1-(D176*D173/#REF!)),4)</f>
        <v>#DIV/0!</v>
      </c>
      <c r="E245" s="1060" t="e">
        <f>ROUND(E244*(1-(E176*E173/#REF!)),4)</f>
        <v>#DIV/0!</v>
      </c>
      <c r="F245" s="1060" t="e">
        <f>ROUND(F244*(1-(F176*F173/#REF!)),4)</f>
        <v>#DIV/0!</v>
      </c>
      <c r="G245" s="1060" t="e">
        <f>ROUND(G244*(1-(G176*G173/#REF!)),4)</f>
        <v>#DIV/0!</v>
      </c>
      <c r="H245" s="1060" t="e">
        <f>ROUND(H244*(1-(H176*H173/#REF!)),4)</f>
        <v>#DIV/0!</v>
      </c>
      <c r="I245" s="1060" t="e">
        <f>ROUND(I244*(1-(I176*I173/#REF!)),4)</f>
        <v>#DIV/0!</v>
      </c>
      <c r="J245" s="1061" t="e">
        <f>ROUND(J244*(1-(J176*J173/#REF!)),4)</f>
        <v>#DIV/0!</v>
      </c>
      <c r="K245" s="1089" t="s">
        <v>771</v>
      </c>
      <c r="L245" s="1192" t="e">
        <f>ROUND(L244*(1-(L176*L173/#REF!)),4)</f>
        <v>#DIV/0!</v>
      </c>
      <c r="M245" s="1060" t="e">
        <f>ROUND(M244*(1-(M176*M173/#REF!)),4)</f>
        <v>#DIV/0!</v>
      </c>
      <c r="N245" s="1060" t="e">
        <f>ROUND(N244*(1-(N176*N173/#REF!)),4)</f>
        <v>#DIV/0!</v>
      </c>
      <c r="O245" s="1060" t="e">
        <f>ROUND(O244*(1-(O176*O173/#REF!)),4)</f>
        <v>#DIV/0!</v>
      </c>
      <c r="P245" s="1060" t="e">
        <f>ROUND(P244*(1-(P176*P173/#REF!)),4)</f>
        <v>#DIV/0!</v>
      </c>
      <c r="Q245" s="1060" t="e">
        <f>ROUND(Q244*(1-(Q176*Q173/#REF!)),4)</f>
        <v>#DIV/0!</v>
      </c>
      <c r="R245" s="1060" t="e">
        <f>ROUND(R244*(1-(R176*R173/#REF!)),4)</f>
        <v>#DIV/0!</v>
      </c>
      <c r="S245" s="1062" t="e">
        <f>ROUND(S244*(1-(S176*S173/#REF!)),4)</f>
        <v>#DIV/0!</v>
      </c>
      <c r="T245" s="1063" t="e">
        <f>ROUND(T244*(1-(T176*T173/#REF!)),4)</f>
        <v>#DIV/0!</v>
      </c>
    </row>
    <row r="246" spans="1:20" ht="14.85" hidden="1" customHeight="1">
      <c r="A246" s="1089" t="s">
        <v>772</v>
      </c>
      <c r="B246" s="1192" t="e">
        <f>ROUND(B245+B227/#REF!,4)</f>
        <v>#DIV/0!</v>
      </c>
      <c r="C246" s="1060" t="e">
        <f>ROUND(C245+C227/#REF!,4)</f>
        <v>#DIV/0!</v>
      </c>
      <c r="D246" s="1060" t="e">
        <f>ROUND(D245+D227/#REF!,4)</f>
        <v>#DIV/0!</v>
      </c>
      <c r="E246" s="1060" t="e">
        <f>ROUND(E245+E227/#REF!,4)</f>
        <v>#DIV/0!</v>
      </c>
      <c r="F246" s="1060" t="e">
        <f>ROUND(F245+F227/#REF!,4)</f>
        <v>#DIV/0!</v>
      </c>
      <c r="G246" s="1060" t="e">
        <f>ROUND(G245+G227/#REF!,4)</f>
        <v>#DIV/0!</v>
      </c>
      <c r="H246" s="1060" t="e">
        <f>ROUND(H245+H227/#REF!,4)</f>
        <v>#DIV/0!</v>
      </c>
      <c r="I246" s="1060" t="e">
        <f>ROUND(I245+I227/#REF!,4)</f>
        <v>#DIV/0!</v>
      </c>
      <c r="J246" s="1061" t="e">
        <f>ROUND(J245+J227/#REF!,4)</f>
        <v>#DIV/0!</v>
      </c>
      <c r="K246" s="1089" t="s">
        <v>772</v>
      </c>
      <c r="L246" s="1192" t="e">
        <f>ROUND(L245+L227/#REF!,4)</f>
        <v>#DIV/0!</v>
      </c>
      <c r="M246" s="1060" t="e">
        <f>ROUND(M245+M227/#REF!,4)</f>
        <v>#DIV/0!</v>
      </c>
      <c r="N246" s="1060" t="e">
        <f>ROUND(N245+N227/#REF!,4)</f>
        <v>#DIV/0!</v>
      </c>
      <c r="O246" s="1060" t="e">
        <f>ROUND(O245+O227/#REF!,4)</f>
        <v>#DIV/0!</v>
      </c>
      <c r="P246" s="1060" t="e">
        <f>ROUND(P245+P227/#REF!,4)</f>
        <v>#DIV/0!</v>
      </c>
      <c r="Q246" s="1060" t="e">
        <f>ROUND(Q245+Q227/#REF!,4)</f>
        <v>#DIV/0!</v>
      </c>
      <c r="R246" s="1060" t="e">
        <f>ROUND(R245+R227/#REF!,4)</f>
        <v>#DIV/0!</v>
      </c>
      <c r="S246" s="1062" t="e">
        <f>ROUND(S245+S227/#REF!,4)</f>
        <v>#DIV/0!</v>
      </c>
      <c r="T246" s="1063" t="e">
        <f>ROUND(T245+T227/#REF!,4)</f>
        <v>#DIV/0!</v>
      </c>
    </row>
    <row r="247" spans="1:20" ht="14.85" hidden="1" customHeight="1">
      <c r="A247" s="1089" t="s">
        <v>773</v>
      </c>
      <c r="B247" s="1192" t="e">
        <f>ROUND(B246*(1-(B177*B173/#REF!)),4)</f>
        <v>#DIV/0!</v>
      </c>
      <c r="C247" s="1060" t="e">
        <f>ROUND(C246*(1-(C177*C173/#REF!)),4)</f>
        <v>#DIV/0!</v>
      </c>
      <c r="D247" s="1060" t="e">
        <f>ROUND(D246*(1-(D177*D173/#REF!)),4)</f>
        <v>#DIV/0!</v>
      </c>
      <c r="E247" s="1060" t="e">
        <f>ROUND(E246*(1-(E177*E173/#REF!)),4)</f>
        <v>#DIV/0!</v>
      </c>
      <c r="F247" s="1060" t="e">
        <f>ROUND(F246*(1-(F177*F173/#REF!)),4)</f>
        <v>#DIV/0!</v>
      </c>
      <c r="G247" s="1060" t="e">
        <f>ROUND(G246*(1-(G177*G173/#REF!)),4)</f>
        <v>#DIV/0!</v>
      </c>
      <c r="H247" s="1060" t="e">
        <f>ROUND(H246*(1-(H177*H173/#REF!)),4)</f>
        <v>#DIV/0!</v>
      </c>
      <c r="I247" s="1060" t="e">
        <f>ROUND(I246*(1-(I177*I173/#REF!)),4)</f>
        <v>#DIV/0!</v>
      </c>
      <c r="J247" s="1061" t="e">
        <f>ROUND(J246*(1-(J177*J173/#REF!)),4)</f>
        <v>#DIV/0!</v>
      </c>
      <c r="K247" s="1089" t="s">
        <v>773</v>
      </c>
      <c r="L247" s="1192" t="e">
        <f>ROUND(L246*(1-(L177*L173/#REF!)),4)</f>
        <v>#DIV/0!</v>
      </c>
      <c r="M247" s="1060" t="e">
        <f>ROUND(M246*(1-(M177*M173/#REF!)),4)</f>
        <v>#DIV/0!</v>
      </c>
      <c r="N247" s="1060" t="e">
        <f>ROUND(N246*(1-(N177*N173/#REF!)),4)</f>
        <v>#DIV/0!</v>
      </c>
      <c r="O247" s="1060" t="e">
        <f>ROUND(O246*(1-(O177*O173/#REF!)),4)</f>
        <v>#DIV/0!</v>
      </c>
      <c r="P247" s="1060" t="e">
        <f>ROUND(P246*(1-(P177*P173/#REF!)),4)</f>
        <v>#DIV/0!</v>
      </c>
      <c r="Q247" s="1060" t="e">
        <f>ROUND(Q246*(1-(Q177*Q173/#REF!)),4)</f>
        <v>#DIV/0!</v>
      </c>
      <c r="R247" s="1060" t="e">
        <f>ROUND(R246*(1-(R177*R173/#REF!)),4)</f>
        <v>#DIV/0!</v>
      </c>
      <c r="S247" s="1062" t="e">
        <f>ROUND(S246*(1-(S177*S173/#REF!)),4)</f>
        <v>#DIV/0!</v>
      </c>
      <c r="T247" s="1063" t="e">
        <f>ROUND(T246*(1-(T177*T173/#REF!)),4)</f>
        <v>#DIV/0!</v>
      </c>
    </row>
    <row r="248" spans="1:20" ht="14.85" hidden="1" customHeight="1">
      <c r="A248" s="1089" t="s">
        <v>774</v>
      </c>
      <c r="B248" s="1192" t="e">
        <f>ROUND(B247+B228/#REF!,4)</f>
        <v>#DIV/0!</v>
      </c>
      <c r="C248" s="1060" t="e">
        <f>ROUND(C247+C228/#REF!,4)</f>
        <v>#DIV/0!</v>
      </c>
      <c r="D248" s="1060" t="e">
        <f>ROUND(D247+D228/#REF!,4)</f>
        <v>#DIV/0!</v>
      </c>
      <c r="E248" s="1060" t="e">
        <f>ROUND(E247+E228/#REF!,4)</f>
        <v>#DIV/0!</v>
      </c>
      <c r="F248" s="1060" t="e">
        <f>ROUND(F247+F228/#REF!,4)</f>
        <v>#DIV/0!</v>
      </c>
      <c r="G248" s="1060" t="e">
        <f>ROUND(G247+G228/#REF!,4)</f>
        <v>#DIV/0!</v>
      </c>
      <c r="H248" s="1060" t="e">
        <f>ROUND(H247+H228/#REF!,4)</f>
        <v>#DIV/0!</v>
      </c>
      <c r="I248" s="1060" t="e">
        <f>ROUND(I247+I228/#REF!,4)</f>
        <v>#DIV/0!</v>
      </c>
      <c r="J248" s="1061" t="e">
        <f>ROUND(J247+J228/#REF!,4)</f>
        <v>#DIV/0!</v>
      </c>
      <c r="K248" s="1089" t="s">
        <v>774</v>
      </c>
      <c r="L248" s="1192" t="e">
        <f>ROUND(L247+L228/#REF!,4)</f>
        <v>#DIV/0!</v>
      </c>
      <c r="M248" s="1060" t="e">
        <f>ROUND(M247+M228/#REF!,4)</f>
        <v>#DIV/0!</v>
      </c>
      <c r="N248" s="1060" t="e">
        <f>ROUND(N247+N228/#REF!,4)</f>
        <v>#DIV/0!</v>
      </c>
      <c r="O248" s="1060" t="e">
        <f>ROUND(O247+O228/#REF!,4)</f>
        <v>#DIV/0!</v>
      </c>
      <c r="P248" s="1060" t="e">
        <f>ROUND(P247+P228/#REF!,4)</f>
        <v>#DIV/0!</v>
      </c>
      <c r="Q248" s="1060" t="e">
        <f>ROUND(Q247+Q228/#REF!,4)</f>
        <v>#DIV/0!</v>
      </c>
      <c r="R248" s="1060" t="e">
        <f>ROUND(R247+R228/#REF!,4)</f>
        <v>#DIV/0!</v>
      </c>
      <c r="S248" s="1062" t="e">
        <f>ROUND(S247+S228/#REF!,4)</f>
        <v>#DIV/0!</v>
      </c>
      <c r="T248" s="1063" t="e">
        <f>ROUND(T247+T228/#REF!,4)</f>
        <v>#DIV/0!</v>
      </c>
    </row>
    <row r="249" spans="1:20" ht="14.85" customHeight="1">
      <c r="A249" s="1089"/>
      <c r="B249" s="1192"/>
      <c r="C249" s="1060"/>
      <c r="D249" s="1060"/>
      <c r="E249" s="1060"/>
      <c r="F249" s="1060"/>
      <c r="G249" s="1060"/>
      <c r="H249" s="1060"/>
      <c r="I249" s="1060"/>
      <c r="J249" s="1061"/>
      <c r="K249" s="1089"/>
      <c r="L249" s="1192"/>
      <c r="M249" s="1060"/>
      <c r="N249" s="1060"/>
      <c r="O249" s="1060"/>
      <c r="P249" s="1060"/>
      <c r="Q249" s="1060"/>
      <c r="R249" s="1060"/>
      <c r="S249" s="1062"/>
      <c r="T249" s="1063"/>
    </row>
    <row r="250" spans="1:20" ht="14.85" customHeight="1">
      <c r="A250" s="1089" t="s">
        <v>775</v>
      </c>
      <c r="B250" s="1193">
        <f t="shared" ref="B250:I250" si="245">B7</f>
        <v>988</v>
      </c>
      <c r="C250" s="1116">
        <f t="shared" si="245"/>
        <v>15</v>
      </c>
      <c r="D250" s="1116">
        <f t="shared" si="245"/>
        <v>13</v>
      </c>
      <c r="E250" s="1116">
        <f t="shared" si="245"/>
        <v>9</v>
      </c>
      <c r="F250" s="1116">
        <f t="shared" si="245"/>
        <v>10</v>
      </c>
      <c r="G250" s="1116">
        <f t="shared" si="245"/>
        <v>14</v>
      </c>
      <c r="H250" s="1116">
        <f t="shared" si="245"/>
        <v>14</v>
      </c>
      <c r="I250" s="1116">
        <f t="shared" si="245"/>
        <v>14</v>
      </c>
      <c r="J250" s="1117">
        <f>J7</f>
        <v>14</v>
      </c>
      <c r="K250" s="1089" t="s">
        <v>775</v>
      </c>
      <c r="L250" s="1193">
        <f t="shared" ref="L250:S250" si="246">L7</f>
        <v>1139</v>
      </c>
      <c r="M250" s="1116">
        <f t="shared" si="246"/>
        <v>29</v>
      </c>
      <c r="N250" s="1116">
        <f t="shared" si="246"/>
        <v>28</v>
      </c>
      <c r="O250" s="1116">
        <f t="shared" si="246"/>
        <v>21</v>
      </c>
      <c r="P250" s="1116">
        <f t="shared" si="246"/>
        <v>19</v>
      </c>
      <c r="Q250" s="1116">
        <f t="shared" si="246"/>
        <v>25</v>
      </c>
      <c r="R250" s="1116">
        <f t="shared" si="246"/>
        <v>25</v>
      </c>
      <c r="S250" s="1118">
        <f t="shared" si="246"/>
        <v>25</v>
      </c>
      <c r="T250" s="1119">
        <f>T7</f>
        <v>26</v>
      </c>
    </row>
    <row r="251" spans="1:20" ht="14.85" customHeight="1">
      <c r="A251" s="1089" t="s">
        <v>776</v>
      </c>
      <c r="B251" s="1194">
        <f>B25</f>
        <v>1000</v>
      </c>
      <c r="C251" s="1120">
        <f t="shared" ref="C251:J251" si="247">B251</f>
        <v>1000</v>
      </c>
      <c r="D251" s="1120">
        <f t="shared" si="247"/>
        <v>1000</v>
      </c>
      <c r="E251" s="1120">
        <f t="shared" si="247"/>
        <v>1000</v>
      </c>
      <c r="F251" s="1120">
        <f t="shared" si="247"/>
        <v>1000</v>
      </c>
      <c r="G251" s="1120">
        <f t="shared" si="247"/>
        <v>1000</v>
      </c>
      <c r="H251" s="1120">
        <f t="shared" si="247"/>
        <v>1000</v>
      </c>
      <c r="I251" s="1120">
        <f t="shared" si="247"/>
        <v>1000</v>
      </c>
      <c r="J251" s="1121">
        <f t="shared" si="247"/>
        <v>1000</v>
      </c>
      <c r="K251" s="1089" t="s">
        <v>776</v>
      </c>
      <c r="L251" s="1194">
        <f>L25</f>
        <v>904.56</v>
      </c>
      <c r="M251" s="1120">
        <f t="shared" ref="M251:T251" si="248">L251</f>
        <v>904.56</v>
      </c>
      <c r="N251" s="1120">
        <f t="shared" si="248"/>
        <v>904.56</v>
      </c>
      <c r="O251" s="1120">
        <f t="shared" si="248"/>
        <v>904.56</v>
      </c>
      <c r="P251" s="1120">
        <f t="shared" si="248"/>
        <v>904.56</v>
      </c>
      <c r="Q251" s="1120">
        <f t="shared" si="248"/>
        <v>904.56</v>
      </c>
      <c r="R251" s="1120">
        <f t="shared" si="248"/>
        <v>904.56</v>
      </c>
      <c r="S251" s="1122">
        <f t="shared" si="248"/>
        <v>904.56</v>
      </c>
      <c r="T251" s="1123">
        <f t="shared" si="248"/>
        <v>904.56</v>
      </c>
    </row>
    <row r="252" spans="1:20" ht="14.85" customHeight="1">
      <c r="A252" s="1089" t="s">
        <v>777</v>
      </c>
      <c r="B252" s="1195">
        <f t="shared" ref="B252:I252" si="249">B251-B253-B254-B255-B256-B257-B258</f>
        <v>-530</v>
      </c>
      <c r="C252" s="1124">
        <f t="shared" si="249"/>
        <v>-530</v>
      </c>
      <c r="D252" s="1124">
        <f t="shared" si="249"/>
        <v>-530</v>
      </c>
      <c r="E252" s="1124">
        <f t="shared" si="249"/>
        <v>-530</v>
      </c>
      <c r="F252" s="1124">
        <f t="shared" si="249"/>
        <v>-530</v>
      </c>
      <c r="G252" s="1124">
        <f t="shared" si="249"/>
        <v>-530</v>
      </c>
      <c r="H252" s="1124">
        <f t="shared" si="249"/>
        <v>-530</v>
      </c>
      <c r="I252" s="1124">
        <f t="shared" si="249"/>
        <v>-530</v>
      </c>
      <c r="J252" s="1125">
        <f>J251-J253-J254-J255-J256-J257-J258</f>
        <v>-530</v>
      </c>
      <c r="K252" s="1089" t="s">
        <v>777</v>
      </c>
      <c r="L252" s="1195">
        <f>L251-L253-L254-L255-L256-L257-L258</f>
        <v>-2215.44</v>
      </c>
      <c r="M252" s="1124">
        <f t="shared" ref="M252:S252" si="250">M251-M253-M254-M255-M256-M257-M258</f>
        <v>-2215.44</v>
      </c>
      <c r="N252" s="1124">
        <f t="shared" si="250"/>
        <v>-2215.44</v>
      </c>
      <c r="O252" s="1124">
        <f t="shared" si="250"/>
        <v>-2215.44</v>
      </c>
      <c r="P252" s="1124">
        <f t="shared" si="250"/>
        <v>-2215.44</v>
      </c>
      <c r="Q252" s="1124">
        <f t="shared" si="250"/>
        <v>-2215.44</v>
      </c>
      <c r="R252" s="1124">
        <f t="shared" si="250"/>
        <v>-2215.44</v>
      </c>
      <c r="S252" s="1126">
        <f t="shared" si="250"/>
        <v>-2215.44</v>
      </c>
      <c r="T252" s="1127">
        <f>T251-T253-T254-T255-T256-T257-T258</f>
        <v>-2215.44</v>
      </c>
    </row>
    <row r="253" spans="1:20" ht="14.85" customHeight="1">
      <c r="A253" s="1089" t="s">
        <v>778</v>
      </c>
      <c r="B253" s="1196">
        <v>1530</v>
      </c>
      <c r="C253" s="1124">
        <f t="shared" ref="C253:J258" si="251">B253</f>
        <v>1530</v>
      </c>
      <c r="D253" s="1124">
        <f t="shared" si="251"/>
        <v>1530</v>
      </c>
      <c r="E253" s="1124">
        <f t="shared" si="251"/>
        <v>1530</v>
      </c>
      <c r="F253" s="1124">
        <f t="shared" si="251"/>
        <v>1530</v>
      </c>
      <c r="G253" s="1124">
        <f t="shared" si="251"/>
        <v>1530</v>
      </c>
      <c r="H253" s="1124">
        <f t="shared" si="251"/>
        <v>1530</v>
      </c>
      <c r="I253" s="1124">
        <f t="shared" si="251"/>
        <v>1530</v>
      </c>
      <c r="J253" s="1125">
        <f t="shared" si="251"/>
        <v>1530</v>
      </c>
      <c r="K253" s="1089" t="s">
        <v>779</v>
      </c>
      <c r="L253" s="1196">
        <v>3120</v>
      </c>
      <c r="M253" s="1124">
        <f t="shared" ref="M253:T258" si="252">L253</f>
        <v>3120</v>
      </c>
      <c r="N253" s="1124">
        <f t="shared" si="252"/>
        <v>3120</v>
      </c>
      <c r="O253" s="1124">
        <f t="shared" si="252"/>
        <v>3120</v>
      </c>
      <c r="P253" s="1124">
        <f t="shared" si="252"/>
        <v>3120</v>
      </c>
      <c r="Q253" s="1124">
        <f t="shared" si="252"/>
        <v>3120</v>
      </c>
      <c r="R253" s="1124">
        <f t="shared" si="252"/>
        <v>3120</v>
      </c>
      <c r="S253" s="1126">
        <f t="shared" si="252"/>
        <v>3120</v>
      </c>
      <c r="T253" s="1127">
        <f t="shared" si="252"/>
        <v>3120</v>
      </c>
    </row>
    <row r="254" spans="1:20" ht="14.85" customHeight="1">
      <c r="A254" s="1089" t="s">
        <v>780</v>
      </c>
      <c r="B254" s="1196"/>
      <c r="C254" s="1124">
        <f t="shared" si="251"/>
        <v>0</v>
      </c>
      <c r="D254" s="1124">
        <f t="shared" si="251"/>
        <v>0</v>
      </c>
      <c r="E254" s="1124">
        <f t="shared" si="251"/>
        <v>0</v>
      </c>
      <c r="F254" s="1124">
        <f t="shared" si="251"/>
        <v>0</v>
      </c>
      <c r="G254" s="1124">
        <f t="shared" si="251"/>
        <v>0</v>
      </c>
      <c r="H254" s="1124">
        <f t="shared" si="251"/>
        <v>0</v>
      </c>
      <c r="I254" s="1124">
        <f t="shared" si="251"/>
        <v>0</v>
      </c>
      <c r="J254" s="1125">
        <f t="shared" si="251"/>
        <v>0</v>
      </c>
      <c r="K254" s="1089" t="s">
        <v>780</v>
      </c>
      <c r="L254" s="1196"/>
      <c r="M254" s="1124">
        <f t="shared" si="252"/>
        <v>0</v>
      </c>
      <c r="N254" s="1124">
        <f t="shared" si="252"/>
        <v>0</v>
      </c>
      <c r="O254" s="1124">
        <f t="shared" si="252"/>
        <v>0</v>
      </c>
      <c r="P254" s="1124">
        <f t="shared" si="252"/>
        <v>0</v>
      </c>
      <c r="Q254" s="1124">
        <f t="shared" si="252"/>
        <v>0</v>
      </c>
      <c r="R254" s="1124">
        <f t="shared" si="252"/>
        <v>0</v>
      </c>
      <c r="S254" s="1126">
        <f t="shared" si="252"/>
        <v>0</v>
      </c>
      <c r="T254" s="1127">
        <f t="shared" si="252"/>
        <v>0</v>
      </c>
    </row>
    <row r="255" spans="1:20" ht="14.85" customHeight="1">
      <c r="A255" s="1089" t="s">
        <v>781</v>
      </c>
      <c r="B255" s="1195"/>
      <c r="C255" s="1124">
        <f t="shared" si="251"/>
        <v>0</v>
      </c>
      <c r="D255" s="1124">
        <f t="shared" si="251"/>
        <v>0</v>
      </c>
      <c r="E255" s="1124">
        <f t="shared" si="251"/>
        <v>0</v>
      </c>
      <c r="F255" s="1124">
        <f t="shared" si="251"/>
        <v>0</v>
      </c>
      <c r="G255" s="1124">
        <f t="shared" si="251"/>
        <v>0</v>
      </c>
      <c r="H255" s="1124">
        <f t="shared" si="251"/>
        <v>0</v>
      </c>
      <c r="I255" s="1124">
        <f t="shared" si="251"/>
        <v>0</v>
      </c>
      <c r="J255" s="1125">
        <f t="shared" si="251"/>
        <v>0</v>
      </c>
      <c r="K255" s="1089" t="s">
        <v>781</v>
      </c>
      <c r="L255" s="1195"/>
      <c r="M255" s="1124">
        <f t="shared" si="252"/>
        <v>0</v>
      </c>
      <c r="N255" s="1124">
        <f t="shared" si="252"/>
        <v>0</v>
      </c>
      <c r="O255" s="1124">
        <f t="shared" si="252"/>
        <v>0</v>
      </c>
      <c r="P255" s="1124">
        <f t="shared" si="252"/>
        <v>0</v>
      </c>
      <c r="Q255" s="1124">
        <f t="shared" si="252"/>
        <v>0</v>
      </c>
      <c r="R255" s="1124">
        <f t="shared" si="252"/>
        <v>0</v>
      </c>
      <c r="S255" s="1126">
        <f t="shared" si="252"/>
        <v>0</v>
      </c>
      <c r="T255" s="1127">
        <f t="shared" si="252"/>
        <v>0</v>
      </c>
    </row>
    <row r="256" spans="1:20" ht="14.85" customHeight="1" thickBot="1">
      <c r="A256" s="1128" t="s">
        <v>782</v>
      </c>
      <c r="B256" s="1197"/>
      <c r="C256" s="1129">
        <f t="shared" si="251"/>
        <v>0</v>
      </c>
      <c r="D256" s="1129">
        <f t="shared" si="251"/>
        <v>0</v>
      </c>
      <c r="E256" s="1129">
        <f t="shared" si="251"/>
        <v>0</v>
      </c>
      <c r="F256" s="1129">
        <f t="shared" si="251"/>
        <v>0</v>
      </c>
      <c r="G256" s="1129">
        <f t="shared" si="251"/>
        <v>0</v>
      </c>
      <c r="H256" s="1129">
        <f t="shared" si="251"/>
        <v>0</v>
      </c>
      <c r="I256" s="1129">
        <f t="shared" si="251"/>
        <v>0</v>
      </c>
      <c r="J256" s="1130">
        <f t="shared" si="251"/>
        <v>0</v>
      </c>
      <c r="K256" s="1128" t="s">
        <v>782</v>
      </c>
      <c r="L256" s="1197"/>
      <c r="M256" s="1129">
        <f t="shared" si="252"/>
        <v>0</v>
      </c>
      <c r="N256" s="1129">
        <f t="shared" si="252"/>
        <v>0</v>
      </c>
      <c r="O256" s="1129">
        <f t="shared" si="252"/>
        <v>0</v>
      </c>
      <c r="P256" s="1129">
        <f t="shared" si="252"/>
        <v>0</v>
      </c>
      <c r="Q256" s="1129">
        <f t="shared" si="252"/>
        <v>0</v>
      </c>
      <c r="R256" s="1129">
        <f t="shared" si="252"/>
        <v>0</v>
      </c>
      <c r="S256" s="1131">
        <f t="shared" si="252"/>
        <v>0</v>
      </c>
      <c r="T256" s="1132">
        <f t="shared" si="252"/>
        <v>0</v>
      </c>
    </row>
    <row r="257" spans="1:20" ht="14.85" hidden="1" customHeight="1">
      <c r="A257" s="1089" t="s">
        <v>783</v>
      </c>
      <c r="B257" s="1198"/>
      <c r="C257" s="1133">
        <f t="shared" si="251"/>
        <v>0</v>
      </c>
      <c r="D257" s="1133">
        <f t="shared" si="251"/>
        <v>0</v>
      </c>
      <c r="E257" s="1133">
        <f t="shared" si="251"/>
        <v>0</v>
      </c>
      <c r="F257" s="1133">
        <f t="shared" si="251"/>
        <v>0</v>
      </c>
      <c r="G257" s="1133">
        <f t="shared" si="251"/>
        <v>0</v>
      </c>
      <c r="H257" s="1133">
        <f t="shared" si="251"/>
        <v>0</v>
      </c>
      <c r="I257" s="1133">
        <f t="shared" si="251"/>
        <v>0</v>
      </c>
      <c r="J257" s="1134">
        <f t="shared" si="251"/>
        <v>0</v>
      </c>
      <c r="K257" s="1089" t="s">
        <v>783</v>
      </c>
      <c r="L257" s="1198"/>
      <c r="M257" s="1133">
        <f t="shared" si="252"/>
        <v>0</v>
      </c>
      <c r="N257" s="1133">
        <f t="shared" si="252"/>
        <v>0</v>
      </c>
      <c r="O257" s="1133">
        <f t="shared" si="252"/>
        <v>0</v>
      </c>
      <c r="P257" s="1133">
        <f t="shared" si="252"/>
        <v>0</v>
      </c>
      <c r="Q257" s="1133">
        <f t="shared" si="252"/>
        <v>0</v>
      </c>
      <c r="R257" s="1133">
        <f t="shared" si="252"/>
        <v>0</v>
      </c>
      <c r="S257" s="1135">
        <f t="shared" si="252"/>
        <v>0</v>
      </c>
      <c r="T257" s="1136">
        <f t="shared" si="252"/>
        <v>0</v>
      </c>
    </row>
    <row r="258" spans="1:20" ht="14.85" hidden="1" customHeight="1" thickBot="1">
      <c r="A258" s="1128" t="s">
        <v>784</v>
      </c>
      <c r="B258" s="1199"/>
      <c r="C258" s="1137">
        <f t="shared" si="251"/>
        <v>0</v>
      </c>
      <c r="D258" s="1137">
        <f t="shared" si="251"/>
        <v>0</v>
      </c>
      <c r="E258" s="1137">
        <f t="shared" si="251"/>
        <v>0</v>
      </c>
      <c r="F258" s="1137">
        <f t="shared" si="251"/>
        <v>0</v>
      </c>
      <c r="G258" s="1137">
        <f t="shared" si="251"/>
        <v>0</v>
      </c>
      <c r="H258" s="1137">
        <f t="shared" si="251"/>
        <v>0</v>
      </c>
      <c r="I258" s="1137">
        <f t="shared" si="251"/>
        <v>0</v>
      </c>
      <c r="J258" s="1138">
        <f t="shared" si="251"/>
        <v>0</v>
      </c>
      <c r="K258" s="1128" t="s">
        <v>784</v>
      </c>
      <c r="L258" s="1199"/>
      <c r="M258" s="1137">
        <f t="shared" si="252"/>
        <v>0</v>
      </c>
      <c r="N258" s="1137">
        <f t="shared" si="252"/>
        <v>0</v>
      </c>
      <c r="O258" s="1137">
        <f t="shared" si="252"/>
        <v>0</v>
      </c>
      <c r="P258" s="1137">
        <f t="shared" si="252"/>
        <v>0</v>
      </c>
      <c r="Q258" s="1137">
        <f t="shared" si="252"/>
        <v>0</v>
      </c>
      <c r="R258" s="1137">
        <f t="shared" si="252"/>
        <v>0</v>
      </c>
      <c r="S258" s="1139">
        <f t="shared" si="252"/>
        <v>0</v>
      </c>
      <c r="T258" s="1140">
        <f t="shared" si="252"/>
        <v>0</v>
      </c>
    </row>
    <row r="259" spans="1:20" ht="14.85" hidden="1" customHeight="1">
      <c r="A259" s="1141"/>
      <c r="I259" s="1142"/>
      <c r="J259" s="1142"/>
      <c r="K259" s="1141"/>
      <c r="S259" s="1142"/>
      <c r="T259" s="1142"/>
    </row>
    <row r="260" spans="1:20" ht="14.85" hidden="1" customHeight="1">
      <c r="A260" s="953" t="s">
        <v>785</v>
      </c>
      <c r="B260" s="1200">
        <f t="shared" ref="B260:J260" si="253">B3</f>
        <v>0</v>
      </c>
      <c r="C260" s="1143" t="str">
        <f t="shared" si="253"/>
        <v>CO</v>
      </c>
      <c r="D260" s="1143" t="str">
        <f t="shared" si="253"/>
        <v>CO</v>
      </c>
      <c r="E260" s="1143" t="str">
        <f t="shared" si="253"/>
        <v>매연</v>
      </c>
      <c r="F260" s="1143" t="str">
        <f t="shared" si="253"/>
        <v>매연</v>
      </c>
      <c r="G260" s="1143" t="str">
        <f t="shared" si="253"/>
        <v>매연</v>
      </c>
      <c r="H260" s="1143" t="str">
        <f t="shared" si="253"/>
        <v>매연</v>
      </c>
      <c r="I260" s="1143" t="str">
        <f t="shared" si="253"/>
        <v>매연</v>
      </c>
      <c r="J260" s="1143" t="str">
        <f t="shared" si="253"/>
        <v>매연</v>
      </c>
      <c r="K260" s="953" t="s">
        <v>785</v>
      </c>
      <c r="L260" s="1200">
        <f t="shared" ref="L260:T260" si="254">L3</f>
        <v>0</v>
      </c>
      <c r="M260" s="1143" t="str">
        <f t="shared" si="254"/>
        <v>CO</v>
      </c>
      <c r="N260" s="1143" t="str">
        <f t="shared" si="254"/>
        <v>CO</v>
      </c>
      <c r="O260" s="1143" t="str">
        <f t="shared" si="254"/>
        <v>CO</v>
      </c>
      <c r="P260" s="1143" t="str">
        <f t="shared" si="254"/>
        <v>CO</v>
      </c>
      <c r="Q260" s="1143" t="str">
        <f t="shared" si="254"/>
        <v>매연</v>
      </c>
      <c r="R260" s="1143" t="str">
        <f t="shared" si="254"/>
        <v>매연</v>
      </c>
      <c r="S260" s="1143" t="str">
        <f t="shared" si="254"/>
        <v>매연</v>
      </c>
      <c r="T260" s="1143" t="str">
        <f t="shared" si="254"/>
        <v>매연</v>
      </c>
    </row>
    <row r="261" spans="1:20" ht="14.85" hidden="1" customHeight="1">
      <c r="A261" s="1144" t="s">
        <v>754</v>
      </c>
      <c r="B261" s="1201">
        <f t="shared" ref="B261:I261" si="255">B235</f>
        <v>0</v>
      </c>
      <c r="C261" s="1145">
        <f t="shared" si="255"/>
        <v>0</v>
      </c>
      <c r="D261" s="1145">
        <f t="shared" si="255"/>
        <v>0</v>
      </c>
      <c r="E261" s="1145">
        <f t="shared" si="255"/>
        <v>0</v>
      </c>
      <c r="F261" s="1145">
        <f t="shared" si="255"/>
        <v>0</v>
      </c>
      <c r="G261" s="1145">
        <f t="shared" si="255"/>
        <v>0</v>
      </c>
      <c r="H261" s="1145">
        <f t="shared" si="255"/>
        <v>0</v>
      </c>
      <c r="I261" s="1145">
        <f t="shared" si="255"/>
        <v>0</v>
      </c>
      <c r="J261" s="1145">
        <f>J235</f>
        <v>0</v>
      </c>
      <c r="K261" s="1144" t="s">
        <v>754</v>
      </c>
      <c r="L261" s="1201">
        <f t="shared" ref="L261:S261" si="256">L235</f>
        <v>0</v>
      </c>
      <c r="M261" s="1145">
        <f t="shared" si="256"/>
        <v>0</v>
      </c>
      <c r="N261" s="1145">
        <f t="shared" si="256"/>
        <v>0</v>
      </c>
      <c r="O261" s="1145">
        <f t="shared" si="256"/>
        <v>0</v>
      </c>
      <c r="P261" s="1145">
        <f t="shared" si="256"/>
        <v>0</v>
      </c>
      <c r="Q261" s="1145">
        <f t="shared" si="256"/>
        <v>0</v>
      </c>
      <c r="R261" s="1145">
        <f t="shared" si="256"/>
        <v>0</v>
      </c>
      <c r="S261" s="1145">
        <f t="shared" si="256"/>
        <v>0</v>
      </c>
      <c r="T261" s="1145">
        <f>T235</f>
        <v>0</v>
      </c>
    </row>
    <row r="262" spans="1:20" ht="14.85" hidden="1" customHeight="1">
      <c r="A262" s="1144" t="s">
        <v>756</v>
      </c>
      <c r="B262" s="1202" t="b">
        <f t="shared" ref="B262:B274" si="257">IF($B$3="CO",ROUND(B236*100,3),IF($B$3="Nox",ROUND(B236*25,3)))</f>
        <v>0</v>
      </c>
      <c r="C262" s="1146">
        <f t="shared" ref="C262:C274" si="258">IF($C$3="CO",ROUND(C236*100,3),IF($C$3="Nox",ROUND(C236*25,3)))</f>
        <v>-1.36</v>
      </c>
      <c r="D262" s="1146">
        <f t="shared" ref="D262:D274" si="259">IF($D$3="CO",ROUND(D236*100,3),IF($D$3="Nox",ROUND(D236*25,3)))</f>
        <v>-10.77</v>
      </c>
      <c r="E262" s="1146" t="b">
        <f t="shared" ref="E262:E274" si="260">IF($E$3="CO",ROUND(E236*100,3),IF($E$3="Nox",ROUND(E236*25,3)))</f>
        <v>0</v>
      </c>
      <c r="F262" s="1146" t="b">
        <f t="shared" ref="F262:F274" si="261">IF($F$3="CO",ROUND(F236*100,3),IF($F$3="Nox",ROUND(F236*25,3)))</f>
        <v>0</v>
      </c>
      <c r="G262" s="1146">
        <f t="shared" ref="G262:G274" si="262">IF($G$3="매연",ROUND(G236*0.006,5),IF($G$3="CO",ROUND(G236*100,3),IF($G$3="Nox",ROUND(G236*25,3))))</f>
        <v>-1.9000000000000001E-4</v>
      </c>
      <c r="H262" s="1146">
        <f t="shared" ref="H262:H274" si="263">IF($H$3="매연",ROUND(H236*0.006,5),IF($H$3="CO",ROUND(H236*100,3),IF($H$3="Nox",ROUND(H236*25,3))))</f>
        <v>-1.7000000000000001E-4</v>
      </c>
      <c r="I262" s="1146">
        <f t="shared" ref="I262:J274" si="264">IF($I$3="매연",ROUND(I236*0.006,5),IF($I$3="CO",ROUND(I236*100,3),IF($I$3="Nox",ROUND(I236*25,3))))</f>
        <v>-1.4999999999999999E-4</v>
      </c>
      <c r="J262" s="1146">
        <f t="shared" si="264"/>
        <v>-1.2999999999999999E-4</v>
      </c>
      <c r="K262" s="1144" t="s">
        <v>756</v>
      </c>
      <c r="L262" s="1202" t="b">
        <f t="shared" ref="L262:L274" si="265">IF($L$3="CO",ROUND(L236*100,3),IF($L$3="Nox",ROUND(L236*25,3)))</f>
        <v>0</v>
      </c>
      <c r="M262" s="1146">
        <f t="shared" ref="M262:M274" si="266">IF($M$3="CO",ROUND(M236*100,3),IF($M$3="Nox",ROUND(M236*25,3)))</f>
        <v>-9.1</v>
      </c>
      <c r="N262" s="1146">
        <f t="shared" ref="N262:N274" si="267">IF($N$3="CO",ROUND(N236*100,3),IF($N$3="Nox",ROUND(N236*25,3)))</f>
        <v>-61.61</v>
      </c>
      <c r="O262" s="1146">
        <f t="shared" ref="O262:O274" si="268">IF($O$3="CO",ROUND(O236*100,3),IF($O$3="Nox",ROUND(O236*25,3)))</f>
        <v>-28.18</v>
      </c>
      <c r="P262" s="1146">
        <f t="shared" ref="P262:P274" si="269">IF($P$3="CO",ROUND(P236*100,3),IF($P$3="Nox",ROUND(P236*25,3)))</f>
        <v>-19.829999999999998</v>
      </c>
      <c r="Q262" s="1146">
        <f t="shared" ref="Q262:Q274" si="270">IF($Q$3="매연",ROUND(Q236*0.006,5),IF($Q$3="CO",ROUND(Q236*100,3),IF($Q$3="Nox",ROUND(Q236*25,3))))</f>
        <v>-1.2700000000000001E-3</v>
      </c>
      <c r="R262" s="1146">
        <f t="shared" ref="R262:R274" si="271">IF($R$3="매연",ROUND(R236*0.006,5),IF($R$3="CO",ROUND(R236*100,3),IF($R$3="Nox",ROUND(R236*25,3))))</f>
        <v>-1.1100000000000001E-3</v>
      </c>
      <c r="S262" s="1146">
        <f t="shared" ref="S262:T274" si="272">IF($S$3="매연",ROUND(S236*0.006,5),IF($S$3="CO",ROUND(S236*100,3),IF($S$3="Nox",ROUND(S236*25,3))))</f>
        <v>-9.8999999999999999E-4</v>
      </c>
      <c r="T262" s="1146">
        <f t="shared" si="272"/>
        <v>-9.3999999999999997E-4</v>
      </c>
    </row>
    <row r="263" spans="1:20" ht="14.85" hidden="1" customHeight="1">
      <c r="A263" s="1144" t="s">
        <v>758</v>
      </c>
      <c r="B263" s="1202" t="b">
        <f t="shared" si="257"/>
        <v>0</v>
      </c>
      <c r="C263" s="1146">
        <f t="shared" si="258"/>
        <v>-1.29</v>
      </c>
      <c r="D263" s="1146">
        <f t="shared" si="259"/>
        <v>-10.77</v>
      </c>
      <c r="E263" s="1146" t="b">
        <f t="shared" si="260"/>
        <v>0</v>
      </c>
      <c r="F263" s="1146" t="b">
        <f t="shared" si="261"/>
        <v>0</v>
      </c>
      <c r="G263" s="1146">
        <f t="shared" si="262"/>
        <v>-1.9000000000000001E-4</v>
      </c>
      <c r="H263" s="1146">
        <f t="shared" si="263"/>
        <v>-1.7000000000000001E-4</v>
      </c>
      <c r="I263" s="1146">
        <f t="shared" si="264"/>
        <v>-1.4999999999999999E-4</v>
      </c>
      <c r="J263" s="1146">
        <f t="shared" si="264"/>
        <v>-1.2999999999999999E-4</v>
      </c>
      <c r="K263" s="1144" t="s">
        <v>758</v>
      </c>
      <c r="L263" s="1202" t="b">
        <f t="shared" si="265"/>
        <v>0</v>
      </c>
      <c r="M263" s="1146">
        <f t="shared" si="266"/>
        <v>-8.75</v>
      </c>
      <c r="N263" s="1146">
        <f t="shared" si="267"/>
        <v>-61.61</v>
      </c>
      <c r="O263" s="1146">
        <f t="shared" si="268"/>
        <v>-28.18</v>
      </c>
      <c r="P263" s="1146">
        <f t="shared" si="269"/>
        <v>-19.829999999999998</v>
      </c>
      <c r="Q263" s="1146">
        <f t="shared" si="270"/>
        <v>-1.2700000000000001E-3</v>
      </c>
      <c r="R263" s="1146">
        <f t="shared" si="271"/>
        <v>-1.1100000000000001E-3</v>
      </c>
      <c r="S263" s="1146">
        <f t="shared" si="272"/>
        <v>-9.8999999999999999E-4</v>
      </c>
      <c r="T263" s="1146">
        <f t="shared" si="272"/>
        <v>-9.3999999999999997E-4</v>
      </c>
    </row>
    <row r="264" spans="1:20" ht="14.85" hidden="1" customHeight="1">
      <c r="A264" s="1144" t="s">
        <v>760</v>
      </c>
      <c r="B264" s="1202" t="b">
        <f t="shared" si="257"/>
        <v>0</v>
      </c>
      <c r="C264" s="1146">
        <f t="shared" si="258"/>
        <v>2.63</v>
      </c>
      <c r="D264" s="1146">
        <f t="shared" si="259"/>
        <v>20</v>
      </c>
      <c r="E264" s="1146" t="b">
        <f t="shared" si="260"/>
        <v>0</v>
      </c>
      <c r="F264" s="1146" t="b">
        <f t="shared" si="261"/>
        <v>0</v>
      </c>
      <c r="G264" s="1146">
        <f t="shared" si="262"/>
        <v>3.8999999999999999E-4</v>
      </c>
      <c r="H264" s="1146">
        <f t="shared" si="263"/>
        <v>3.4000000000000002E-4</v>
      </c>
      <c r="I264" s="1146">
        <f t="shared" si="264"/>
        <v>2.9999999999999997E-4</v>
      </c>
      <c r="J264" s="1146">
        <f t="shared" si="264"/>
        <v>2.7E-4</v>
      </c>
      <c r="K264" s="1144" t="s">
        <v>760</v>
      </c>
      <c r="L264" s="1202" t="b">
        <f t="shared" si="265"/>
        <v>0</v>
      </c>
      <c r="M264" s="1146">
        <f t="shared" si="266"/>
        <v>4.07</v>
      </c>
      <c r="N264" s="1146">
        <f t="shared" si="267"/>
        <v>25</v>
      </c>
      <c r="O264" s="1146">
        <f t="shared" si="268"/>
        <v>11.6</v>
      </c>
      <c r="P264" s="1146">
        <f t="shared" si="269"/>
        <v>8.02</v>
      </c>
      <c r="Q264" s="1146">
        <f t="shared" si="270"/>
        <v>5.1999999999999995E-4</v>
      </c>
      <c r="R264" s="1146">
        <f t="shared" si="271"/>
        <v>4.6000000000000001E-4</v>
      </c>
      <c r="S264" s="1146">
        <f t="shared" si="272"/>
        <v>4.0999999999999999E-4</v>
      </c>
      <c r="T264" s="1146">
        <f t="shared" si="272"/>
        <v>3.8000000000000002E-4</v>
      </c>
    </row>
    <row r="265" spans="1:20" ht="14.85" hidden="1" customHeight="1">
      <c r="A265" s="1144" t="s">
        <v>762</v>
      </c>
      <c r="B265" s="1202" t="b">
        <f t="shared" si="257"/>
        <v>0</v>
      </c>
      <c r="C265" s="1146" t="e">
        <f t="shared" si="258"/>
        <v>#DIV/0!</v>
      </c>
      <c r="D265" s="1146" t="e">
        <f t="shared" si="259"/>
        <v>#DIV/0!</v>
      </c>
      <c r="E265" s="1146" t="b">
        <f t="shared" si="260"/>
        <v>0</v>
      </c>
      <c r="F265" s="1146" t="b">
        <f t="shared" si="261"/>
        <v>0</v>
      </c>
      <c r="G265" s="1146" t="e">
        <f t="shared" si="262"/>
        <v>#DIV/0!</v>
      </c>
      <c r="H265" s="1146" t="e">
        <f t="shared" si="263"/>
        <v>#DIV/0!</v>
      </c>
      <c r="I265" s="1146" t="e">
        <f t="shared" si="264"/>
        <v>#DIV/0!</v>
      </c>
      <c r="J265" s="1146" t="e">
        <f t="shared" si="264"/>
        <v>#DIV/0!</v>
      </c>
      <c r="K265" s="1144" t="s">
        <v>762</v>
      </c>
      <c r="L265" s="1202" t="b">
        <f t="shared" si="265"/>
        <v>0</v>
      </c>
      <c r="M265" s="1146" t="e">
        <f t="shared" si="266"/>
        <v>#DIV/0!</v>
      </c>
      <c r="N265" s="1146" t="e">
        <f t="shared" si="267"/>
        <v>#DIV/0!</v>
      </c>
      <c r="O265" s="1146" t="e">
        <f t="shared" si="268"/>
        <v>#DIV/0!</v>
      </c>
      <c r="P265" s="1146" t="e">
        <f t="shared" si="269"/>
        <v>#DIV/0!</v>
      </c>
      <c r="Q265" s="1146" t="e">
        <f t="shared" si="270"/>
        <v>#DIV/0!</v>
      </c>
      <c r="R265" s="1146" t="e">
        <f t="shared" si="271"/>
        <v>#DIV/0!</v>
      </c>
      <c r="S265" s="1146" t="e">
        <f t="shared" si="272"/>
        <v>#DIV/0!</v>
      </c>
      <c r="T265" s="1146" t="e">
        <f t="shared" si="272"/>
        <v>#DIV/0!</v>
      </c>
    </row>
    <row r="266" spans="1:20" ht="14.85" hidden="1" customHeight="1">
      <c r="A266" s="1144" t="s">
        <v>764</v>
      </c>
      <c r="B266" s="1202" t="b">
        <f t="shared" si="257"/>
        <v>0</v>
      </c>
      <c r="C266" s="1146" t="e">
        <f t="shared" si="258"/>
        <v>#DIV/0!</v>
      </c>
      <c r="D266" s="1146" t="e">
        <f t="shared" si="259"/>
        <v>#DIV/0!</v>
      </c>
      <c r="E266" s="1146" t="b">
        <f t="shared" si="260"/>
        <v>0</v>
      </c>
      <c r="F266" s="1146" t="b">
        <f t="shared" si="261"/>
        <v>0</v>
      </c>
      <c r="G266" s="1146" t="e">
        <f t="shared" si="262"/>
        <v>#DIV/0!</v>
      </c>
      <c r="H266" s="1146" t="e">
        <f t="shared" si="263"/>
        <v>#DIV/0!</v>
      </c>
      <c r="I266" s="1146" t="e">
        <f t="shared" si="264"/>
        <v>#DIV/0!</v>
      </c>
      <c r="J266" s="1146" t="e">
        <f t="shared" si="264"/>
        <v>#DIV/0!</v>
      </c>
      <c r="K266" s="1144" t="s">
        <v>764</v>
      </c>
      <c r="L266" s="1202" t="b">
        <f t="shared" si="265"/>
        <v>0</v>
      </c>
      <c r="M266" s="1146" t="e">
        <f t="shared" si="266"/>
        <v>#DIV/0!</v>
      </c>
      <c r="N266" s="1146" t="e">
        <f t="shared" si="267"/>
        <v>#DIV/0!</v>
      </c>
      <c r="O266" s="1146" t="e">
        <f t="shared" si="268"/>
        <v>#DIV/0!</v>
      </c>
      <c r="P266" s="1146" t="e">
        <f t="shared" si="269"/>
        <v>#DIV/0!</v>
      </c>
      <c r="Q266" s="1146" t="e">
        <f t="shared" si="270"/>
        <v>#DIV/0!</v>
      </c>
      <c r="R266" s="1146" t="e">
        <f t="shared" si="271"/>
        <v>#DIV/0!</v>
      </c>
      <c r="S266" s="1146" t="e">
        <f t="shared" si="272"/>
        <v>#DIV/0!</v>
      </c>
      <c r="T266" s="1146" t="e">
        <f t="shared" si="272"/>
        <v>#DIV/0!</v>
      </c>
    </row>
    <row r="267" spans="1:20" ht="14.85" hidden="1" customHeight="1">
      <c r="A267" s="1144" t="s">
        <v>766</v>
      </c>
      <c r="B267" s="1202" t="b">
        <f t="shared" si="257"/>
        <v>0</v>
      </c>
      <c r="C267" s="1146" t="e">
        <f t="shared" si="258"/>
        <v>#DIV/0!</v>
      </c>
      <c r="D267" s="1146" t="e">
        <f t="shared" si="259"/>
        <v>#DIV/0!</v>
      </c>
      <c r="E267" s="1146" t="b">
        <f t="shared" si="260"/>
        <v>0</v>
      </c>
      <c r="F267" s="1146" t="b">
        <f t="shared" si="261"/>
        <v>0</v>
      </c>
      <c r="G267" s="1146" t="e">
        <f t="shared" si="262"/>
        <v>#DIV/0!</v>
      </c>
      <c r="H267" s="1146" t="e">
        <f t="shared" si="263"/>
        <v>#DIV/0!</v>
      </c>
      <c r="I267" s="1146" t="e">
        <f t="shared" si="264"/>
        <v>#DIV/0!</v>
      </c>
      <c r="J267" s="1146" t="e">
        <f t="shared" si="264"/>
        <v>#DIV/0!</v>
      </c>
      <c r="K267" s="1144" t="s">
        <v>766</v>
      </c>
      <c r="L267" s="1202" t="b">
        <f t="shared" si="265"/>
        <v>0</v>
      </c>
      <c r="M267" s="1146" t="e">
        <f t="shared" si="266"/>
        <v>#DIV/0!</v>
      </c>
      <c r="N267" s="1146" t="e">
        <f t="shared" si="267"/>
        <v>#DIV/0!</v>
      </c>
      <c r="O267" s="1146" t="e">
        <f t="shared" si="268"/>
        <v>#DIV/0!</v>
      </c>
      <c r="P267" s="1146" t="e">
        <f t="shared" si="269"/>
        <v>#DIV/0!</v>
      </c>
      <c r="Q267" s="1146" t="e">
        <f t="shared" si="270"/>
        <v>#DIV/0!</v>
      </c>
      <c r="R267" s="1146" t="e">
        <f t="shared" si="271"/>
        <v>#DIV/0!</v>
      </c>
      <c r="S267" s="1146" t="e">
        <f t="shared" si="272"/>
        <v>#DIV/0!</v>
      </c>
      <c r="T267" s="1146" t="e">
        <f t="shared" si="272"/>
        <v>#DIV/0!</v>
      </c>
    </row>
    <row r="268" spans="1:20" ht="14.85" hidden="1" customHeight="1">
      <c r="A268" s="1144" t="s">
        <v>768</v>
      </c>
      <c r="B268" s="1202" t="b">
        <f t="shared" si="257"/>
        <v>0</v>
      </c>
      <c r="C268" s="1146" t="e">
        <f t="shared" si="258"/>
        <v>#DIV/0!</v>
      </c>
      <c r="D268" s="1146" t="e">
        <f t="shared" si="259"/>
        <v>#DIV/0!</v>
      </c>
      <c r="E268" s="1146" t="b">
        <f t="shared" si="260"/>
        <v>0</v>
      </c>
      <c r="F268" s="1146" t="b">
        <f t="shared" si="261"/>
        <v>0</v>
      </c>
      <c r="G268" s="1146" t="e">
        <f t="shared" si="262"/>
        <v>#DIV/0!</v>
      </c>
      <c r="H268" s="1146" t="e">
        <f t="shared" si="263"/>
        <v>#DIV/0!</v>
      </c>
      <c r="I268" s="1146" t="e">
        <f t="shared" si="264"/>
        <v>#DIV/0!</v>
      </c>
      <c r="J268" s="1146" t="e">
        <f t="shared" si="264"/>
        <v>#DIV/0!</v>
      </c>
      <c r="K268" s="1144" t="s">
        <v>768</v>
      </c>
      <c r="L268" s="1202" t="b">
        <f t="shared" si="265"/>
        <v>0</v>
      </c>
      <c r="M268" s="1146" t="e">
        <f t="shared" si="266"/>
        <v>#DIV/0!</v>
      </c>
      <c r="N268" s="1146" t="e">
        <f t="shared" si="267"/>
        <v>#DIV/0!</v>
      </c>
      <c r="O268" s="1146" t="e">
        <f t="shared" si="268"/>
        <v>#DIV/0!</v>
      </c>
      <c r="P268" s="1146" t="e">
        <f t="shared" si="269"/>
        <v>#DIV/0!</v>
      </c>
      <c r="Q268" s="1146" t="e">
        <f t="shared" si="270"/>
        <v>#DIV/0!</v>
      </c>
      <c r="R268" s="1146" t="e">
        <f t="shared" si="271"/>
        <v>#DIV/0!</v>
      </c>
      <c r="S268" s="1146" t="e">
        <f t="shared" si="272"/>
        <v>#DIV/0!</v>
      </c>
      <c r="T268" s="1146" t="e">
        <f t="shared" si="272"/>
        <v>#DIV/0!</v>
      </c>
    </row>
    <row r="269" spans="1:20" ht="14.85" hidden="1" customHeight="1">
      <c r="A269" s="1144" t="s">
        <v>769</v>
      </c>
      <c r="B269" s="1202" t="b">
        <f t="shared" si="257"/>
        <v>0</v>
      </c>
      <c r="C269" s="1146" t="e">
        <f t="shared" si="258"/>
        <v>#DIV/0!</v>
      </c>
      <c r="D269" s="1146" t="e">
        <f t="shared" si="259"/>
        <v>#DIV/0!</v>
      </c>
      <c r="E269" s="1146" t="b">
        <f t="shared" si="260"/>
        <v>0</v>
      </c>
      <c r="F269" s="1146" t="b">
        <f t="shared" si="261"/>
        <v>0</v>
      </c>
      <c r="G269" s="1146" t="e">
        <f t="shared" si="262"/>
        <v>#DIV/0!</v>
      </c>
      <c r="H269" s="1146" t="e">
        <f t="shared" si="263"/>
        <v>#DIV/0!</v>
      </c>
      <c r="I269" s="1146" t="e">
        <f t="shared" si="264"/>
        <v>#DIV/0!</v>
      </c>
      <c r="J269" s="1146" t="e">
        <f t="shared" si="264"/>
        <v>#DIV/0!</v>
      </c>
      <c r="K269" s="1144" t="s">
        <v>769</v>
      </c>
      <c r="L269" s="1202" t="b">
        <f t="shared" si="265"/>
        <v>0</v>
      </c>
      <c r="M269" s="1146" t="e">
        <f t="shared" si="266"/>
        <v>#DIV/0!</v>
      </c>
      <c r="N269" s="1146" t="e">
        <f t="shared" si="267"/>
        <v>#DIV/0!</v>
      </c>
      <c r="O269" s="1146" t="e">
        <f t="shared" si="268"/>
        <v>#DIV/0!</v>
      </c>
      <c r="P269" s="1146" t="e">
        <f t="shared" si="269"/>
        <v>#DIV/0!</v>
      </c>
      <c r="Q269" s="1146" t="e">
        <f t="shared" si="270"/>
        <v>#DIV/0!</v>
      </c>
      <c r="R269" s="1146" t="e">
        <f t="shared" si="271"/>
        <v>#DIV/0!</v>
      </c>
      <c r="S269" s="1146" t="e">
        <f t="shared" si="272"/>
        <v>#DIV/0!</v>
      </c>
      <c r="T269" s="1146" t="e">
        <f t="shared" si="272"/>
        <v>#DIV/0!</v>
      </c>
    </row>
    <row r="270" spans="1:20" ht="14.85" hidden="1" customHeight="1">
      <c r="A270" s="1144" t="s">
        <v>770</v>
      </c>
      <c r="B270" s="1202" t="b">
        <f t="shared" si="257"/>
        <v>0</v>
      </c>
      <c r="C270" s="1146" t="e">
        <f t="shared" si="258"/>
        <v>#DIV/0!</v>
      </c>
      <c r="D270" s="1146" t="e">
        <f t="shared" si="259"/>
        <v>#DIV/0!</v>
      </c>
      <c r="E270" s="1146" t="b">
        <f t="shared" si="260"/>
        <v>0</v>
      </c>
      <c r="F270" s="1146" t="b">
        <f t="shared" si="261"/>
        <v>0</v>
      </c>
      <c r="G270" s="1146" t="e">
        <f t="shared" si="262"/>
        <v>#DIV/0!</v>
      </c>
      <c r="H270" s="1146" t="e">
        <f t="shared" si="263"/>
        <v>#DIV/0!</v>
      </c>
      <c r="I270" s="1146" t="e">
        <f t="shared" si="264"/>
        <v>#DIV/0!</v>
      </c>
      <c r="J270" s="1146" t="e">
        <f t="shared" si="264"/>
        <v>#DIV/0!</v>
      </c>
      <c r="K270" s="1144" t="s">
        <v>770</v>
      </c>
      <c r="L270" s="1202" t="b">
        <f t="shared" si="265"/>
        <v>0</v>
      </c>
      <c r="M270" s="1146" t="e">
        <f t="shared" si="266"/>
        <v>#DIV/0!</v>
      </c>
      <c r="N270" s="1146" t="e">
        <f t="shared" si="267"/>
        <v>#DIV/0!</v>
      </c>
      <c r="O270" s="1146" t="e">
        <f t="shared" si="268"/>
        <v>#DIV/0!</v>
      </c>
      <c r="P270" s="1146" t="e">
        <f t="shared" si="269"/>
        <v>#DIV/0!</v>
      </c>
      <c r="Q270" s="1146" t="e">
        <f t="shared" si="270"/>
        <v>#DIV/0!</v>
      </c>
      <c r="R270" s="1146" t="e">
        <f t="shared" si="271"/>
        <v>#DIV/0!</v>
      </c>
      <c r="S270" s="1146" t="e">
        <f t="shared" si="272"/>
        <v>#DIV/0!</v>
      </c>
      <c r="T270" s="1146" t="e">
        <f t="shared" si="272"/>
        <v>#DIV/0!</v>
      </c>
    </row>
    <row r="271" spans="1:20" ht="14.85" hidden="1" customHeight="1">
      <c r="A271" s="1144" t="s">
        <v>771</v>
      </c>
      <c r="B271" s="1202" t="b">
        <f t="shared" si="257"/>
        <v>0</v>
      </c>
      <c r="C271" s="1146" t="e">
        <f t="shared" si="258"/>
        <v>#DIV/0!</v>
      </c>
      <c r="D271" s="1146" t="e">
        <f t="shared" si="259"/>
        <v>#DIV/0!</v>
      </c>
      <c r="E271" s="1146" t="b">
        <f t="shared" si="260"/>
        <v>0</v>
      </c>
      <c r="F271" s="1146" t="b">
        <f t="shared" si="261"/>
        <v>0</v>
      </c>
      <c r="G271" s="1146" t="e">
        <f t="shared" si="262"/>
        <v>#DIV/0!</v>
      </c>
      <c r="H271" s="1146" t="e">
        <f t="shared" si="263"/>
        <v>#DIV/0!</v>
      </c>
      <c r="I271" s="1146" t="e">
        <f t="shared" si="264"/>
        <v>#DIV/0!</v>
      </c>
      <c r="J271" s="1146" t="e">
        <f t="shared" si="264"/>
        <v>#DIV/0!</v>
      </c>
      <c r="K271" s="1144" t="s">
        <v>771</v>
      </c>
      <c r="L271" s="1202" t="b">
        <f t="shared" si="265"/>
        <v>0</v>
      </c>
      <c r="M271" s="1146" t="e">
        <f t="shared" si="266"/>
        <v>#DIV/0!</v>
      </c>
      <c r="N271" s="1146" t="e">
        <f t="shared" si="267"/>
        <v>#DIV/0!</v>
      </c>
      <c r="O271" s="1146" t="e">
        <f t="shared" si="268"/>
        <v>#DIV/0!</v>
      </c>
      <c r="P271" s="1146" t="e">
        <f t="shared" si="269"/>
        <v>#DIV/0!</v>
      </c>
      <c r="Q271" s="1146" t="e">
        <f t="shared" si="270"/>
        <v>#DIV/0!</v>
      </c>
      <c r="R271" s="1146" t="e">
        <f t="shared" si="271"/>
        <v>#DIV/0!</v>
      </c>
      <c r="S271" s="1146" t="e">
        <f t="shared" si="272"/>
        <v>#DIV/0!</v>
      </c>
      <c r="T271" s="1146" t="e">
        <f t="shared" si="272"/>
        <v>#DIV/0!</v>
      </c>
    </row>
    <row r="272" spans="1:20" ht="14.85" hidden="1" customHeight="1">
      <c r="A272" s="1144" t="s">
        <v>772</v>
      </c>
      <c r="B272" s="1202" t="b">
        <f t="shared" si="257"/>
        <v>0</v>
      </c>
      <c r="C272" s="1146" t="e">
        <f t="shared" si="258"/>
        <v>#DIV/0!</v>
      </c>
      <c r="D272" s="1146" t="e">
        <f t="shared" si="259"/>
        <v>#DIV/0!</v>
      </c>
      <c r="E272" s="1146" t="b">
        <f t="shared" si="260"/>
        <v>0</v>
      </c>
      <c r="F272" s="1146" t="b">
        <f t="shared" si="261"/>
        <v>0</v>
      </c>
      <c r="G272" s="1146" t="e">
        <f t="shared" si="262"/>
        <v>#DIV/0!</v>
      </c>
      <c r="H272" s="1146" t="e">
        <f t="shared" si="263"/>
        <v>#DIV/0!</v>
      </c>
      <c r="I272" s="1146" t="e">
        <f t="shared" si="264"/>
        <v>#DIV/0!</v>
      </c>
      <c r="J272" s="1146" t="e">
        <f t="shared" si="264"/>
        <v>#DIV/0!</v>
      </c>
      <c r="K272" s="1144" t="s">
        <v>772</v>
      </c>
      <c r="L272" s="1202" t="b">
        <f t="shared" si="265"/>
        <v>0</v>
      </c>
      <c r="M272" s="1146" t="e">
        <f t="shared" si="266"/>
        <v>#DIV/0!</v>
      </c>
      <c r="N272" s="1146" t="e">
        <f t="shared" si="267"/>
        <v>#DIV/0!</v>
      </c>
      <c r="O272" s="1146" t="e">
        <f t="shared" si="268"/>
        <v>#DIV/0!</v>
      </c>
      <c r="P272" s="1146" t="e">
        <f t="shared" si="269"/>
        <v>#DIV/0!</v>
      </c>
      <c r="Q272" s="1146" t="e">
        <f t="shared" si="270"/>
        <v>#DIV/0!</v>
      </c>
      <c r="R272" s="1146" t="e">
        <f t="shared" si="271"/>
        <v>#DIV/0!</v>
      </c>
      <c r="S272" s="1146" t="e">
        <f t="shared" si="272"/>
        <v>#DIV/0!</v>
      </c>
      <c r="T272" s="1146" t="e">
        <f t="shared" si="272"/>
        <v>#DIV/0!</v>
      </c>
    </row>
    <row r="273" spans="1:20" ht="14.85" hidden="1" customHeight="1">
      <c r="A273" s="1144" t="s">
        <v>773</v>
      </c>
      <c r="B273" s="1202" t="b">
        <f t="shared" si="257"/>
        <v>0</v>
      </c>
      <c r="C273" s="1146" t="e">
        <f t="shared" si="258"/>
        <v>#DIV/0!</v>
      </c>
      <c r="D273" s="1146" t="e">
        <f t="shared" si="259"/>
        <v>#DIV/0!</v>
      </c>
      <c r="E273" s="1146" t="b">
        <f t="shared" si="260"/>
        <v>0</v>
      </c>
      <c r="F273" s="1146" t="b">
        <f t="shared" si="261"/>
        <v>0</v>
      </c>
      <c r="G273" s="1146" t="e">
        <f t="shared" si="262"/>
        <v>#DIV/0!</v>
      </c>
      <c r="H273" s="1146" t="e">
        <f t="shared" si="263"/>
        <v>#DIV/0!</v>
      </c>
      <c r="I273" s="1146" t="e">
        <f t="shared" si="264"/>
        <v>#DIV/0!</v>
      </c>
      <c r="J273" s="1146" t="e">
        <f t="shared" si="264"/>
        <v>#DIV/0!</v>
      </c>
      <c r="K273" s="1144" t="s">
        <v>773</v>
      </c>
      <c r="L273" s="1202" t="b">
        <f t="shared" si="265"/>
        <v>0</v>
      </c>
      <c r="M273" s="1146" t="e">
        <f t="shared" si="266"/>
        <v>#DIV/0!</v>
      </c>
      <c r="N273" s="1146" t="e">
        <f t="shared" si="267"/>
        <v>#DIV/0!</v>
      </c>
      <c r="O273" s="1146" t="e">
        <f t="shared" si="268"/>
        <v>#DIV/0!</v>
      </c>
      <c r="P273" s="1146" t="e">
        <f t="shared" si="269"/>
        <v>#DIV/0!</v>
      </c>
      <c r="Q273" s="1146" t="e">
        <f t="shared" si="270"/>
        <v>#DIV/0!</v>
      </c>
      <c r="R273" s="1146" t="e">
        <f t="shared" si="271"/>
        <v>#DIV/0!</v>
      </c>
      <c r="S273" s="1146" t="e">
        <f t="shared" si="272"/>
        <v>#DIV/0!</v>
      </c>
      <c r="T273" s="1146" t="e">
        <f t="shared" si="272"/>
        <v>#DIV/0!</v>
      </c>
    </row>
    <row r="274" spans="1:20" ht="14.85" hidden="1" customHeight="1">
      <c r="A274" s="1144" t="s">
        <v>774</v>
      </c>
      <c r="B274" s="1202" t="b">
        <f t="shared" si="257"/>
        <v>0</v>
      </c>
      <c r="C274" s="1146" t="e">
        <f t="shared" si="258"/>
        <v>#DIV/0!</v>
      </c>
      <c r="D274" s="1146" t="e">
        <f t="shared" si="259"/>
        <v>#DIV/0!</v>
      </c>
      <c r="E274" s="1146" t="b">
        <f t="shared" si="260"/>
        <v>0</v>
      </c>
      <c r="F274" s="1146" t="b">
        <f t="shared" si="261"/>
        <v>0</v>
      </c>
      <c r="G274" s="1146" t="e">
        <f t="shared" si="262"/>
        <v>#DIV/0!</v>
      </c>
      <c r="H274" s="1146" t="e">
        <f t="shared" si="263"/>
        <v>#DIV/0!</v>
      </c>
      <c r="I274" s="1146" t="e">
        <f t="shared" si="264"/>
        <v>#DIV/0!</v>
      </c>
      <c r="J274" s="1146" t="e">
        <f t="shared" si="264"/>
        <v>#DIV/0!</v>
      </c>
      <c r="K274" s="1144" t="s">
        <v>774</v>
      </c>
      <c r="L274" s="1202" t="b">
        <f t="shared" si="265"/>
        <v>0</v>
      </c>
      <c r="M274" s="1146" t="e">
        <f t="shared" si="266"/>
        <v>#DIV/0!</v>
      </c>
      <c r="N274" s="1146" t="e">
        <f t="shared" si="267"/>
        <v>#DIV/0!</v>
      </c>
      <c r="O274" s="1146" t="e">
        <f t="shared" si="268"/>
        <v>#DIV/0!</v>
      </c>
      <c r="P274" s="1146" t="e">
        <f t="shared" si="269"/>
        <v>#DIV/0!</v>
      </c>
      <c r="Q274" s="1146" t="e">
        <f t="shared" si="270"/>
        <v>#DIV/0!</v>
      </c>
      <c r="R274" s="1146" t="e">
        <f t="shared" si="271"/>
        <v>#DIV/0!</v>
      </c>
      <c r="S274" s="1146" t="e">
        <f t="shared" si="272"/>
        <v>#DIV/0!</v>
      </c>
      <c r="T274" s="1146" t="e">
        <f t="shared" si="272"/>
        <v>#DIV/0!</v>
      </c>
    </row>
    <row r="275" spans="1:20" ht="14.85" hidden="1" customHeight="1"/>
    <row r="276" spans="1:20" ht="14.85" customHeight="1">
      <c r="B276" s="1169">
        <f>B182+B183+L182+L183</f>
        <v>0</v>
      </c>
    </row>
    <row r="277" spans="1:20" ht="14.85" customHeight="1">
      <c r="B277" s="1169">
        <f>B276/15</f>
        <v>0</v>
      </c>
    </row>
    <row r="279" spans="1:20" ht="14.85" customHeight="1">
      <c r="B279" s="1169" t="s">
        <v>786</v>
      </c>
      <c r="L279" s="1169" t="s">
        <v>786</v>
      </c>
    </row>
    <row r="280" spans="1:20" ht="14.85" customHeight="1">
      <c r="B280" s="1203" t="s">
        <v>787</v>
      </c>
      <c r="C280" s="1147" t="s">
        <v>788</v>
      </c>
      <c r="D280" s="1147" t="s">
        <v>789</v>
      </c>
      <c r="E280" s="1147" t="s">
        <v>790</v>
      </c>
      <c r="F280" s="1147" t="s">
        <v>791</v>
      </c>
      <c r="G280" s="1147" t="s">
        <v>792</v>
      </c>
      <c r="L280" s="1203" t="s">
        <v>787</v>
      </c>
      <c r="M280" s="1147" t="s">
        <v>788</v>
      </c>
      <c r="N280" s="1147" t="s">
        <v>789</v>
      </c>
      <c r="O280" s="1147" t="s">
        <v>790</v>
      </c>
      <c r="P280" s="1147" t="s">
        <v>791</v>
      </c>
      <c r="Q280" s="1147" t="s">
        <v>792</v>
      </c>
    </row>
    <row r="281" spans="1:20" ht="14.85" customHeight="1">
      <c r="B281" s="1203" t="s">
        <v>793</v>
      </c>
      <c r="C281" s="1144">
        <v>8.9999999999999993E-3</v>
      </c>
      <c r="D281" s="1144">
        <v>0</v>
      </c>
      <c r="E281" s="1144">
        <f t="shared" ref="E281:E286" si="273">$C$281*D281</f>
        <v>0</v>
      </c>
      <c r="F281" s="1144">
        <f t="shared" ref="F281:F286" si="274">$C$282*D281</f>
        <v>0</v>
      </c>
      <c r="G281" s="1144">
        <f t="shared" ref="G281:G286" si="275">$C$283*D281</f>
        <v>0</v>
      </c>
      <c r="L281" s="1203" t="s">
        <v>793</v>
      </c>
      <c r="M281" s="1144">
        <v>8.9999999999999993E-3</v>
      </c>
      <c r="N281" s="1144">
        <v>0</v>
      </c>
      <c r="O281" s="1144">
        <f t="shared" ref="O281:O286" si="276">$C$281*N281</f>
        <v>0</v>
      </c>
      <c r="P281" s="1144">
        <f t="shared" ref="P281:P286" si="277">$C$282*N281</f>
        <v>0</v>
      </c>
      <c r="Q281" s="1144">
        <f t="shared" ref="Q281:Q286" si="278">$C$283*N281</f>
        <v>0</v>
      </c>
    </row>
    <row r="282" spans="1:20" ht="14.85" customHeight="1">
      <c r="B282" s="1203" t="s">
        <v>794</v>
      </c>
      <c r="C282" s="1144">
        <v>70</v>
      </c>
      <c r="D282" s="1144">
        <v>0.92330000000000001</v>
      </c>
      <c r="E282" s="1144">
        <f t="shared" si="273"/>
        <v>8.3096999999999997E-3</v>
      </c>
      <c r="F282" s="1144">
        <f t="shared" si="274"/>
        <v>64.631</v>
      </c>
      <c r="G282" s="1144">
        <f t="shared" si="275"/>
        <v>18.466000000000001</v>
      </c>
      <c r="L282" s="1203" t="s">
        <v>794</v>
      </c>
      <c r="M282" s="1144">
        <v>70</v>
      </c>
      <c r="N282" s="1144">
        <v>0.9224</v>
      </c>
      <c r="O282" s="1144">
        <f t="shared" si="276"/>
        <v>8.3015999999999993E-3</v>
      </c>
      <c r="P282" s="1144">
        <f t="shared" si="277"/>
        <v>64.567999999999998</v>
      </c>
      <c r="Q282" s="1144">
        <f t="shared" si="278"/>
        <v>18.448</v>
      </c>
    </row>
    <row r="283" spans="1:20" ht="14.85" customHeight="1">
      <c r="B283" s="1203" t="s">
        <v>795</v>
      </c>
      <c r="C283" s="1144">
        <v>20</v>
      </c>
      <c r="D283" s="1144">
        <v>3.7900000000000003E-2</v>
      </c>
      <c r="E283" s="1144">
        <f t="shared" si="273"/>
        <v>3.411E-4</v>
      </c>
      <c r="F283" s="1144">
        <f t="shared" si="274"/>
        <v>2.653</v>
      </c>
      <c r="G283" s="1144">
        <f t="shared" si="275"/>
        <v>0.75800000000000001</v>
      </c>
      <c r="L283" s="1203" t="s">
        <v>795</v>
      </c>
      <c r="M283" s="1144">
        <v>20</v>
      </c>
      <c r="N283" s="1144">
        <v>1.09E-2</v>
      </c>
      <c r="O283" s="1144">
        <f t="shared" si="276"/>
        <v>9.8099999999999986E-5</v>
      </c>
      <c r="P283" s="1144">
        <f t="shared" si="277"/>
        <v>0.76300000000000001</v>
      </c>
      <c r="Q283" s="1144">
        <f t="shared" si="278"/>
        <v>0.218</v>
      </c>
    </row>
    <row r="284" spans="1:20" ht="14.85" customHeight="1">
      <c r="B284" s="1203" t="s">
        <v>794</v>
      </c>
      <c r="C284" s="1144"/>
      <c r="D284" s="1144">
        <v>0.97760000000000002</v>
      </c>
      <c r="E284" s="1144">
        <f t="shared" si="273"/>
        <v>8.7983999999999996E-3</v>
      </c>
      <c r="F284" s="1144">
        <f t="shared" si="274"/>
        <v>68.432000000000002</v>
      </c>
      <c r="G284" s="1144">
        <f t="shared" si="275"/>
        <v>19.552</v>
      </c>
      <c r="L284" s="1203" t="s">
        <v>794</v>
      </c>
      <c r="M284" s="1144"/>
      <c r="N284" s="1144">
        <v>0.96150000000000002</v>
      </c>
      <c r="O284" s="1144">
        <f t="shared" si="276"/>
        <v>8.6534999999999997E-3</v>
      </c>
      <c r="P284" s="1144">
        <f t="shared" si="277"/>
        <v>67.305000000000007</v>
      </c>
      <c r="Q284" s="1144">
        <f t="shared" si="278"/>
        <v>19.23</v>
      </c>
    </row>
    <row r="285" spans="1:20" ht="14.85" customHeight="1">
      <c r="B285" s="1203" t="s">
        <v>795</v>
      </c>
      <c r="C285" s="1144"/>
      <c r="D285" s="1144">
        <v>4.02E-2</v>
      </c>
      <c r="E285" s="1144">
        <f t="shared" si="273"/>
        <v>3.6179999999999996E-4</v>
      </c>
      <c r="F285" s="1144">
        <f t="shared" si="274"/>
        <v>2.8140000000000001</v>
      </c>
      <c r="G285" s="1144">
        <f t="shared" si="275"/>
        <v>0.80400000000000005</v>
      </c>
      <c r="L285" s="1203" t="s">
        <v>795</v>
      </c>
      <c r="M285" s="1144"/>
      <c r="N285" s="1144">
        <v>1.1299999999999999E-2</v>
      </c>
      <c r="O285" s="1144">
        <f t="shared" si="276"/>
        <v>1.0169999999999999E-4</v>
      </c>
      <c r="P285" s="1144">
        <f t="shared" si="277"/>
        <v>0.79099999999999993</v>
      </c>
      <c r="Q285" s="1144">
        <f t="shared" si="278"/>
        <v>0.22599999999999998</v>
      </c>
    </row>
    <row r="286" spans="1:20" ht="14.85" customHeight="1">
      <c r="B286" s="1203" t="s">
        <v>796</v>
      </c>
      <c r="C286" s="1144"/>
      <c r="D286" s="1144">
        <v>0.99639999999999995</v>
      </c>
      <c r="E286" s="1144">
        <f t="shared" si="273"/>
        <v>8.9675999999999992E-3</v>
      </c>
      <c r="F286" s="1144">
        <f t="shared" si="274"/>
        <v>69.74799999999999</v>
      </c>
      <c r="G286" s="1144">
        <f t="shared" si="275"/>
        <v>19.927999999999997</v>
      </c>
      <c r="L286" s="1203" t="s">
        <v>796</v>
      </c>
      <c r="M286" s="1144"/>
      <c r="N286" s="1144">
        <v>0.95009999999999994</v>
      </c>
      <c r="O286" s="1144">
        <f t="shared" si="276"/>
        <v>8.5508999999999984E-3</v>
      </c>
      <c r="P286" s="1144">
        <f t="shared" si="277"/>
        <v>66.506999999999991</v>
      </c>
      <c r="Q286" s="1144">
        <f t="shared" si="278"/>
        <v>19.001999999999999</v>
      </c>
    </row>
    <row r="288" spans="1:20" ht="14.85" customHeight="1">
      <c r="B288" s="1169" t="s">
        <v>797</v>
      </c>
      <c r="L288" s="1169" t="s">
        <v>797</v>
      </c>
    </row>
    <row r="289" spans="2:17" ht="14.85" customHeight="1">
      <c r="B289" s="1203" t="s">
        <v>787</v>
      </c>
      <c r="C289" s="1147" t="s">
        <v>788</v>
      </c>
      <c r="D289" s="1147" t="s">
        <v>789</v>
      </c>
      <c r="E289" s="1147" t="s">
        <v>790</v>
      </c>
      <c r="F289" s="1147" t="s">
        <v>791</v>
      </c>
      <c r="G289" s="1147" t="s">
        <v>792</v>
      </c>
      <c r="L289" s="1203" t="s">
        <v>787</v>
      </c>
      <c r="M289" s="1147" t="s">
        <v>788</v>
      </c>
      <c r="N289" s="1147" t="s">
        <v>789</v>
      </c>
      <c r="O289" s="1147" t="s">
        <v>790</v>
      </c>
      <c r="P289" s="1147" t="s">
        <v>791</v>
      </c>
      <c r="Q289" s="1147" t="s">
        <v>792</v>
      </c>
    </row>
    <row r="290" spans="2:17" ht="14.85" customHeight="1">
      <c r="B290" s="1203" t="s">
        <v>793</v>
      </c>
      <c r="C290" s="1144">
        <v>7.0000000000000001E-3</v>
      </c>
      <c r="D290" s="1144">
        <v>0</v>
      </c>
      <c r="E290" s="1144">
        <f t="shared" ref="E290:E295" si="279">$C$290*D290</f>
        <v>0</v>
      </c>
      <c r="F290" s="1144">
        <f t="shared" ref="F290:F295" si="280">$C$282*D290</f>
        <v>0</v>
      </c>
      <c r="G290" s="1144">
        <f t="shared" ref="G290:G295" si="281">$C$283*D290</f>
        <v>0</v>
      </c>
      <c r="L290" s="1203" t="s">
        <v>793</v>
      </c>
      <c r="M290" s="1144">
        <v>7.0000000000000001E-3</v>
      </c>
      <c r="N290" s="1144">
        <v>0</v>
      </c>
      <c r="O290" s="1144">
        <f t="shared" ref="O290:O295" si="282">$C$290*N290</f>
        <v>0</v>
      </c>
      <c r="P290" s="1144">
        <f t="shared" ref="P290:P295" si="283">$C$282*N290</f>
        <v>0</v>
      </c>
      <c r="Q290" s="1144">
        <f t="shared" ref="Q290:Q295" si="284">$C$283*N290</f>
        <v>0</v>
      </c>
    </row>
    <row r="291" spans="2:17" ht="14.85" customHeight="1">
      <c r="B291" s="1203" t="s">
        <v>794</v>
      </c>
      <c r="C291" s="1144">
        <v>70</v>
      </c>
      <c r="D291" s="1144">
        <v>0.7571</v>
      </c>
      <c r="E291" s="1144">
        <f t="shared" si="279"/>
        <v>5.2997000000000001E-3</v>
      </c>
      <c r="F291" s="1144">
        <f t="shared" si="280"/>
        <v>52.997</v>
      </c>
      <c r="G291" s="1144">
        <f t="shared" si="281"/>
        <v>15.141999999999999</v>
      </c>
      <c r="L291" s="1203" t="s">
        <v>794</v>
      </c>
      <c r="M291" s="1144">
        <v>70</v>
      </c>
      <c r="N291" s="1144">
        <v>0.73929999999999996</v>
      </c>
      <c r="O291" s="1144">
        <f t="shared" si="282"/>
        <v>5.1751000000000002E-3</v>
      </c>
      <c r="P291" s="1144">
        <f t="shared" si="283"/>
        <v>51.750999999999998</v>
      </c>
      <c r="Q291" s="1144">
        <f t="shared" si="284"/>
        <v>14.786</v>
      </c>
    </row>
    <row r="292" spans="2:17" ht="14.85" customHeight="1">
      <c r="B292" s="1203" t="s">
        <v>795</v>
      </c>
      <c r="C292" s="1144">
        <v>20</v>
      </c>
      <c r="D292" s="1144">
        <v>8.6E-3</v>
      </c>
      <c r="E292" s="1144">
        <f t="shared" si="279"/>
        <v>6.02E-5</v>
      </c>
      <c r="F292" s="1144">
        <f t="shared" si="280"/>
        <v>0.60199999999999998</v>
      </c>
      <c r="G292" s="1144">
        <f t="shared" si="281"/>
        <v>0.17199999999999999</v>
      </c>
      <c r="L292" s="1203" t="s">
        <v>795</v>
      </c>
      <c r="M292" s="1144">
        <v>20</v>
      </c>
      <c r="N292" s="1144">
        <v>3.5000000000000001E-3</v>
      </c>
      <c r="O292" s="1144">
        <f t="shared" si="282"/>
        <v>2.4500000000000003E-5</v>
      </c>
      <c r="P292" s="1144">
        <f t="shared" si="283"/>
        <v>0.245</v>
      </c>
      <c r="Q292" s="1144">
        <f t="shared" si="284"/>
        <v>7.0000000000000007E-2</v>
      </c>
    </row>
    <row r="293" spans="2:17" ht="14.85" customHeight="1">
      <c r="B293" s="1203" t="s">
        <v>794</v>
      </c>
      <c r="C293" s="1144"/>
      <c r="D293" s="1144">
        <v>0.78259999999999996</v>
      </c>
      <c r="E293" s="1144">
        <f t="shared" si="279"/>
        <v>5.4781999999999999E-3</v>
      </c>
      <c r="F293" s="1144">
        <f t="shared" si="280"/>
        <v>54.781999999999996</v>
      </c>
      <c r="G293" s="1144">
        <f t="shared" si="281"/>
        <v>15.651999999999999</v>
      </c>
      <c r="L293" s="1203" t="s">
        <v>794</v>
      </c>
      <c r="M293" s="1144"/>
      <c r="N293" s="1144">
        <v>0.76419999999999999</v>
      </c>
      <c r="O293" s="1144">
        <f t="shared" si="282"/>
        <v>5.3493999999999998E-3</v>
      </c>
      <c r="P293" s="1144">
        <f t="shared" si="283"/>
        <v>53.494</v>
      </c>
      <c r="Q293" s="1144">
        <f t="shared" si="284"/>
        <v>15.283999999999999</v>
      </c>
    </row>
    <row r="294" spans="2:17" ht="14.85" customHeight="1">
      <c r="B294" s="1203" t="s">
        <v>795</v>
      </c>
      <c r="C294" s="1144"/>
      <c r="D294" s="1144">
        <v>8.8000000000000005E-3</v>
      </c>
      <c r="E294" s="1144">
        <f t="shared" si="279"/>
        <v>6.1600000000000007E-5</v>
      </c>
      <c r="F294" s="1144">
        <f t="shared" si="280"/>
        <v>0.61599999999999999</v>
      </c>
      <c r="G294" s="1144">
        <f t="shared" si="281"/>
        <v>0.17600000000000002</v>
      </c>
      <c r="L294" s="1203" t="s">
        <v>795</v>
      </c>
      <c r="M294" s="1144"/>
      <c r="N294" s="1144">
        <v>3.5999999999999999E-3</v>
      </c>
      <c r="O294" s="1144">
        <f t="shared" si="282"/>
        <v>2.5199999999999999E-5</v>
      </c>
      <c r="P294" s="1144">
        <f t="shared" si="283"/>
        <v>0.252</v>
      </c>
      <c r="Q294" s="1144">
        <f t="shared" si="284"/>
        <v>7.1999999999999995E-2</v>
      </c>
    </row>
    <row r="295" spans="2:17" ht="14.85" customHeight="1">
      <c r="B295" s="1203" t="s">
        <v>796</v>
      </c>
      <c r="C295" s="1144"/>
      <c r="D295" s="1144">
        <v>0.79410000000000003</v>
      </c>
      <c r="E295" s="1144">
        <f t="shared" si="279"/>
        <v>5.5587000000000006E-3</v>
      </c>
      <c r="F295" s="1144">
        <f t="shared" si="280"/>
        <v>55.587000000000003</v>
      </c>
      <c r="G295" s="1144">
        <f t="shared" si="281"/>
        <v>15.882000000000001</v>
      </c>
      <c r="L295" s="1203" t="s">
        <v>796</v>
      </c>
      <c r="M295" s="1144"/>
      <c r="N295" s="1144">
        <v>0.75719999999999998</v>
      </c>
      <c r="O295" s="1144">
        <f t="shared" si="282"/>
        <v>5.3004000000000003E-3</v>
      </c>
      <c r="P295" s="1144">
        <f t="shared" si="283"/>
        <v>53.003999999999998</v>
      </c>
      <c r="Q295" s="1144">
        <f t="shared" si="284"/>
        <v>15.144</v>
      </c>
    </row>
    <row r="297" spans="2:17" ht="14.85" customHeight="1">
      <c r="B297" s="1169" t="s">
        <v>798</v>
      </c>
      <c r="L297" s="1169" t="s">
        <v>798</v>
      </c>
    </row>
    <row r="298" spans="2:17" ht="14.85" customHeight="1">
      <c r="B298" s="1203" t="s">
        <v>787</v>
      </c>
      <c r="C298" s="1147" t="s">
        <v>788</v>
      </c>
      <c r="D298" s="1147" t="s">
        <v>789</v>
      </c>
      <c r="E298" s="1147" t="s">
        <v>790</v>
      </c>
      <c r="F298" s="1147" t="s">
        <v>791</v>
      </c>
      <c r="G298" s="1147" t="s">
        <v>792</v>
      </c>
      <c r="L298" s="1203" t="s">
        <v>787</v>
      </c>
      <c r="M298" s="1147" t="s">
        <v>788</v>
      </c>
      <c r="N298" s="1147" t="s">
        <v>789</v>
      </c>
      <c r="O298" s="1147" t="s">
        <v>790</v>
      </c>
      <c r="P298" s="1147" t="s">
        <v>791</v>
      </c>
      <c r="Q298" s="1147" t="s">
        <v>792</v>
      </c>
    </row>
    <row r="299" spans="2:17" ht="14.85" customHeight="1">
      <c r="B299" s="1203" t="s">
        <v>793</v>
      </c>
      <c r="C299" s="1144">
        <v>7.0000000000000001E-3</v>
      </c>
      <c r="D299" s="1144">
        <v>0</v>
      </c>
      <c r="E299" s="1144">
        <f t="shared" ref="E299:E304" si="285">$C$299*D299</f>
        <v>0</v>
      </c>
      <c r="F299" s="1144">
        <f t="shared" ref="F299:F304" si="286">$C$282*D299</f>
        <v>0</v>
      </c>
      <c r="G299" s="1144">
        <f t="shared" ref="G299:G304" si="287">$C$283*D299</f>
        <v>0</v>
      </c>
      <c r="L299" s="1203" t="s">
        <v>793</v>
      </c>
      <c r="M299" s="1144">
        <v>7.0000000000000001E-3</v>
      </c>
      <c r="N299" s="1144">
        <v>0</v>
      </c>
      <c r="O299" s="1144">
        <f t="shared" ref="O299:O304" si="288">$C$299*N299</f>
        <v>0</v>
      </c>
      <c r="P299" s="1144">
        <f t="shared" ref="P299:P304" si="289">$C$282*N299</f>
        <v>0</v>
      </c>
      <c r="Q299" s="1144">
        <f t="shared" ref="Q299:Q304" si="290">$C$283*N299</f>
        <v>0</v>
      </c>
    </row>
    <row r="300" spans="2:17" ht="14.85" customHeight="1">
      <c r="B300" s="1203" t="s">
        <v>794</v>
      </c>
      <c r="C300" s="1144">
        <v>70</v>
      </c>
      <c r="D300" s="1144">
        <v>0.61329999999999996</v>
      </c>
      <c r="E300" s="1144">
        <f t="shared" si="285"/>
        <v>4.2931000000000002E-3</v>
      </c>
      <c r="F300" s="1144">
        <f t="shared" si="286"/>
        <v>42.930999999999997</v>
      </c>
      <c r="G300" s="1144">
        <f t="shared" si="287"/>
        <v>12.265999999999998</v>
      </c>
      <c r="L300" s="1203" t="s">
        <v>794</v>
      </c>
      <c r="M300" s="1144">
        <v>70</v>
      </c>
      <c r="N300" s="1144">
        <v>0.61609999999999998</v>
      </c>
      <c r="O300" s="1144">
        <f t="shared" si="288"/>
        <v>4.3127E-3</v>
      </c>
      <c r="P300" s="1144">
        <f t="shared" si="289"/>
        <v>43.126999999999995</v>
      </c>
      <c r="Q300" s="1144">
        <f t="shared" si="290"/>
        <v>12.321999999999999</v>
      </c>
    </row>
    <row r="301" spans="2:17" ht="14.85" customHeight="1">
      <c r="B301" s="1203" t="s">
        <v>795</v>
      </c>
      <c r="C301" s="1144">
        <v>20</v>
      </c>
      <c r="D301" s="1144">
        <v>2.0299999999999999E-2</v>
      </c>
      <c r="E301" s="1144">
        <f t="shared" si="285"/>
        <v>1.4209999999999998E-4</v>
      </c>
      <c r="F301" s="1144">
        <f t="shared" si="286"/>
        <v>1.4209999999999998</v>
      </c>
      <c r="G301" s="1144">
        <f t="shared" si="287"/>
        <v>0.40599999999999997</v>
      </c>
      <c r="L301" s="1203" t="s">
        <v>795</v>
      </c>
      <c r="M301" s="1144">
        <v>20</v>
      </c>
      <c r="N301" s="1144">
        <v>2.8999999999999998E-3</v>
      </c>
      <c r="O301" s="1144">
        <f t="shared" si="288"/>
        <v>2.0299999999999999E-5</v>
      </c>
      <c r="P301" s="1144">
        <f t="shared" si="289"/>
        <v>0.20299999999999999</v>
      </c>
      <c r="Q301" s="1144">
        <f t="shared" si="290"/>
        <v>5.7999999999999996E-2</v>
      </c>
    </row>
    <row r="302" spans="2:17" ht="14.85" customHeight="1">
      <c r="B302" s="1203" t="s">
        <v>794</v>
      </c>
      <c r="C302" s="1144"/>
      <c r="D302" s="1144">
        <v>0.64739999999999998</v>
      </c>
      <c r="E302" s="1144">
        <f t="shared" si="285"/>
        <v>4.5317999999999999E-3</v>
      </c>
      <c r="F302" s="1144">
        <f t="shared" si="286"/>
        <v>45.317999999999998</v>
      </c>
      <c r="G302" s="1144">
        <f t="shared" si="287"/>
        <v>12.948</v>
      </c>
      <c r="L302" s="1203" t="s">
        <v>794</v>
      </c>
      <c r="M302" s="1144"/>
      <c r="N302" s="1144">
        <v>0.63800000000000001</v>
      </c>
      <c r="O302" s="1144">
        <f t="shared" si="288"/>
        <v>4.4660000000000004E-3</v>
      </c>
      <c r="P302" s="1144">
        <f t="shared" si="289"/>
        <v>44.660000000000004</v>
      </c>
      <c r="Q302" s="1144">
        <f t="shared" si="290"/>
        <v>12.76</v>
      </c>
    </row>
    <row r="303" spans="2:17" ht="14.85" customHeight="1">
      <c r="B303" s="1203" t="s">
        <v>795</v>
      </c>
      <c r="C303" s="1144"/>
      <c r="D303" s="1144">
        <v>2.1499999999999998E-2</v>
      </c>
      <c r="E303" s="1144">
        <f t="shared" si="285"/>
        <v>1.505E-4</v>
      </c>
      <c r="F303" s="1144">
        <f t="shared" si="286"/>
        <v>1.5049999999999999</v>
      </c>
      <c r="G303" s="1144">
        <f t="shared" si="287"/>
        <v>0.42999999999999994</v>
      </c>
      <c r="L303" s="1203" t="s">
        <v>795</v>
      </c>
      <c r="M303" s="1144"/>
      <c r="N303" s="1144">
        <v>3.0000000000000001E-3</v>
      </c>
      <c r="O303" s="1144">
        <f t="shared" si="288"/>
        <v>2.1000000000000002E-5</v>
      </c>
      <c r="P303" s="1144">
        <f t="shared" si="289"/>
        <v>0.21</v>
      </c>
      <c r="Q303" s="1144">
        <f t="shared" si="290"/>
        <v>0.06</v>
      </c>
    </row>
    <row r="304" spans="2:17" ht="14.85" customHeight="1">
      <c r="B304" s="1203" t="s">
        <v>796</v>
      </c>
      <c r="C304" s="1144"/>
      <c r="D304" s="1144">
        <v>0.65959999999999996</v>
      </c>
      <c r="E304" s="1144">
        <f t="shared" si="285"/>
        <v>4.6172000000000001E-3</v>
      </c>
      <c r="F304" s="1144">
        <f t="shared" si="286"/>
        <v>46.171999999999997</v>
      </c>
      <c r="G304" s="1144">
        <f t="shared" si="287"/>
        <v>13.192</v>
      </c>
      <c r="L304" s="1203" t="s">
        <v>796</v>
      </c>
      <c r="M304" s="1144"/>
      <c r="N304" s="1144">
        <v>0.63100000000000001</v>
      </c>
      <c r="O304" s="1144">
        <f t="shared" si="288"/>
        <v>4.4169999999999999E-3</v>
      </c>
      <c r="P304" s="1144">
        <f t="shared" si="289"/>
        <v>44.17</v>
      </c>
      <c r="Q304" s="1144">
        <f t="shared" si="290"/>
        <v>12.620000000000001</v>
      </c>
    </row>
    <row r="306" spans="2:17" ht="14.85" customHeight="1">
      <c r="B306" s="1169" t="s">
        <v>799</v>
      </c>
      <c r="L306" s="1169" t="s">
        <v>799</v>
      </c>
    </row>
    <row r="307" spans="2:17" ht="14.85" customHeight="1">
      <c r="B307" s="1203" t="s">
        <v>787</v>
      </c>
      <c r="C307" s="1147" t="s">
        <v>788</v>
      </c>
      <c r="D307" s="1147" t="s">
        <v>789</v>
      </c>
      <c r="E307" s="1147" t="s">
        <v>790</v>
      </c>
      <c r="F307" s="1147" t="s">
        <v>791</v>
      </c>
      <c r="G307" s="1147" t="s">
        <v>792</v>
      </c>
      <c r="L307" s="1203" t="s">
        <v>787</v>
      </c>
      <c r="M307" s="1147" t="s">
        <v>788</v>
      </c>
      <c r="N307" s="1147" t="s">
        <v>789</v>
      </c>
      <c r="O307" s="1147" t="s">
        <v>790</v>
      </c>
      <c r="P307" s="1147" t="s">
        <v>791</v>
      </c>
      <c r="Q307" s="1147" t="s">
        <v>792</v>
      </c>
    </row>
    <row r="308" spans="2:17" ht="14.85" customHeight="1">
      <c r="B308" s="1203" t="s">
        <v>793</v>
      </c>
      <c r="C308" s="1144">
        <v>7.0000000000000001E-3</v>
      </c>
      <c r="D308" s="1144">
        <v>0</v>
      </c>
      <c r="E308" s="1144">
        <f t="shared" ref="E308:E313" si="291">$C$308*D308</f>
        <v>0</v>
      </c>
      <c r="F308" s="1144">
        <f t="shared" ref="F308:F313" si="292">$C$282*D308</f>
        <v>0</v>
      </c>
      <c r="G308" s="1144">
        <f t="shared" ref="G308:G313" si="293">$C$283*D308</f>
        <v>0</v>
      </c>
      <c r="L308" s="1203" t="s">
        <v>793</v>
      </c>
      <c r="M308" s="1144">
        <v>7.0000000000000001E-3</v>
      </c>
      <c r="N308" s="1144">
        <v>0</v>
      </c>
      <c r="O308" s="1144">
        <f t="shared" ref="O308:O313" si="294">$C$308*N308</f>
        <v>0</v>
      </c>
      <c r="P308" s="1144">
        <f t="shared" ref="P308:P313" si="295">$C$282*N308</f>
        <v>0</v>
      </c>
      <c r="Q308" s="1144">
        <f t="shared" ref="Q308:Q313" si="296">$C$283*N308</f>
        <v>0</v>
      </c>
    </row>
    <row r="309" spans="2:17" ht="14.85" customHeight="1">
      <c r="B309" s="1203" t="s">
        <v>794</v>
      </c>
      <c r="C309" s="1144">
        <v>70</v>
      </c>
      <c r="D309" s="1144">
        <v>0.496</v>
      </c>
      <c r="E309" s="1144">
        <f t="shared" si="291"/>
        <v>3.4720000000000003E-3</v>
      </c>
      <c r="F309" s="1144">
        <f t="shared" si="292"/>
        <v>34.72</v>
      </c>
      <c r="G309" s="1144">
        <f t="shared" si="293"/>
        <v>9.92</v>
      </c>
      <c r="L309" s="1203" t="s">
        <v>794</v>
      </c>
      <c r="M309" s="1144">
        <v>70</v>
      </c>
      <c r="N309" s="1144">
        <v>0.5484</v>
      </c>
      <c r="O309" s="1144">
        <f t="shared" si="294"/>
        <v>3.8388000000000003E-3</v>
      </c>
      <c r="P309" s="1144">
        <f t="shared" si="295"/>
        <v>38.387999999999998</v>
      </c>
      <c r="Q309" s="1144">
        <f t="shared" si="296"/>
        <v>10.968</v>
      </c>
    </row>
    <row r="310" spans="2:17" ht="14.85" customHeight="1">
      <c r="B310" s="1203" t="s">
        <v>795</v>
      </c>
      <c r="C310" s="1144">
        <v>20</v>
      </c>
      <c r="D310" s="1144">
        <v>0.26450000000000001</v>
      </c>
      <c r="E310" s="1144">
        <f t="shared" si="291"/>
        <v>1.8515000000000001E-3</v>
      </c>
      <c r="F310" s="1144">
        <f t="shared" si="292"/>
        <v>18.515000000000001</v>
      </c>
      <c r="G310" s="1144">
        <f t="shared" si="293"/>
        <v>5.29</v>
      </c>
      <c r="L310" s="1203" t="s">
        <v>795</v>
      </c>
      <c r="M310" s="1144">
        <v>20</v>
      </c>
      <c r="N310" s="1144">
        <v>0.28299999999999997</v>
      </c>
      <c r="O310" s="1144">
        <f t="shared" si="294"/>
        <v>1.9809999999999997E-3</v>
      </c>
      <c r="P310" s="1144">
        <f t="shared" si="295"/>
        <v>19.809999999999999</v>
      </c>
      <c r="Q310" s="1144">
        <f t="shared" si="296"/>
        <v>5.6599999999999993</v>
      </c>
    </row>
    <row r="311" spans="2:17" ht="14.85" customHeight="1">
      <c r="B311" s="1203" t="s">
        <v>794</v>
      </c>
      <c r="C311" s="1144"/>
      <c r="D311" s="1144">
        <v>0.76849999999999996</v>
      </c>
      <c r="E311" s="1144">
        <f t="shared" si="291"/>
        <v>5.3794999999999997E-3</v>
      </c>
      <c r="F311" s="1144">
        <f t="shared" si="292"/>
        <v>53.794999999999995</v>
      </c>
      <c r="G311" s="1144">
        <f t="shared" si="293"/>
        <v>15.37</v>
      </c>
      <c r="L311" s="1203" t="s">
        <v>794</v>
      </c>
      <c r="M311" s="1144"/>
      <c r="N311" s="1144">
        <v>0.84750000000000003</v>
      </c>
      <c r="O311" s="1144">
        <f t="shared" si="294"/>
        <v>5.9325000000000003E-3</v>
      </c>
      <c r="P311" s="1144">
        <f t="shared" si="295"/>
        <v>59.325000000000003</v>
      </c>
      <c r="Q311" s="1144">
        <f t="shared" si="296"/>
        <v>16.95</v>
      </c>
    </row>
    <row r="312" spans="2:17" ht="14.85" customHeight="1">
      <c r="B312" s="1203" t="s">
        <v>795</v>
      </c>
      <c r="C312" s="1144"/>
      <c r="D312" s="1144">
        <v>0.40989999999999999</v>
      </c>
      <c r="E312" s="1144">
        <f t="shared" si="291"/>
        <v>2.8693E-3</v>
      </c>
      <c r="F312" s="1144">
        <f t="shared" si="292"/>
        <v>28.692999999999998</v>
      </c>
      <c r="G312" s="1144">
        <f t="shared" si="293"/>
        <v>8.1980000000000004</v>
      </c>
      <c r="L312" s="1203" t="s">
        <v>795</v>
      </c>
      <c r="M312" s="1144"/>
      <c r="N312" s="1144">
        <v>0.43740000000000001</v>
      </c>
      <c r="O312" s="1144">
        <f t="shared" si="294"/>
        <v>3.0617999999999999E-3</v>
      </c>
      <c r="P312" s="1144">
        <f t="shared" si="295"/>
        <v>30.618000000000002</v>
      </c>
      <c r="Q312" s="1144">
        <f t="shared" si="296"/>
        <v>8.7480000000000011</v>
      </c>
    </row>
    <row r="313" spans="2:17" ht="14.85" customHeight="1">
      <c r="B313" s="1203" t="s">
        <v>796</v>
      </c>
      <c r="C313" s="1144"/>
      <c r="D313" s="1144">
        <v>0.92190000000000005</v>
      </c>
      <c r="E313" s="1144">
        <f t="shared" si="291"/>
        <v>6.4533000000000004E-3</v>
      </c>
      <c r="F313" s="1144">
        <f t="shared" si="292"/>
        <v>64.533000000000001</v>
      </c>
      <c r="G313" s="1144">
        <f t="shared" si="293"/>
        <v>18.438000000000002</v>
      </c>
      <c r="L313" s="1203" t="s">
        <v>796</v>
      </c>
      <c r="M313" s="1144"/>
      <c r="N313" s="1144">
        <v>0.99729999999999996</v>
      </c>
      <c r="O313" s="1144">
        <f t="shared" si="294"/>
        <v>6.9810999999999996E-3</v>
      </c>
      <c r="P313" s="1144">
        <f t="shared" si="295"/>
        <v>69.810999999999993</v>
      </c>
      <c r="Q313" s="1144">
        <f t="shared" si="296"/>
        <v>19.945999999999998</v>
      </c>
    </row>
    <row r="315" spans="2:17" ht="14.85" customHeight="1">
      <c r="B315" s="1169" t="s">
        <v>800</v>
      </c>
      <c r="C315" s="953" t="s">
        <v>801</v>
      </c>
      <c r="L315" s="1169" t="s">
        <v>800</v>
      </c>
      <c r="M315" s="953" t="s">
        <v>802</v>
      </c>
    </row>
    <row r="316" spans="2:17" ht="14.85" customHeight="1">
      <c r="B316" s="1203" t="s">
        <v>787</v>
      </c>
      <c r="C316" s="1147" t="s">
        <v>788</v>
      </c>
      <c r="D316" s="1147" t="s">
        <v>789</v>
      </c>
      <c r="E316" s="1147" t="s">
        <v>790</v>
      </c>
      <c r="F316" s="1147" t="s">
        <v>791</v>
      </c>
      <c r="G316" s="1147" t="s">
        <v>792</v>
      </c>
      <c r="L316" s="1203" t="s">
        <v>787</v>
      </c>
      <c r="M316" s="1147" t="s">
        <v>788</v>
      </c>
      <c r="N316" s="1147" t="s">
        <v>789</v>
      </c>
      <c r="O316" s="1147" t="s">
        <v>790</v>
      </c>
      <c r="P316" s="1147" t="s">
        <v>791</v>
      </c>
      <c r="Q316" s="1147" t="s">
        <v>792</v>
      </c>
    </row>
    <row r="317" spans="2:17" ht="14.85" customHeight="1">
      <c r="B317" s="1203" t="s">
        <v>793</v>
      </c>
      <c r="C317" s="1144">
        <v>5.0000000000000001E-3</v>
      </c>
      <c r="D317" s="1144"/>
      <c r="E317" s="1144">
        <f t="shared" ref="E317:E322" si="297">$C$281*D317</f>
        <v>0</v>
      </c>
      <c r="F317" s="1144">
        <f t="shared" ref="F317:F322" si="298">$C$282*D317</f>
        <v>0</v>
      </c>
      <c r="G317" s="1144">
        <f t="shared" ref="G317:G322" si="299">$C$283*D317</f>
        <v>0</v>
      </c>
      <c r="L317" s="1203" t="s">
        <v>793</v>
      </c>
      <c r="M317" s="1144">
        <v>5.0000000000000001E-3</v>
      </c>
      <c r="N317" s="1144">
        <v>0</v>
      </c>
      <c r="O317" s="1144">
        <f t="shared" ref="O317:O322" si="300">$C$317*N317</f>
        <v>0</v>
      </c>
      <c r="P317" s="1144">
        <f t="shared" ref="P317:P322" si="301">$C$282*N317</f>
        <v>0</v>
      </c>
      <c r="Q317" s="1144">
        <f t="shared" ref="Q317:Q322" si="302">$C$283*N317</f>
        <v>0</v>
      </c>
    </row>
    <row r="318" spans="2:17" ht="14.85" customHeight="1">
      <c r="B318" s="1203" t="s">
        <v>794</v>
      </c>
      <c r="C318" s="1144">
        <v>70</v>
      </c>
      <c r="D318" s="1144"/>
      <c r="E318" s="1144">
        <f t="shared" si="297"/>
        <v>0</v>
      </c>
      <c r="F318" s="1144">
        <f t="shared" si="298"/>
        <v>0</v>
      </c>
      <c r="G318" s="1144">
        <f t="shared" si="299"/>
        <v>0</v>
      </c>
      <c r="L318" s="1203" t="s">
        <v>794</v>
      </c>
      <c r="M318" s="1144">
        <v>70</v>
      </c>
      <c r="N318" s="1144">
        <v>0.68579999999999997</v>
      </c>
      <c r="O318" s="1144">
        <f t="shared" si="300"/>
        <v>3.4289999999999998E-3</v>
      </c>
      <c r="P318" s="1144">
        <f t="shared" si="301"/>
        <v>48.006</v>
      </c>
      <c r="Q318" s="1144">
        <f t="shared" si="302"/>
        <v>13.715999999999999</v>
      </c>
    </row>
    <row r="319" spans="2:17" ht="14.85" customHeight="1">
      <c r="B319" s="1203" t="s">
        <v>795</v>
      </c>
      <c r="C319" s="1144">
        <v>20</v>
      </c>
      <c r="D319" s="1144"/>
      <c r="E319" s="1144">
        <f t="shared" si="297"/>
        <v>0</v>
      </c>
      <c r="F319" s="1144">
        <f t="shared" si="298"/>
        <v>0</v>
      </c>
      <c r="G319" s="1144">
        <f t="shared" si="299"/>
        <v>0</v>
      </c>
      <c r="L319" s="1203" t="s">
        <v>795</v>
      </c>
      <c r="M319" s="1144">
        <v>20</v>
      </c>
      <c r="N319" s="1144">
        <v>0.1166</v>
      </c>
      <c r="O319" s="1144">
        <f t="shared" si="300"/>
        <v>5.8299999999999997E-4</v>
      </c>
      <c r="P319" s="1144">
        <f t="shared" si="301"/>
        <v>8.161999999999999</v>
      </c>
      <c r="Q319" s="1144">
        <f t="shared" si="302"/>
        <v>2.3319999999999999</v>
      </c>
    </row>
    <row r="320" spans="2:17" ht="14.85" customHeight="1">
      <c r="B320" s="1203" t="s">
        <v>794</v>
      </c>
      <c r="C320" s="1144"/>
      <c r="D320" s="1144"/>
      <c r="E320" s="1144">
        <f t="shared" si="297"/>
        <v>0</v>
      </c>
      <c r="F320" s="1144">
        <f t="shared" si="298"/>
        <v>0</v>
      </c>
      <c r="G320" s="1144">
        <f t="shared" si="299"/>
        <v>0</v>
      </c>
      <c r="L320" s="1203" t="s">
        <v>794</v>
      </c>
      <c r="M320" s="1144"/>
      <c r="N320" s="1144">
        <v>0.82410000000000005</v>
      </c>
      <c r="O320" s="1144">
        <f t="shared" si="300"/>
        <v>4.1205E-3</v>
      </c>
      <c r="P320" s="1144">
        <f t="shared" si="301"/>
        <v>57.687000000000005</v>
      </c>
      <c r="Q320" s="1144">
        <f t="shared" si="302"/>
        <v>16.481999999999999</v>
      </c>
    </row>
    <row r="321" spans="2:17" ht="14.85" customHeight="1">
      <c r="B321" s="1203" t="s">
        <v>795</v>
      </c>
      <c r="C321" s="1144"/>
      <c r="D321" s="1144"/>
      <c r="E321" s="1144">
        <f t="shared" si="297"/>
        <v>0</v>
      </c>
      <c r="F321" s="1144">
        <f t="shared" si="298"/>
        <v>0</v>
      </c>
      <c r="G321" s="1144">
        <f t="shared" si="299"/>
        <v>0</v>
      </c>
      <c r="L321" s="1203" t="s">
        <v>795</v>
      </c>
      <c r="M321" s="1144"/>
      <c r="N321" s="1144">
        <v>0.1401</v>
      </c>
      <c r="O321" s="1144">
        <f t="shared" si="300"/>
        <v>7.0050000000000006E-4</v>
      </c>
      <c r="P321" s="1144">
        <f t="shared" si="301"/>
        <v>9.8070000000000004</v>
      </c>
      <c r="Q321" s="1144">
        <f t="shared" si="302"/>
        <v>2.802</v>
      </c>
    </row>
    <row r="322" spans="2:17" ht="14.85" customHeight="1">
      <c r="B322" s="1203" t="s">
        <v>796</v>
      </c>
      <c r="C322" s="1144"/>
      <c r="D322" s="1144"/>
      <c r="E322" s="1144">
        <f t="shared" si="297"/>
        <v>0</v>
      </c>
      <c r="F322" s="1144">
        <f t="shared" si="298"/>
        <v>0</v>
      </c>
      <c r="G322" s="1144">
        <f t="shared" si="299"/>
        <v>0</v>
      </c>
      <c r="L322" s="1203" t="s">
        <v>796</v>
      </c>
      <c r="M322" s="1144"/>
      <c r="N322" s="1144">
        <v>0.8397</v>
      </c>
      <c r="O322" s="1144">
        <f t="shared" si="300"/>
        <v>4.1985E-3</v>
      </c>
      <c r="P322" s="1144">
        <f t="shared" si="301"/>
        <v>58.779000000000003</v>
      </c>
      <c r="Q322" s="1144">
        <f t="shared" si="302"/>
        <v>16.794</v>
      </c>
    </row>
    <row r="324" spans="2:17" ht="14.85" customHeight="1">
      <c r="B324" s="1169" t="s">
        <v>803</v>
      </c>
      <c r="C324" s="953" t="s">
        <v>804</v>
      </c>
      <c r="L324" s="1169" t="s">
        <v>803</v>
      </c>
      <c r="M324" s="953" t="s">
        <v>802</v>
      </c>
    </row>
    <row r="325" spans="2:17" ht="14.85" customHeight="1">
      <c r="B325" s="1203" t="s">
        <v>787</v>
      </c>
      <c r="C325" s="1147" t="s">
        <v>788</v>
      </c>
      <c r="D325" s="1147" t="s">
        <v>789</v>
      </c>
      <c r="E325" s="1147" t="s">
        <v>790</v>
      </c>
      <c r="F325" s="1147" t="s">
        <v>791</v>
      </c>
      <c r="G325" s="1147" t="s">
        <v>792</v>
      </c>
      <c r="L325" s="1203" t="s">
        <v>787</v>
      </c>
      <c r="M325" s="1147" t="s">
        <v>788</v>
      </c>
      <c r="N325" s="1147" t="s">
        <v>789</v>
      </c>
      <c r="O325" s="1147" t="s">
        <v>790</v>
      </c>
      <c r="P325" s="1147" t="s">
        <v>791</v>
      </c>
      <c r="Q325" s="1147" t="s">
        <v>792</v>
      </c>
    </row>
    <row r="326" spans="2:17" ht="14.85" customHeight="1">
      <c r="B326" s="1203" t="s">
        <v>793</v>
      </c>
      <c r="C326" s="1144">
        <v>5.0000000000000001E-3</v>
      </c>
      <c r="D326" s="1144"/>
      <c r="E326" s="1144">
        <f t="shared" ref="E326:E331" si="303">$C$281*D326</f>
        <v>0</v>
      </c>
      <c r="F326" s="1144">
        <f t="shared" ref="F326:F331" si="304">$C$282*D326</f>
        <v>0</v>
      </c>
      <c r="G326" s="1144">
        <f t="shared" ref="G326:G331" si="305">$C$283*D326</f>
        <v>0</v>
      </c>
      <c r="L326" s="1203" t="s">
        <v>793</v>
      </c>
      <c r="M326" s="1144">
        <v>5.0000000000000001E-3</v>
      </c>
      <c r="N326" s="1144">
        <v>0</v>
      </c>
      <c r="O326" s="1144">
        <f t="shared" ref="O326:O331" si="306">$C$326*N326</f>
        <v>0</v>
      </c>
      <c r="P326" s="1144">
        <f t="shared" ref="P326:P331" si="307">$C$282*N326</f>
        <v>0</v>
      </c>
      <c r="Q326" s="1144">
        <f t="shared" ref="Q326:Q331" si="308">$C$283*N326</f>
        <v>0</v>
      </c>
    </row>
    <row r="327" spans="2:17" ht="14.85" customHeight="1">
      <c r="B327" s="1203" t="s">
        <v>794</v>
      </c>
      <c r="C327" s="1144">
        <v>70</v>
      </c>
      <c r="D327" s="1144"/>
      <c r="E327" s="1144">
        <f t="shared" si="303"/>
        <v>0</v>
      </c>
      <c r="F327" s="1144">
        <f t="shared" si="304"/>
        <v>0</v>
      </c>
      <c r="G327" s="1144">
        <f t="shared" si="305"/>
        <v>0</v>
      </c>
      <c r="L327" s="1203" t="s">
        <v>794</v>
      </c>
      <c r="M327" s="1144">
        <v>70</v>
      </c>
      <c r="N327" s="1144">
        <v>0.53910000000000002</v>
      </c>
      <c r="O327" s="1144">
        <f t="shared" si="306"/>
        <v>2.6955E-3</v>
      </c>
      <c r="P327" s="1144">
        <f t="shared" si="307"/>
        <v>37.737000000000002</v>
      </c>
      <c r="Q327" s="1144">
        <f t="shared" si="308"/>
        <v>10.782</v>
      </c>
    </row>
    <row r="328" spans="2:17" ht="14.85" customHeight="1">
      <c r="B328" s="1203" t="s">
        <v>795</v>
      </c>
      <c r="C328" s="1144">
        <v>20</v>
      </c>
      <c r="D328" s="1144"/>
      <c r="E328" s="1144">
        <f t="shared" si="303"/>
        <v>0</v>
      </c>
      <c r="F328" s="1144">
        <f t="shared" si="304"/>
        <v>0</v>
      </c>
      <c r="G328" s="1144">
        <f t="shared" si="305"/>
        <v>0</v>
      </c>
      <c r="L328" s="1203" t="s">
        <v>795</v>
      </c>
      <c r="M328" s="1144">
        <v>20</v>
      </c>
      <c r="N328" s="1144">
        <v>0.13619999999999999</v>
      </c>
      <c r="O328" s="1144">
        <f t="shared" si="306"/>
        <v>6.8099999999999996E-4</v>
      </c>
      <c r="P328" s="1144">
        <f t="shared" si="307"/>
        <v>9.5339999999999989</v>
      </c>
      <c r="Q328" s="1144">
        <f t="shared" si="308"/>
        <v>2.7239999999999998</v>
      </c>
    </row>
    <row r="329" spans="2:17" ht="14.85" customHeight="1">
      <c r="B329" s="1203" t="s">
        <v>794</v>
      </c>
      <c r="C329" s="1144"/>
      <c r="D329" s="1144"/>
      <c r="E329" s="1144">
        <f t="shared" si="303"/>
        <v>0</v>
      </c>
      <c r="F329" s="1144">
        <f t="shared" si="304"/>
        <v>0</v>
      </c>
      <c r="G329" s="1144">
        <f t="shared" si="305"/>
        <v>0</v>
      </c>
      <c r="L329" s="1203" t="s">
        <v>794</v>
      </c>
      <c r="M329" s="1144"/>
      <c r="N329" s="1144">
        <v>0.69140000000000001</v>
      </c>
      <c r="O329" s="1144">
        <f t="shared" si="306"/>
        <v>3.457E-3</v>
      </c>
      <c r="P329" s="1144">
        <f t="shared" si="307"/>
        <v>48.398000000000003</v>
      </c>
      <c r="Q329" s="1144">
        <f t="shared" si="308"/>
        <v>13.827999999999999</v>
      </c>
    </row>
    <row r="330" spans="2:17" ht="14.85" customHeight="1">
      <c r="B330" s="1203" t="s">
        <v>795</v>
      </c>
      <c r="C330" s="1144"/>
      <c r="D330" s="1144"/>
      <c r="E330" s="1144">
        <f t="shared" si="303"/>
        <v>0</v>
      </c>
      <c r="F330" s="1144">
        <f t="shared" si="304"/>
        <v>0</v>
      </c>
      <c r="G330" s="1144">
        <f t="shared" si="305"/>
        <v>0</v>
      </c>
      <c r="L330" s="1203" t="s">
        <v>795</v>
      </c>
      <c r="M330" s="1144"/>
      <c r="N330" s="1144">
        <v>0.17469999999999999</v>
      </c>
      <c r="O330" s="1144">
        <f t="shared" si="306"/>
        <v>8.7350000000000004E-4</v>
      </c>
      <c r="P330" s="1144">
        <f t="shared" si="307"/>
        <v>12.228999999999999</v>
      </c>
      <c r="Q330" s="1144">
        <f t="shared" si="308"/>
        <v>3.4939999999999998</v>
      </c>
    </row>
    <row r="331" spans="2:17" ht="14.85" customHeight="1">
      <c r="B331" s="1203" t="s">
        <v>796</v>
      </c>
      <c r="C331" s="1144"/>
      <c r="D331" s="1144"/>
      <c r="E331" s="1144">
        <f t="shared" si="303"/>
        <v>0</v>
      </c>
      <c r="F331" s="1144">
        <f t="shared" si="304"/>
        <v>0</v>
      </c>
      <c r="G331" s="1144">
        <f t="shared" si="305"/>
        <v>0</v>
      </c>
      <c r="L331" s="1203" t="s">
        <v>796</v>
      </c>
      <c r="M331" s="1144"/>
      <c r="N331" s="1144">
        <v>0.72270000000000001</v>
      </c>
      <c r="O331" s="1144">
        <f t="shared" si="306"/>
        <v>3.6135E-3</v>
      </c>
      <c r="P331" s="1144">
        <f t="shared" si="307"/>
        <v>50.588999999999999</v>
      </c>
      <c r="Q331" s="1144">
        <f t="shared" si="308"/>
        <v>14.454000000000001</v>
      </c>
    </row>
    <row r="333" spans="2:17" ht="14.85" customHeight="1">
      <c r="B333" s="1169" t="s">
        <v>805</v>
      </c>
      <c r="C333" s="953" t="s">
        <v>804</v>
      </c>
      <c r="L333" s="1169" t="s">
        <v>805</v>
      </c>
      <c r="M333" s="953" t="s">
        <v>802</v>
      </c>
    </row>
    <row r="334" spans="2:17" ht="14.85" customHeight="1">
      <c r="B334" s="1203" t="s">
        <v>787</v>
      </c>
      <c r="C334" s="1147" t="s">
        <v>788</v>
      </c>
      <c r="D334" s="1147" t="s">
        <v>789</v>
      </c>
      <c r="E334" s="1147" t="s">
        <v>790</v>
      </c>
      <c r="F334" s="1147" t="s">
        <v>791</v>
      </c>
      <c r="G334" s="1147" t="s">
        <v>792</v>
      </c>
      <c r="L334" s="1203" t="s">
        <v>787</v>
      </c>
      <c r="M334" s="1147" t="s">
        <v>788</v>
      </c>
      <c r="N334" s="1147" t="s">
        <v>789</v>
      </c>
      <c r="O334" s="1147" t="s">
        <v>790</v>
      </c>
      <c r="P334" s="1147" t="s">
        <v>791</v>
      </c>
      <c r="Q334" s="1147" t="s">
        <v>792</v>
      </c>
    </row>
    <row r="335" spans="2:17" ht="14.85" customHeight="1">
      <c r="B335" s="1203" t="s">
        <v>793</v>
      </c>
      <c r="C335" s="1144">
        <v>5.0000000000000001E-3</v>
      </c>
      <c r="D335" s="1144"/>
      <c r="E335" s="1144">
        <f t="shared" ref="E335:E340" si="309">$C$281*D335</f>
        <v>0</v>
      </c>
      <c r="F335" s="1144">
        <f t="shared" ref="F335:F340" si="310">$C$282*D335</f>
        <v>0</v>
      </c>
      <c r="G335" s="1144">
        <f t="shared" ref="G335:G340" si="311">$C$283*D335</f>
        <v>0</v>
      </c>
      <c r="L335" s="1203" t="s">
        <v>793</v>
      </c>
      <c r="M335" s="1144">
        <v>5.0000000000000001E-3</v>
      </c>
      <c r="N335" s="1144">
        <v>0</v>
      </c>
      <c r="O335" s="1144">
        <f t="shared" ref="O335:O340" si="312">$C$335*N335</f>
        <v>0</v>
      </c>
      <c r="P335" s="1144">
        <f t="shared" ref="P335:P340" si="313">$C$282*N335</f>
        <v>0</v>
      </c>
      <c r="Q335" s="1144">
        <f t="shared" ref="Q335:Q340" si="314">$C$283*N335</f>
        <v>0</v>
      </c>
    </row>
    <row r="336" spans="2:17" ht="14.85" customHeight="1">
      <c r="B336" s="1203" t="s">
        <v>794</v>
      </c>
      <c r="C336" s="1144">
        <v>70</v>
      </c>
      <c r="D336" s="1144"/>
      <c r="E336" s="1144">
        <f t="shared" si="309"/>
        <v>0</v>
      </c>
      <c r="F336" s="1144">
        <f t="shared" si="310"/>
        <v>0</v>
      </c>
      <c r="G336" s="1144">
        <f t="shared" si="311"/>
        <v>0</v>
      </c>
      <c r="L336" s="1203" t="s">
        <v>794</v>
      </c>
      <c r="M336" s="1144">
        <v>70</v>
      </c>
      <c r="N336" s="1144">
        <v>0.55649999999999999</v>
      </c>
      <c r="O336" s="1144">
        <f t="shared" si="312"/>
        <v>2.7824999999999998E-3</v>
      </c>
      <c r="P336" s="1144">
        <f t="shared" si="313"/>
        <v>38.954999999999998</v>
      </c>
      <c r="Q336" s="1144">
        <f t="shared" si="314"/>
        <v>11.129999999999999</v>
      </c>
    </row>
    <row r="337" spans="2:17" ht="14.85" customHeight="1">
      <c r="B337" s="1203" t="s">
        <v>795</v>
      </c>
      <c r="C337" s="1144">
        <v>20</v>
      </c>
      <c r="D337" s="1144"/>
      <c r="E337" s="1144">
        <f t="shared" si="309"/>
        <v>0</v>
      </c>
      <c r="F337" s="1144">
        <f t="shared" si="310"/>
        <v>0</v>
      </c>
      <c r="G337" s="1144">
        <f t="shared" si="311"/>
        <v>0</v>
      </c>
      <c r="L337" s="1203" t="s">
        <v>795</v>
      </c>
      <c r="M337" s="1144">
        <v>20</v>
      </c>
      <c r="N337" s="1144">
        <v>0.17949999999999999</v>
      </c>
      <c r="O337" s="1144">
        <f t="shared" si="312"/>
        <v>8.9749999999999997E-4</v>
      </c>
      <c r="P337" s="1144">
        <f t="shared" si="313"/>
        <v>12.565</v>
      </c>
      <c r="Q337" s="1144">
        <f t="shared" si="314"/>
        <v>3.59</v>
      </c>
    </row>
    <row r="338" spans="2:17" ht="14.85" customHeight="1">
      <c r="B338" s="1203" t="s">
        <v>794</v>
      </c>
      <c r="C338" s="1144"/>
      <c r="D338" s="1144"/>
      <c r="E338" s="1144">
        <f t="shared" si="309"/>
        <v>0</v>
      </c>
      <c r="F338" s="1144">
        <f t="shared" si="310"/>
        <v>0</v>
      </c>
      <c r="G338" s="1144">
        <f t="shared" si="311"/>
        <v>0</v>
      </c>
      <c r="L338" s="1203" t="s">
        <v>794</v>
      </c>
      <c r="M338" s="1144"/>
      <c r="N338" s="1144">
        <v>0.75049999999999994</v>
      </c>
      <c r="O338" s="1144">
        <f t="shared" si="312"/>
        <v>3.7524999999999998E-3</v>
      </c>
      <c r="P338" s="1144">
        <f t="shared" si="313"/>
        <v>52.534999999999997</v>
      </c>
      <c r="Q338" s="1144">
        <f t="shared" si="314"/>
        <v>15.009999999999998</v>
      </c>
    </row>
    <row r="339" spans="2:17" ht="14.85" customHeight="1">
      <c r="B339" s="1203" t="s">
        <v>795</v>
      </c>
      <c r="C339" s="1144"/>
      <c r="D339" s="1144"/>
      <c r="E339" s="1144">
        <f t="shared" si="309"/>
        <v>0</v>
      </c>
      <c r="F339" s="1144">
        <f t="shared" si="310"/>
        <v>0</v>
      </c>
      <c r="G339" s="1144">
        <f t="shared" si="311"/>
        <v>0</v>
      </c>
      <c r="L339" s="1203" t="s">
        <v>795</v>
      </c>
      <c r="M339" s="1144"/>
      <c r="N339" s="1144">
        <v>0.24210000000000001</v>
      </c>
      <c r="O339" s="1144">
        <f t="shared" si="312"/>
        <v>1.2105E-3</v>
      </c>
      <c r="P339" s="1144">
        <f t="shared" si="313"/>
        <v>16.946999999999999</v>
      </c>
      <c r="Q339" s="1144">
        <f t="shared" si="314"/>
        <v>4.8420000000000005</v>
      </c>
    </row>
    <row r="340" spans="2:17" ht="14.85" customHeight="1">
      <c r="B340" s="1203" t="s">
        <v>796</v>
      </c>
      <c r="C340" s="1144"/>
      <c r="D340" s="1144"/>
      <c r="E340" s="1144">
        <f t="shared" si="309"/>
        <v>0</v>
      </c>
      <c r="F340" s="1144">
        <f t="shared" si="310"/>
        <v>0</v>
      </c>
      <c r="G340" s="1144">
        <f t="shared" si="311"/>
        <v>0</v>
      </c>
      <c r="L340" s="1203" t="s">
        <v>796</v>
      </c>
      <c r="M340" s="1144"/>
      <c r="N340" s="1144">
        <v>0.80659999999999998</v>
      </c>
      <c r="O340" s="1144">
        <f t="shared" si="312"/>
        <v>4.0330000000000001E-3</v>
      </c>
      <c r="P340" s="1144">
        <f t="shared" si="313"/>
        <v>56.461999999999996</v>
      </c>
      <c r="Q340" s="1144">
        <f t="shared" si="314"/>
        <v>16.131999999999998</v>
      </c>
    </row>
    <row r="342" spans="2:17" ht="14.85" customHeight="1">
      <c r="B342" s="1169" t="s">
        <v>806</v>
      </c>
      <c r="C342" s="953" t="s">
        <v>807</v>
      </c>
      <c r="L342" s="1169" t="s">
        <v>806</v>
      </c>
      <c r="M342" s="953" t="s">
        <v>802</v>
      </c>
    </row>
    <row r="343" spans="2:17" ht="14.85" customHeight="1">
      <c r="B343" s="1203" t="s">
        <v>787</v>
      </c>
      <c r="C343" s="1147" t="s">
        <v>788</v>
      </c>
      <c r="D343" s="1147" t="s">
        <v>789</v>
      </c>
      <c r="E343" s="1147" t="s">
        <v>790</v>
      </c>
      <c r="F343" s="1147" t="s">
        <v>791</v>
      </c>
      <c r="G343" s="1147" t="s">
        <v>792</v>
      </c>
      <c r="L343" s="1203" t="s">
        <v>787</v>
      </c>
      <c r="M343" s="1147" t="s">
        <v>788</v>
      </c>
      <c r="N343" s="1147" t="s">
        <v>789</v>
      </c>
      <c r="O343" s="1147" t="s">
        <v>790</v>
      </c>
      <c r="P343" s="1147" t="s">
        <v>791</v>
      </c>
      <c r="Q343" s="1147" t="s">
        <v>792</v>
      </c>
    </row>
    <row r="344" spans="2:17" ht="14.85" customHeight="1">
      <c r="B344" s="1203" t="s">
        <v>793</v>
      </c>
      <c r="C344" s="1144">
        <v>5.0000000000000001E-3</v>
      </c>
      <c r="D344" s="1144"/>
      <c r="E344" s="1144">
        <f t="shared" ref="E344:E349" si="315">$C$281*D344</f>
        <v>0</v>
      </c>
      <c r="F344" s="1144">
        <f t="shared" ref="F344:F349" si="316">$C$282*D344</f>
        <v>0</v>
      </c>
      <c r="G344" s="1144">
        <f t="shared" ref="G344:G349" si="317">$C$283*D344</f>
        <v>0</v>
      </c>
      <c r="L344" s="1203" t="s">
        <v>793</v>
      </c>
      <c r="M344" s="1144">
        <v>5.0000000000000001E-3</v>
      </c>
      <c r="N344" s="1144">
        <v>0</v>
      </c>
      <c r="O344" s="1144">
        <f t="shared" ref="O344:O349" si="318">$C$344*N344</f>
        <v>0</v>
      </c>
      <c r="P344" s="1144">
        <f t="shared" ref="P344:P349" si="319">$C$282*N344</f>
        <v>0</v>
      </c>
      <c r="Q344" s="1144">
        <f t="shared" ref="Q344:Q349" si="320">$C$283*N344</f>
        <v>0</v>
      </c>
    </row>
    <row r="345" spans="2:17" ht="14.85" customHeight="1">
      <c r="B345" s="1203" t="s">
        <v>794</v>
      </c>
      <c r="C345" s="1144">
        <v>70</v>
      </c>
      <c r="D345" s="1144"/>
      <c r="E345" s="1144">
        <f t="shared" si="315"/>
        <v>0</v>
      </c>
      <c r="F345" s="1144">
        <f t="shared" si="316"/>
        <v>0</v>
      </c>
      <c r="G345" s="1144">
        <f t="shared" si="317"/>
        <v>0</v>
      </c>
      <c r="L345" s="1203" t="s">
        <v>794</v>
      </c>
      <c r="M345" s="1144">
        <v>70</v>
      </c>
      <c r="N345" s="1144">
        <v>0.55369999999999997</v>
      </c>
      <c r="O345" s="1144">
        <f t="shared" si="318"/>
        <v>2.7684999999999997E-3</v>
      </c>
      <c r="P345" s="1144">
        <f t="shared" si="319"/>
        <v>38.759</v>
      </c>
      <c r="Q345" s="1144">
        <f t="shared" si="320"/>
        <v>11.074</v>
      </c>
    </row>
    <row r="346" spans="2:17" ht="14.85" customHeight="1">
      <c r="B346" s="1203" t="s">
        <v>795</v>
      </c>
      <c r="C346" s="1144">
        <v>20</v>
      </c>
      <c r="D346" s="1144"/>
      <c r="E346" s="1144">
        <f t="shared" si="315"/>
        <v>0</v>
      </c>
      <c r="F346" s="1144">
        <f t="shared" si="316"/>
        <v>0</v>
      </c>
      <c r="G346" s="1144">
        <f t="shared" si="317"/>
        <v>0</v>
      </c>
      <c r="L346" s="1203" t="s">
        <v>795</v>
      </c>
      <c r="M346" s="1144">
        <v>20</v>
      </c>
      <c r="N346" s="1144">
        <v>0.20660000000000001</v>
      </c>
      <c r="O346" s="1144">
        <f t="shared" si="318"/>
        <v>1.0330000000000001E-3</v>
      </c>
      <c r="P346" s="1144">
        <f t="shared" si="319"/>
        <v>14.462</v>
      </c>
      <c r="Q346" s="1144">
        <f t="shared" si="320"/>
        <v>4.1319999999999997</v>
      </c>
    </row>
    <row r="347" spans="2:17" ht="14.85" customHeight="1">
      <c r="B347" s="1203" t="s">
        <v>794</v>
      </c>
      <c r="C347" s="1144"/>
      <c r="D347" s="1144"/>
      <c r="E347" s="1144">
        <f t="shared" si="315"/>
        <v>0</v>
      </c>
      <c r="F347" s="1144">
        <f t="shared" si="316"/>
        <v>0</v>
      </c>
      <c r="G347" s="1144">
        <f t="shared" si="317"/>
        <v>0</v>
      </c>
      <c r="L347" s="1203" t="s">
        <v>794</v>
      </c>
      <c r="M347" s="1144"/>
      <c r="N347" s="1144">
        <v>0.7782</v>
      </c>
      <c r="O347" s="1144">
        <f t="shared" si="318"/>
        <v>3.8909999999999999E-3</v>
      </c>
      <c r="P347" s="1144">
        <f t="shared" si="319"/>
        <v>54.474000000000004</v>
      </c>
      <c r="Q347" s="1144">
        <f t="shared" si="320"/>
        <v>15.564</v>
      </c>
    </row>
    <row r="348" spans="2:17" ht="14.85" customHeight="1">
      <c r="B348" s="1203" t="s">
        <v>795</v>
      </c>
      <c r="C348" s="1144"/>
      <c r="D348" s="1144"/>
      <c r="E348" s="1144">
        <f t="shared" si="315"/>
        <v>0</v>
      </c>
      <c r="F348" s="1144">
        <f t="shared" si="316"/>
        <v>0</v>
      </c>
      <c r="G348" s="1144">
        <f t="shared" si="317"/>
        <v>0</v>
      </c>
      <c r="L348" s="1203" t="s">
        <v>795</v>
      </c>
      <c r="M348" s="1144"/>
      <c r="N348" s="1144">
        <v>0.29039999999999999</v>
      </c>
      <c r="O348" s="1144">
        <f t="shared" si="318"/>
        <v>1.4519999999999999E-3</v>
      </c>
      <c r="P348" s="1144">
        <f t="shared" si="319"/>
        <v>20.327999999999999</v>
      </c>
      <c r="Q348" s="1144">
        <f t="shared" si="320"/>
        <v>5.8079999999999998</v>
      </c>
    </row>
    <row r="349" spans="2:17" ht="14.85" customHeight="1">
      <c r="B349" s="1203" t="s">
        <v>796</v>
      </c>
      <c r="C349" s="1144"/>
      <c r="D349" s="1144"/>
      <c r="E349" s="1144">
        <f t="shared" si="315"/>
        <v>0</v>
      </c>
      <c r="F349" s="1144">
        <f t="shared" si="316"/>
        <v>0</v>
      </c>
      <c r="G349" s="1144">
        <f t="shared" si="317"/>
        <v>0</v>
      </c>
      <c r="L349" s="1203" t="s">
        <v>796</v>
      </c>
      <c r="M349" s="1144"/>
      <c r="N349" s="1144">
        <v>0.85609999999999997</v>
      </c>
      <c r="O349" s="1144">
        <f t="shared" si="318"/>
        <v>4.2804999999999996E-3</v>
      </c>
      <c r="P349" s="1144">
        <f t="shared" si="319"/>
        <v>59.927</v>
      </c>
      <c r="Q349" s="1144">
        <f t="shared" si="320"/>
        <v>17.122</v>
      </c>
    </row>
  </sheetData>
  <mergeCells count="4">
    <mergeCell ref="A2:A3"/>
    <mergeCell ref="K2:K3"/>
    <mergeCell ref="A232:A233"/>
    <mergeCell ref="K232:K233"/>
  </mergeCells>
  <phoneticPr fontId="11" type="noConversion"/>
  <pageMargins left="0.26" right="0.19685039370078741" top="0.85" bottom="0.68" header="0.51181102362204722" footer="0.37"/>
  <pageSetup paperSize="9" scale="75" orientation="portrait" r:id="rId1"/>
  <headerFooter alignWithMargins="0">
    <oddHeader>&amp;R&amp;D &amp;T</oddHeader>
    <oddFooter>&amp;L&amp;F&amp;C&amp;P 쪽&amp;R&amp;A</oddFooter>
  </headerFooter>
  <rowBreaks count="3" manualBreakCount="3">
    <brk id="65" max="16383" man="1"/>
    <brk id="118" max="16383" man="1"/>
    <brk id="171" max="16383" man="1"/>
  </rowBreaks>
  <colBreaks count="1" manualBreakCount="1">
    <brk id="10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8</vt:i4>
      </vt:variant>
    </vt:vector>
  </HeadingPairs>
  <TitlesOfParts>
    <vt:vector size="26" baseType="lpstr">
      <vt:lpstr>환기량 산정</vt:lpstr>
      <vt:lpstr>PM보정계수</vt:lpstr>
      <vt:lpstr>CO보정계수</vt:lpstr>
      <vt:lpstr>NOx보정계수</vt:lpstr>
      <vt:lpstr>환기용량 산정(제트팬식)</vt:lpstr>
      <vt:lpstr>교통량추이그래프</vt:lpstr>
      <vt:lpstr>상행-환기기</vt:lpstr>
      <vt:lpstr>하행-환기기</vt:lpstr>
      <vt:lpstr>EPP</vt:lpstr>
      <vt:lpstr>EPP (2)</vt:lpstr>
      <vt:lpstr>환기량계산서</vt:lpstr>
      <vt:lpstr>한도공 제연팬 산정(열부력미고려)</vt:lpstr>
      <vt:lpstr>한도공 제연팬 산정 (입구부화재)</vt:lpstr>
      <vt:lpstr>한도공 제연팬 산정 (중앙부화재)</vt:lpstr>
      <vt:lpstr>차량정체길이산정</vt:lpstr>
      <vt:lpstr>상행-환기량</vt:lpstr>
      <vt:lpstr>하행-환기량</vt:lpstr>
      <vt:lpstr>수직갱 방식(2개소)</vt:lpstr>
      <vt:lpstr>CO보정계수!Print_Area</vt:lpstr>
      <vt:lpstr>NOx보정계수!Print_Area</vt:lpstr>
      <vt:lpstr>PM보정계수!Print_Area</vt:lpstr>
      <vt:lpstr>'수직갱 방식(2개소)'!Print_Area</vt:lpstr>
      <vt:lpstr>'한도공 제연팬 산정 (입구부화재)'!Print_Area</vt:lpstr>
      <vt:lpstr>'한도공 제연팬 산정 (중앙부화재)'!Print_Area</vt:lpstr>
      <vt:lpstr>'환기량 산정'!Print_Area</vt:lpstr>
      <vt:lpstr>'환기용량 산정(제트팬식)'!Print_Area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piarc</dc:title>
  <dc:creator>user</dc:creator>
  <cp:lastModifiedBy>User</cp:lastModifiedBy>
  <cp:lastPrinted>2020-12-24T01:53:08Z</cp:lastPrinted>
  <dcterms:created xsi:type="dcterms:W3CDTF">1997-03-03T23:41:45Z</dcterms:created>
  <dcterms:modified xsi:type="dcterms:W3CDTF">2025-11-10T02:33:58Z</dcterms:modified>
</cp:coreProperties>
</file>